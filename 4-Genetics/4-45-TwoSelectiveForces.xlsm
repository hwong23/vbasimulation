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4-Genetics\"/>
    </mc:Choice>
  </mc:AlternateContent>
  <bookViews>
    <workbookView xWindow="720" yWindow="330" windowWidth="19320" windowHeight="9750"/>
  </bookViews>
  <sheets>
    <sheet name="GenePool" sheetId="12" r:id="rId1"/>
  </sheets>
  <definedNames>
    <definedName name="solver_adj" localSheetId="0" hidden="1">GenePool!$E$2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GenePool!$G$25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GenePool!$E$1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GenePool!$H$25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52511"/>
</workbook>
</file>

<file path=xl/calcChain.xml><?xml version="1.0" encoding="utf-8"?>
<calcChain xmlns="http://schemas.openxmlformats.org/spreadsheetml/2006/main">
  <c r="B2" i="12" l="1"/>
  <c r="J3" i="12" s="1"/>
  <c r="K3" i="12" l="1"/>
  <c r="N3" i="12"/>
  <c r="J4" i="12" l="1"/>
  <c r="L3" i="12"/>
  <c r="M3" i="12"/>
  <c r="N4" i="12" l="1"/>
  <c r="K4" i="12"/>
  <c r="M4" i="12" s="1"/>
  <c r="L4" i="12" l="1"/>
  <c r="J5" i="12"/>
  <c r="K5" i="12" l="1"/>
  <c r="M5" i="12" s="1"/>
  <c r="N5" i="12"/>
  <c r="J6" i="12" l="1"/>
  <c r="L5" i="12"/>
  <c r="N6" i="12" l="1"/>
  <c r="K6" i="12"/>
  <c r="L6" i="12" l="1"/>
  <c r="J7" i="12"/>
  <c r="M6" i="12"/>
  <c r="K7" i="12" l="1"/>
  <c r="N7" i="12"/>
  <c r="J8" i="12" l="1"/>
  <c r="L7" i="12"/>
  <c r="M7" i="12"/>
  <c r="N8" i="12" l="1"/>
  <c r="K8" i="12"/>
  <c r="M8" i="12" s="1"/>
  <c r="L8" i="12" l="1"/>
  <c r="J9" i="12"/>
  <c r="K9" i="12" l="1"/>
  <c r="M9" i="12" s="1"/>
  <c r="N9" i="12"/>
  <c r="J10" i="12" l="1"/>
  <c r="L9" i="12"/>
  <c r="N10" i="12" l="1"/>
  <c r="K10" i="12"/>
  <c r="L10" i="12" l="1"/>
  <c r="J11" i="12"/>
  <c r="M10" i="12"/>
  <c r="K11" i="12" l="1"/>
  <c r="N11" i="12"/>
  <c r="J12" i="12" l="1"/>
  <c r="L11" i="12"/>
  <c r="M11" i="12"/>
  <c r="N12" i="12" l="1"/>
  <c r="K12" i="12"/>
  <c r="M12" i="12" s="1"/>
  <c r="L12" i="12" l="1"/>
  <c r="J13" i="12"/>
  <c r="K13" i="12" l="1"/>
  <c r="M13" i="12" s="1"/>
  <c r="N13" i="12"/>
  <c r="J14" i="12" l="1"/>
  <c r="L13" i="12"/>
  <c r="N14" i="12" l="1"/>
  <c r="K14" i="12"/>
  <c r="L14" i="12" l="1"/>
  <c r="J15" i="12"/>
  <c r="M14" i="12"/>
  <c r="K15" i="12" l="1"/>
  <c r="N15" i="12"/>
  <c r="J16" i="12" l="1"/>
  <c r="L15" i="12"/>
  <c r="M15" i="12"/>
  <c r="N16" i="12" l="1"/>
  <c r="K16" i="12"/>
  <c r="M16" i="12" s="1"/>
  <c r="L16" i="12" l="1"/>
  <c r="J17" i="12"/>
  <c r="K17" i="12" l="1"/>
  <c r="M17" i="12" s="1"/>
  <c r="N17" i="12"/>
  <c r="J18" i="12" l="1"/>
  <c r="L17" i="12"/>
  <c r="N18" i="12" l="1"/>
  <c r="K18" i="12"/>
  <c r="L18" i="12" l="1"/>
  <c r="J19" i="12"/>
  <c r="M18" i="12"/>
  <c r="K19" i="12" l="1"/>
  <c r="N19" i="12"/>
  <c r="J20" i="12" l="1"/>
  <c r="L19" i="12"/>
  <c r="M19" i="12"/>
  <c r="N20" i="12" l="1"/>
  <c r="K20" i="12"/>
  <c r="M20" i="12" s="1"/>
  <c r="L20" i="12" l="1"/>
  <c r="J21" i="12"/>
  <c r="K21" i="12" l="1"/>
  <c r="M21" i="12" s="1"/>
  <c r="N21" i="12"/>
  <c r="J22" i="12" l="1"/>
  <c r="L21" i="12"/>
  <c r="N22" i="12" l="1"/>
  <c r="K22" i="12"/>
  <c r="L22" i="12" l="1"/>
  <c r="J23" i="12"/>
  <c r="M22" i="12"/>
  <c r="K23" i="12" l="1"/>
  <c r="N23" i="12"/>
  <c r="J24" i="12" l="1"/>
  <c r="L23" i="12"/>
  <c r="M23" i="12"/>
  <c r="N24" i="12" l="1"/>
  <c r="K24" i="12"/>
  <c r="M24" i="12" s="1"/>
  <c r="L24" i="12" l="1"/>
  <c r="J25" i="12"/>
  <c r="K25" i="12" l="1"/>
  <c r="M25" i="12" s="1"/>
  <c r="N25" i="12"/>
  <c r="J26" i="12" l="1"/>
  <c r="L25" i="12"/>
  <c r="N26" i="12" l="1"/>
  <c r="K26" i="12"/>
  <c r="L26" i="12" l="1"/>
  <c r="J27" i="12"/>
  <c r="M26" i="12"/>
  <c r="K27" i="12" l="1"/>
  <c r="N27" i="12"/>
  <c r="J28" i="12" l="1"/>
  <c r="L27" i="12"/>
  <c r="M27" i="12"/>
  <c r="N28" i="12" l="1"/>
  <c r="K28" i="12"/>
  <c r="M28" i="12" s="1"/>
  <c r="L28" i="12" l="1"/>
  <c r="J29" i="12"/>
  <c r="K29" i="12" l="1"/>
  <c r="M29" i="12" s="1"/>
  <c r="N29" i="12"/>
  <c r="J30" i="12" l="1"/>
  <c r="L29" i="12"/>
  <c r="N30" i="12" l="1"/>
  <c r="K30" i="12"/>
  <c r="L30" i="12" l="1"/>
  <c r="J31" i="12"/>
  <c r="M30" i="12"/>
  <c r="K31" i="12" l="1"/>
  <c r="N31" i="12"/>
  <c r="J32" i="12" l="1"/>
  <c r="L31" i="12"/>
  <c r="M31" i="12"/>
  <c r="N32" i="12" l="1"/>
  <c r="K32" i="12"/>
  <c r="M32" i="12" s="1"/>
  <c r="L32" i="12" l="1"/>
  <c r="J33" i="12"/>
  <c r="K33" i="12" l="1"/>
  <c r="M33" i="12" s="1"/>
  <c r="N33" i="12"/>
  <c r="J34" i="12" l="1"/>
  <c r="L33" i="12"/>
  <c r="N34" i="12" l="1"/>
  <c r="K34" i="12"/>
  <c r="M34" i="12" s="1"/>
  <c r="L34" i="12" l="1"/>
  <c r="J35" i="12"/>
  <c r="K35" i="12" l="1"/>
  <c r="L35" i="12" s="1"/>
  <c r="N35" i="12"/>
  <c r="M35" i="12" l="1"/>
</calcChain>
</file>

<file path=xl/comments1.xml><?xml version="1.0" encoding="utf-8"?>
<comments xmlns="http://schemas.openxmlformats.org/spreadsheetml/2006/main">
  <authors>
    <author>Gerry</author>
  </authors>
  <commentList>
    <comment ref="K3" authorId="0" shapeId="0">
      <text>
        <r>
          <rPr>
            <b/>
            <sz val="9"/>
            <color indexed="81"/>
            <rFont val="Tahoma"/>
            <family val="2"/>
          </rPr>
          <t>=1-J3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=K3*K3</t>
        </r>
      </text>
    </comment>
    <comment ref="M3" authorId="0" shapeId="0">
      <text>
        <r>
          <rPr>
            <b/>
            <sz val="9"/>
            <color indexed="81"/>
            <rFont val="Tahoma"/>
            <family val="2"/>
          </rPr>
          <t>=2*J3*K3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=J3*J3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(pq + q^2(1-s)) / (1 - tp^2 - sq^2)</t>
        </r>
      </text>
    </comment>
  </commentList>
</comments>
</file>

<file path=xl/sharedStrings.xml><?xml version="1.0" encoding="utf-8"?>
<sst xmlns="http://schemas.openxmlformats.org/spreadsheetml/2006/main" count="33" uniqueCount="10">
  <si>
    <t>p</t>
  </si>
  <si>
    <t>q</t>
  </si>
  <si>
    <t>aa</t>
  </si>
  <si>
    <t>Aa</t>
  </si>
  <si>
    <t>AA</t>
  </si>
  <si>
    <t>s=</t>
  </si>
  <si>
    <t>t=</t>
  </si>
  <si>
    <t>p=</t>
  </si>
  <si>
    <t>q=</t>
  </si>
  <si>
    <t>generations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</si>
</sst>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5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8" fillId="15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</cellStyleXfs>
  <cellXfs count="23">
    <xf numFmtId="0" fontId="0" fillId="0" borderId="0" xfId="0"/>
    <xf numFmtId="0" fontId="20" fillId="0" borderId="0" xfId="0" applyFont="1" applyProtection="1">
      <protection locked="0"/>
    </xf>
    <xf numFmtId="0" fontId="20" fillId="0" borderId="0" xfId="0" applyFont="1" applyAlignment="1" applyProtection="1">
      <alignment horizontal="center"/>
      <protection locked="0"/>
    </xf>
    <xf numFmtId="0" fontId="20" fillId="0" borderId="5" xfId="0" applyFont="1" applyBorder="1" applyProtection="1">
      <protection locked="0"/>
    </xf>
    <xf numFmtId="0" fontId="20" fillId="0" borderId="7" xfId="0" applyFont="1" applyBorder="1" applyProtection="1">
      <protection locked="0"/>
    </xf>
    <xf numFmtId="167" fontId="20" fillId="0" borderId="0" xfId="0" applyNumberFormat="1" applyFont="1" applyProtection="1">
      <protection locked="0"/>
    </xf>
    <xf numFmtId="2" fontId="20" fillId="0" borderId="0" xfId="0" applyNumberFormat="1" applyFont="1" applyProtection="1"/>
    <xf numFmtId="2" fontId="21" fillId="15" borderId="0" xfId="32" applyNumberFormat="1" applyFont="1" applyProtection="1"/>
    <xf numFmtId="0" fontId="20" fillId="0" borderId="10" xfId="0" applyFont="1" applyBorder="1" applyProtection="1">
      <protection locked="0"/>
    </xf>
    <xf numFmtId="0" fontId="20" fillId="0" borderId="0" xfId="0" applyFont="1" applyBorder="1" applyProtection="1">
      <protection locked="0"/>
    </xf>
    <xf numFmtId="0" fontId="20" fillId="0" borderId="12" xfId="0" applyFont="1" applyBorder="1" applyProtection="1">
      <protection locked="0"/>
    </xf>
    <xf numFmtId="0" fontId="20" fillId="0" borderId="13" xfId="0" applyFont="1" applyBorder="1" applyAlignment="1" applyProtection="1">
      <alignment horizontal="center"/>
      <protection locked="0"/>
    </xf>
    <xf numFmtId="0" fontId="20" fillId="0" borderId="13" xfId="0" applyFont="1" applyBorder="1" applyAlignment="1" applyProtection="1">
      <alignment horizontal="center"/>
    </xf>
    <xf numFmtId="0" fontId="20" fillId="0" borderId="5" xfId="0" applyFont="1" applyBorder="1" applyAlignment="1" applyProtection="1">
      <alignment horizontal="center"/>
      <protection locked="0"/>
    </xf>
    <xf numFmtId="0" fontId="20" fillId="0" borderId="9" xfId="0" applyFont="1" applyBorder="1" applyAlignment="1" applyProtection="1">
      <alignment horizontal="center"/>
      <protection locked="0"/>
    </xf>
    <xf numFmtId="0" fontId="20" fillId="0" borderId="6" xfId="0" applyFont="1" applyBorder="1" applyAlignment="1" applyProtection="1">
      <alignment horizontal="center"/>
      <protection locked="0"/>
    </xf>
    <xf numFmtId="10" fontId="20" fillId="0" borderId="10" xfId="0" applyNumberFormat="1" applyFont="1" applyBorder="1" applyAlignment="1" applyProtection="1">
      <alignment horizontal="center"/>
      <protection locked="0"/>
    </xf>
    <xf numFmtId="10" fontId="20" fillId="0" borderId="0" xfId="0" applyNumberFormat="1" applyFont="1" applyBorder="1" applyAlignment="1" applyProtection="1">
      <alignment horizontal="center"/>
      <protection locked="0"/>
    </xf>
    <xf numFmtId="10" fontId="20" fillId="0" borderId="11" xfId="0" applyNumberFormat="1" applyFont="1" applyBorder="1" applyAlignment="1" applyProtection="1">
      <alignment horizontal="center"/>
      <protection locked="0"/>
    </xf>
    <xf numFmtId="10" fontId="20" fillId="0" borderId="7" xfId="0" applyNumberFormat="1" applyFont="1" applyBorder="1" applyAlignment="1" applyProtection="1">
      <alignment horizontal="center"/>
      <protection locked="0"/>
    </xf>
    <xf numFmtId="10" fontId="20" fillId="0" borderId="12" xfId="0" applyNumberFormat="1" applyFont="1" applyBorder="1" applyAlignment="1" applyProtection="1">
      <alignment horizontal="center"/>
      <protection locked="0"/>
    </xf>
    <xf numFmtId="10" fontId="20" fillId="0" borderId="8" xfId="0" applyNumberFormat="1" applyFont="1" applyBorder="1" applyAlignment="1" applyProtection="1">
      <alignment horizontal="center"/>
      <protection locked="0"/>
    </xf>
    <xf numFmtId="0" fontId="20" fillId="16" borderId="9" xfId="0" applyFont="1" applyFill="1" applyBorder="1" applyProtection="1">
      <protection locked="0"/>
    </xf>
  </cellXfs>
  <cellStyles count="75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Good" xfId="32" builtinId="26"/>
    <cellStyle name="Hed Side" xfId="33"/>
    <cellStyle name="Hed Side bold" xfId="34"/>
    <cellStyle name="Hed Side Indent" xfId="35"/>
    <cellStyle name="Hed Side Regular" xfId="36"/>
    <cellStyle name="Hed Side_1-1A-Regular" xfId="37"/>
    <cellStyle name="Hed Top" xfId="38"/>
    <cellStyle name="Hed Top - SECTION" xfId="39"/>
    <cellStyle name="Hed Top_3-new4" xfId="40"/>
    <cellStyle name="Normal" xfId="0" builtinId="0"/>
    <cellStyle name="Normal 2" xfId="41"/>
    <cellStyle name="Normal 2 2" xfId="42"/>
    <cellStyle name="Normal 2 3" xfId="43"/>
    <cellStyle name="Normal 2_E-UniqueLists" xfId="44"/>
    <cellStyle name="Normal 3" xfId="45"/>
    <cellStyle name="Normal 3 2" xfId="46"/>
    <cellStyle name="Normal 4" xfId="47"/>
    <cellStyle name="Percent 2" xfId="48"/>
    <cellStyle name="Percent 2 2" xfId="49"/>
    <cellStyle name="Percent 3" xfId="50"/>
    <cellStyle name="Percent 3 2" xfId="51"/>
    <cellStyle name="Reference" xfId="52"/>
    <cellStyle name="Row heading" xfId="53"/>
    <cellStyle name="Sheet Title" xfId="54"/>
    <cellStyle name="Source Hed" xfId="55"/>
    <cellStyle name="Source Letter" xfId="56"/>
    <cellStyle name="Source Superscript" xfId="57"/>
    <cellStyle name="Source Text" xfId="58"/>
    <cellStyle name="State" xfId="59"/>
    <cellStyle name="Superscript" xfId="60"/>
    <cellStyle name="Table Data" xfId="61"/>
    <cellStyle name="Table Head Top" xfId="62"/>
    <cellStyle name="Table Hed Side" xfId="63"/>
    <cellStyle name="Table Title" xfId="64"/>
    <cellStyle name="Title Text" xfId="65"/>
    <cellStyle name="Title Text 1" xfId="66"/>
    <cellStyle name="Title Text 2" xfId="67"/>
    <cellStyle name="Title-1" xfId="68"/>
    <cellStyle name="Title-2" xfId="69"/>
    <cellStyle name="Title-3" xfId="70"/>
    <cellStyle name="Wrap" xfId="71"/>
    <cellStyle name="Wrap Bold" xfId="72"/>
    <cellStyle name="Wrap Title" xfId="73"/>
    <cellStyle name="Wrap_A-GraphsStarter" xfId="7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GenePool!$L$2</c:f>
              <c:strCache>
                <c:ptCount val="1"/>
                <c:pt idx="0">
                  <c:v>AA</c:v>
                </c:pt>
              </c:strCache>
            </c:strRef>
          </c:tx>
          <c:marker>
            <c:symbol val="none"/>
          </c:marker>
          <c:xVal>
            <c:numRef>
              <c:f>GenePool!$I$3:$I$35</c:f>
              <c:numCache>
                <c:formatCode>General</c:formatCode>
                <c:ptCount val="3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</c:numCache>
            </c:numRef>
          </c:xVal>
          <c:yVal>
            <c:numRef>
              <c:f>GenePool!$L$3:$L$35</c:f>
              <c:numCache>
                <c:formatCode>0.00</c:formatCode>
                <c:ptCount val="33"/>
                <c:pt idx="0">
                  <c:v>0.25</c:v>
                </c:pt>
                <c:pt idx="1">
                  <c:v>0.1650390625</c:v>
                </c:pt>
                <c:pt idx="2">
                  <c:v>0.11719757003188125</c:v>
                </c:pt>
                <c:pt idx="3">
                  <c:v>8.8558445437820862E-2</c:v>
                </c:pt>
                <c:pt idx="4">
                  <c:v>7.0284079791231163E-2</c:v>
                </c:pt>
                <c:pt idx="5">
                  <c:v>5.7965496594278451E-2</c:v>
                </c:pt>
                <c:pt idx="6">
                  <c:v>4.9278740127756016E-2</c:v>
                </c:pt>
                <c:pt idx="7">
                  <c:v>4.2923730706450398E-2</c:v>
                </c:pt>
                <c:pt idx="8">
                  <c:v>3.8132511763595903E-2</c:v>
                </c:pt>
                <c:pt idx="9">
                  <c:v>3.4429388829471677E-2</c:v>
                </c:pt>
                <c:pt idx="10">
                  <c:v>3.1507381834284233E-2</c:v>
                </c:pt>
                <c:pt idx="11">
                  <c:v>2.9161263394358063E-2</c:v>
                </c:pt>
                <c:pt idx="12">
                  <c:v>2.7249568072076479E-2</c:v>
                </c:pt>
                <c:pt idx="13">
                  <c:v>2.5672146888376348E-2</c:v>
                </c:pt>
                <c:pt idx="14">
                  <c:v>2.4356422622961976E-2</c:v>
                </c:pt>
                <c:pt idx="15">
                  <c:v>2.3248701984613623E-2</c:v>
                </c:pt>
                <c:pt idx="16">
                  <c:v>2.2308527278383623E-2</c:v>
                </c:pt>
                <c:pt idx="17">
                  <c:v>2.1504910718280288E-2</c:v>
                </c:pt>
                <c:pt idx="18">
                  <c:v>2.0813766679189896E-2</c:v>
                </c:pt>
                <c:pt idx="19">
                  <c:v>2.0216124913727835E-2</c:v>
                </c:pt>
                <c:pt idx="20">
                  <c:v>1.9696864176923019E-2</c:v>
                </c:pt>
                <c:pt idx="21">
                  <c:v>1.9243799594047019E-2</c:v>
                </c:pt>
                <c:pt idx="22">
                  <c:v>1.8847014873952385E-2</c:v>
                </c:pt>
                <c:pt idx="23">
                  <c:v>1.8498366819977827E-2</c:v>
                </c:pt>
                <c:pt idx="24">
                  <c:v>1.8191112939446013E-2</c:v>
                </c:pt>
                <c:pt idx="25">
                  <c:v>1.7919628237283349E-2</c:v>
                </c:pt>
                <c:pt idx="26">
                  <c:v>1.7679187460588601E-2</c:v>
                </c:pt>
                <c:pt idx="27">
                  <c:v>1.7465795952983521E-2</c:v>
                </c:pt>
                <c:pt idx="28">
                  <c:v>1.7276057013031695E-2</c:v>
                </c:pt>
                <c:pt idx="29">
                  <c:v>1.7107066950050927E-2</c:v>
                </c:pt>
                <c:pt idx="30">
                  <c:v>1.6956331358761758E-2</c:v>
                </c:pt>
                <c:pt idx="31">
                  <c:v>1.6821697796999577E-2</c:v>
                </c:pt>
                <c:pt idx="32">
                  <c:v>1.6701301251704038E-2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GenePool!$M$2</c:f>
              <c:strCache>
                <c:ptCount val="1"/>
                <c:pt idx="0">
                  <c:v>Aa</c:v>
                </c:pt>
              </c:strCache>
            </c:strRef>
          </c:tx>
          <c:marker>
            <c:symbol val="none"/>
          </c:marker>
          <c:xVal>
            <c:numRef>
              <c:f>GenePool!$I$3:$I$35</c:f>
              <c:numCache>
                <c:formatCode>General</c:formatCode>
                <c:ptCount val="3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</c:numCache>
            </c:numRef>
          </c:xVal>
          <c:yVal>
            <c:numRef>
              <c:f>GenePool!$M$3:$M$35</c:f>
              <c:numCache>
                <c:formatCode>0.00</c:formatCode>
                <c:ptCount val="33"/>
                <c:pt idx="0">
                  <c:v>0.5</c:v>
                </c:pt>
                <c:pt idx="1">
                  <c:v>0.482421875</c:v>
                </c:pt>
                <c:pt idx="2">
                  <c:v>0.45028747263172941</c:v>
                </c:pt>
                <c:pt idx="3">
                  <c:v>0.41805853011491251</c:v>
                </c:pt>
                <c:pt idx="4">
                  <c:v>0.38965473615566465</c:v>
                </c:pt>
                <c:pt idx="5">
                  <c:v>0.36558950105557575</c:v>
                </c:pt>
                <c:pt idx="6">
                  <c:v>0.34541882599407159</c:v>
                </c:pt>
                <c:pt idx="7">
                  <c:v>0.32851339922164513</c:v>
                </c:pt>
                <c:pt idx="8">
                  <c:v>0.31428592968427277</c:v>
                </c:pt>
                <c:pt idx="9">
                  <c:v>0.30224438228164069</c:v>
                </c:pt>
                <c:pt idx="10">
                  <c:v>0.29199161280534353</c:v>
                </c:pt>
                <c:pt idx="11">
                  <c:v>0.28321085895480419</c:v>
                </c:pt>
                <c:pt idx="12">
                  <c:v>0.27564972768594703</c:v>
                </c:pt>
                <c:pt idx="13">
                  <c:v>0.26910630702390953</c:v>
                </c:pt>
                <c:pt idx="14">
                  <c:v>0.26341804154974052</c:v>
                </c:pt>
                <c:pt idx="15">
                  <c:v>0.25845309683123791</c:v>
                </c:pt>
                <c:pt idx="16">
                  <c:v>0.25410373332639047</c:v>
                </c:pt>
                <c:pt idx="17">
                  <c:v>0.25028123344428838</c:v>
                </c:pt>
                <c:pt idx="18">
                  <c:v>0.24691200763515472</c:v>
                </c:pt>
                <c:pt idx="19">
                  <c:v>0.24393459010806026</c:v>
                </c:pt>
                <c:pt idx="20">
                  <c:v>0.24129730589500931</c:v>
                </c:pt>
                <c:pt idx="21">
                  <c:v>0.23895644629889795</c:v>
                </c:pt>
                <c:pt idx="22">
                  <c:v>0.23687483137041204</c:v>
                </c:pt>
                <c:pt idx="23">
                  <c:v>0.23502066889141054</c:v>
                </c:pt>
                <c:pt idx="24">
                  <c:v>0.23336664206643234</c:v>
                </c:pt>
                <c:pt idx="25">
                  <c:v>0.23188917486796629</c:v>
                </c:pt>
                <c:pt idx="26">
                  <c:v>0.23056783635246617</c:v>
                </c:pt>
                <c:pt idx="27">
                  <c:v>0.22938485444562509</c:v>
                </c:pt>
                <c:pt idx="28">
                  <c:v>0.22832471654697661</c:v>
                </c:pt>
                <c:pt idx="29">
                  <c:v>0.22737383944768741</c:v>
                </c:pt>
                <c:pt idx="30">
                  <c:v>0.22652029494153897</c:v>
                </c:pt>
                <c:pt idx="31">
                  <c:v>0.22575358046393085</c:v>
                </c:pt>
                <c:pt idx="32">
                  <c:v>0.22506442635485105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GenePool!$N$2</c:f>
              <c:strCache>
                <c:ptCount val="1"/>
                <c:pt idx="0">
                  <c:v>aa</c:v>
                </c:pt>
              </c:strCache>
            </c:strRef>
          </c:tx>
          <c:marker>
            <c:symbol val="none"/>
          </c:marker>
          <c:xVal>
            <c:numRef>
              <c:f>GenePool!$I$3:$I$35</c:f>
              <c:numCache>
                <c:formatCode>General</c:formatCode>
                <c:ptCount val="3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</c:numCache>
            </c:numRef>
          </c:xVal>
          <c:yVal>
            <c:numRef>
              <c:f>GenePool!$N$3:$N$35</c:f>
              <c:numCache>
                <c:formatCode>0.00</c:formatCode>
                <c:ptCount val="33"/>
                <c:pt idx="0">
                  <c:v>0.25</c:v>
                </c:pt>
                <c:pt idx="1">
                  <c:v>0.3525390625</c:v>
                </c:pt>
                <c:pt idx="2">
                  <c:v>0.43251495733638934</c:v>
                </c:pt>
                <c:pt idx="3">
                  <c:v>0.49338302444726667</c:v>
                </c:pt>
                <c:pt idx="4">
                  <c:v>0.54006118405310422</c:v>
                </c:pt>
                <c:pt idx="5">
                  <c:v>0.57644500235014573</c:v>
                </c:pt>
                <c:pt idx="6">
                  <c:v>0.6053024338781724</c:v>
                </c:pt>
                <c:pt idx="7">
                  <c:v>0.62856287007190448</c:v>
                </c:pt>
                <c:pt idx="8">
                  <c:v>0.64758155855213129</c:v>
                </c:pt>
                <c:pt idx="9">
                  <c:v>0.66332622888888759</c:v>
                </c:pt>
                <c:pt idx="10">
                  <c:v>0.67650100536037228</c:v>
                </c:pt>
                <c:pt idx="11">
                  <c:v>0.68762787765083777</c:v>
                </c:pt>
                <c:pt idx="12">
                  <c:v>0.69710070424197645</c:v>
                </c:pt>
                <c:pt idx="13">
                  <c:v>0.70522154608771415</c:v>
                </c:pt>
                <c:pt idx="14">
                  <c:v>0.71222553582729753</c:v>
                </c:pt>
                <c:pt idx="15">
                  <c:v>0.71829820118414844</c:v>
                </c:pt>
                <c:pt idx="16">
                  <c:v>0.72358773939522592</c:v>
                </c:pt>
                <c:pt idx="17">
                  <c:v>0.72821385583743137</c:v>
                </c:pt>
                <c:pt idx="18">
                  <c:v>0.73227422568565537</c:v>
                </c:pt>
                <c:pt idx="19">
                  <c:v>0.73584928497821189</c:v>
                </c:pt>
                <c:pt idx="20">
                  <c:v>0.73900582992806774</c:v>
                </c:pt>
                <c:pt idx="21">
                  <c:v>0.74179975410705501</c:v>
                </c:pt>
                <c:pt idx="22">
                  <c:v>0.74427815375563555</c:v>
                </c:pt>
                <c:pt idx="23">
                  <c:v>0.74648096428861166</c:v>
                </c:pt>
                <c:pt idx="24">
                  <c:v>0.7484422449941216</c:v>
                </c:pt>
                <c:pt idx="25">
                  <c:v>0.75019119689475033</c:v>
                </c:pt>
                <c:pt idx="26">
                  <c:v>0.75175297618694525</c:v>
                </c:pt>
                <c:pt idx="27">
                  <c:v>0.75314934960139135</c:v>
                </c:pt>
                <c:pt idx="28">
                  <c:v>0.75439922643999169</c:v>
                </c:pt>
                <c:pt idx="29">
                  <c:v>0.75551909360226166</c:v>
                </c:pt>
                <c:pt idx="30">
                  <c:v>0.75652337369969924</c:v>
                </c:pt>
                <c:pt idx="31">
                  <c:v>0.75742472173906961</c:v>
                </c:pt>
                <c:pt idx="32">
                  <c:v>0.75823427239344487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449104"/>
        <c:axId val="290853248"/>
      </c:scatterChart>
      <c:valAx>
        <c:axId val="2874491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generations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90853248"/>
        <c:crosses val="autoZero"/>
        <c:crossBetween val="midCat"/>
      </c:valAx>
      <c:valAx>
        <c:axId val="290853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frequencies of 3 genotypes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crossAx val="287449104"/>
        <c:crosses val="autoZero"/>
        <c:crossBetween val="midCat"/>
      </c:valAx>
      <c:spPr>
        <a:solidFill>
          <a:srgbClr val="FFFF0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4</xdr:row>
      <xdr:rowOff>9523</xdr:rowOff>
    </xdr:from>
    <xdr:to>
      <xdr:col>19</xdr:col>
      <xdr:colOff>114300</xdr:colOff>
      <xdr:row>27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314325</xdr:colOff>
      <xdr:row>0</xdr:row>
      <xdr:rowOff>66675</xdr:rowOff>
    </xdr:from>
    <xdr:to>
      <xdr:col>19</xdr:col>
      <xdr:colOff>76200</xdr:colOff>
      <xdr:row>3</xdr:row>
      <xdr:rowOff>95250</xdr:rowOff>
    </xdr:to>
    <xdr:sp macro="" textlink="">
      <xdr:nvSpPr>
        <xdr:cNvPr id="3" name="Rounded Rectangle 2"/>
        <xdr:cNvSpPr/>
      </xdr:nvSpPr>
      <xdr:spPr>
        <a:xfrm>
          <a:off x="9458325" y="66675"/>
          <a:ext cx="2200275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40"/>
  <sheetViews>
    <sheetView tabSelected="1" zoomScaleNormal="100" workbookViewId="0">
      <selection activeCell="F27" sqref="F27"/>
    </sheetView>
  </sheetViews>
  <sheetFormatPr defaultRowHeight="15" x14ac:dyDescent="0.25"/>
  <cols>
    <col min="1" max="1" width="11.5703125" style="1" bestFit="1" customWidth="1"/>
    <col min="2" max="16384" width="9.140625" style="1"/>
  </cols>
  <sheetData>
    <row r="1" spans="1:14" x14ac:dyDescent="0.25">
      <c r="A1" s="11" t="s">
        <v>7</v>
      </c>
      <c r="B1" s="11">
        <v>0.5</v>
      </c>
      <c r="D1" s="11" t="s">
        <v>6</v>
      </c>
      <c r="E1" s="12">
        <v>0.7</v>
      </c>
    </row>
    <row r="2" spans="1:14" x14ac:dyDescent="0.25">
      <c r="A2" s="11" t="s">
        <v>8</v>
      </c>
      <c r="B2" s="12">
        <f>1-B1</f>
        <v>0.5</v>
      </c>
      <c r="D2" s="11" t="s">
        <v>5</v>
      </c>
      <c r="E2" s="12">
        <v>0.1</v>
      </c>
      <c r="J2" s="2" t="s">
        <v>1</v>
      </c>
      <c r="K2" s="2" t="s">
        <v>0</v>
      </c>
      <c r="L2" s="2" t="s">
        <v>4</v>
      </c>
      <c r="M2" s="2" t="s">
        <v>3</v>
      </c>
      <c r="N2" s="2" t="s">
        <v>2</v>
      </c>
    </row>
    <row r="3" spans="1:14" ht="15.75" thickBot="1" x14ac:dyDescent="0.3">
      <c r="I3" s="1">
        <v>1</v>
      </c>
      <c r="J3" s="6">
        <f>B2</f>
        <v>0.5</v>
      </c>
      <c r="K3" s="6">
        <f t="shared" ref="K3:K35" si="0">1-J3</f>
        <v>0.5</v>
      </c>
      <c r="L3" s="6">
        <f t="shared" ref="L3:L35" si="1">K3*K3</f>
        <v>0.25</v>
      </c>
      <c r="M3" s="6">
        <f t="shared" ref="M3:M35" si="2">2*J3*K3</f>
        <v>0.5</v>
      </c>
      <c r="N3" s="6">
        <f t="shared" ref="N3:N35" si="3">J3*J3</f>
        <v>0.25</v>
      </c>
    </row>
    <row r="4" spans="1:14" x14ac:dyDescent="0.25">
      <c r="A4" s="3" t="s">
        <v>9</v>
      </c>
      <c r="B4" s="22">
        <v>0.1</v>
      </c>
      <c r="C4" s="22">
        <v>0.9</v>
      </c>
      <c r="D4" s="13" t="s">
        <v>4</v>
      </c>
      <c r="E4" s="14" t="s">
        <v>3</v>
      </c>
      <c r="F4" s="15" t="s">
        <v>2</v>
      </c>
      <c r="I4" s="1">
        <v>2</v>
      </c>
      <c r="J4" s="7">
        <f t="shared" ref="J4:J35" si="4">(K3*J3+J3^2*(1-$E$2))/(1-$E$1*K3^2-$E$2*J3^2)</f>
        <v>0.59375</v>
      </c>
      <c r="K4" s="6">
        <f t="shared" si="0"/>
        <v>0.40625</v>
      </c>
      <c r="L4" s="6">
        <f t="shared" si="1"/>
        <v>0.1650390625</v>
      </c>
      <c r="M4" s="6">
        <f t="shared" si="2"/>
        <v>0.482421875</v>
      </c>
      <c r="N4" s="6">
        <f t="shared" si="3"/>
        <v>0.3525390625</v>
      </c>
    </row>
    <row r="5" spans="1:14" x14ac:dyDescent="0.25">
      <c r="A5" s="8">
        <v>10</v>
      </c>
      <c r="B5" s="9"/>
      <c r="C5" s="9"/>
      <c r="D5" s="16">
        <v>0.71341602895794898</v>
      </c>
      <c r="E5" s="17">
        <v>0.26244711256830466</v>
      </c>
      <c r="F5" s="18">
        <v>2.4136858473746279E-2</v>
      </c>
      <c r="I5" s="1">
        <v>3</v>
      </c>
      <c r="J5" s="7">
        <f t="shared" si="4"/>
        <v>0.65765869365225404</v>
      </c>
      <c r="K5" s="6">
        <f t="shared" si="0"/>
        <v>0.34234130634774596</v>
      </c>
      <c r="L5" s="6">
        <f t="shared" si="1"/>
        <v>0.11719757003188125</v>
      </c>
      <c r="M5" s="6">
        <f t="shared" si="2"/>
        <v>0.45028747263172941</v>
      </c>
      <c r="N5" s="6">
        <f t="shared" si="3"/>
        <v>0.43251495733638934</v>
      </c>
    </row>
    <row r="6" spans="1:14" x14ac:dyDescent="0.25">
      <c r="A6" s="8">
        <v>20</v>
      </c>
      <c r="B6" s="9"/>
      <c r="C6" s="9"/>
      <c r="D6" s="16">
        <v>0.78418271924626815</v>
      </c>
      <c r="E6" s="17">
        <v>0.20271639953332771</v>
      </c>
      <c r="F6" s="18">
        <v>1.3100881220404204E-2</v>
      </c>
      <c r="I6" s="1">
        <v>4</v>
      </c>
      <c r="J6" s="7">
        <f t="shared" si="4"/>
        <v>0.7024122895047229</v>
      </c>
      <c r="K6" s="6">
        <f t="shared" si="0"/>
        <v>0.2975877104952771</v>
      </c>
      <c r="L6" s="6">
        <f t="shared" si="1"/>
        <v>8.8558445437820862E-2</v>
      </c>
      <c r="M6" s="6">
        <f t="shared" si="2"/>
        <v>0.41805853011491251</v>
      </c>
      <c r="N6" s="6">
        <f t="shared" si="3"/>
        <v>0.49338302444726667</v>
      </c>
    </row>
    <row r="7" spans="1:14" ht="15.75" thickBot="1" x14ac:dyDescent="0.3">
      <c r="A7" s="4">
        <v>30</v>
      </c>
      <c r="B7" s="10"/>
      <c r="C7" s="10"/>
      <c r="D7" s="19">
        <v>0.80161067032332578</v>
      </c>
      <c r="E7" s="20">
        <v>0.18743292003386949</v>
      </c>
      <c r="F7" s="21">
        <v>1.0956409642804829E-2</v>
      </c>
      <c r="G7" s="2"/>
      <c r="H7" s="2"/>
      <c r="I7" s="1">
        <v>5</v>
      </c>
      <c r="J7" s="7">
        <f t="shared" si="4"/>
        <v>0.73488855213093651</v>
      </c>
      <c r="K7" s="6">
        <f t="shared" si="0"/>
        <v>0.26511144786906349</v>
      </c>
      <c r="L7" s="6">
        <f t="shared" si="1"/>
        <v>7.0284079791231163E-2</v>
      </c>
      <c r="M7" s="6">
        <f t="shared" si="2"/>
        <v>0.38965473615566465</v>
      </c>
      <c r="N7" s="6">
        <f t="shared" si="3"/>
        <v>0.54006118405310422</v>
      </c>
    </row>
    <row r="8" spans="1:14" x14ac:dyDescent="0.25">
      <c r="A8" s="3" t="s">
        <v>9</v>
      </c>
      <c r="B8" s="22">
        <v>0.1</v>
      </c>
      <c r="C8" s="22">
        <v>0.5</v>
      </c>
      <c r="D8" s="13" t="s">
        <v>4</v>
      </c>
      <c r="E8" s="14" t="s">
        <v>3</v>
      </c>
      <c r="F8" s="15" t="s">
        <v>2</v>
      </c>
      <c r="G8" s="5"/>
      <c r="H8" s="5"/>
      <c r="I8" s="1">
        <v>6</v>
      </c>
      <c r="J8" s="7">
        <f t="shared" si="4"/>
        <v>0.75923975287793366</v>
      </c>
      <c r="K8" s="6">
        <f t="shared" si="0"/>
        <v>0.24076024712206634</v>
      </c>
      <c r="L8" s="6">
        <f t="shared" si="1"/>
        <v>5.7965496594278451E-2</v>
      </c>
      <c r="M8" s="6">
        <f t="shared" si="2"/>
        <v>0.36558950105557575</v>
      </c>
      <c r="N8" s="6">
        <f t="shared" si="3"/>
        <v>0.57644500235014573</v>
      </c>
    </row>
    <row r="9" spans="1:14" x14ac:dyDescent="0.25">
      <c r="A9" s="8">
        <v>10</v>
      </c>
      <c r="B9" s="9"/>
      <c r="C9" s="9"/>
      <c r="D9" s="16">
        <v>0.55365315068245136</v>
      </c>
      <c r="E9" s="17">
        <v>0.38085115089940841</v>
      </c>
      <c r="F9" s="18">
        <v>6.549569841814025E-2</v>
      </c>
      <c r="G9" s="5"/>
      <c r="H9" s="5"/>
      <c r="I9" s="1">
        <v>7</v>
      </c>
      <c r="J9" s="7">
        <f t="shared" si="4"/>
        <v>0.77801184687520819</v>
      </c>
      <c r="K9" s="6">
        <f t="shared" si="0"/>
        <v>0.22198815312479181</v>
      </c>
      <c r="L9" s="6">
        <f t="shared" si="1"/>
        <v>4.9278740127756016E-2</v>
      </c>
      <c r="M9" s="6">
        <f t="shared" si="2"/>
        <v>0.34541882599407159</v>
      </c>
      <c r="N9" s="6">
        <f t="shared" si="3"/>
        <v>0.6053024338781724</v>
      </c>
    </row>
    <row r="10" spans="1:14" x14ac:dyDescent="0.25">
      <c r="A10" s="8">
        <v>20</v>
      </c>
      <c r="B10" s="9"/>
      <c r="C10" s="9"/>
      <c r="D10" s="16">
        <v>0.6501540883228184</v>
      </c>
      <c r="E10" s="17">
        <v>0.31233448473079889</v>
      </c>
      <c r="F10" s="18">
        <v>3.7511426946382646E-2</v>
      </c>
      <c r="G10" s="5"/>
      <c r="H10" s="5"/>
      <c r="I10" s="1">
        <v>8</v>
      </c>
      <c r="J10" s="7">
        <f t="shared" si="4"/>
        <v>0.79281956968272704</v>
      </c>
      <c r="K10" s="6">
        <f t="shared" si="0"/>
        <v>0.20718043031727296</v>
      </c>
      <c r="L10" s="6">
        <f t="shared" si="1"/>
        <v>4.2923730706450398E-2</v>
      </c>
      <c r="M10" s="6">
        <f t="shared" si="2"/>
        <v>0.32851339922164513</v>
      </c>
      <c r="N10" s="6">
        <f t="shared" si="3"/>
        <v>0.62856287007190448</v>
      </c>
    </row>
    <row r="11" spans="1:14" ht="15.75" thickBot="1" x14ac:dyDescent="0.3">
      <c r="A11" s="4">
        <v>30</v>
      </c>
      <c r="B11" s="10"/>
      <c r="C11" s="10"/>
      <c r="D11" s="19">
        <v>0.67855591970644047</v>
      </c>
      <c r="E11" s="20">
        <v>0.29037827552734591</v>
      </c>
      <c r="F11" s="21">
        <v>3.1065804766213619E-2</v>
      </c>
      <c r="G11" s="5"/>
      <c r="H11" s="5"/>
      <c r="I11" s="1">
        <v>9</v>
      </c>
      <c r="J11" s="7">
        <f t="shared" si="4"/>
        <v>0.8047245233942677</v>
      </c>
      <c r="K11" s="6">
        <f t="shared" si="0"/>
        <v>0.1952754766057323</v>
      </c>
      <c r="L11" s="6">
        <f t="shared" si="1"/>
        <v>3.8132511763595903E-2</v>
      </c>
      <c r="M11" s="6">
        <f t="shared" si="2"/>
        <v>0.31428592968427277</v>
      </c>
      <c r="N11" s="6">
        <f t="shared" si="3"/>
        <v>0.64758155855213129</v>
      </c>
    </row>
    <row r="12" spans="1:14" x14ac:dyDescent="0.25">
      <c r="A12" s="3" t="s">
        <v>9</v>
      </c>
      <c r="B12" s="22">
        <v>0.5</v>
      </c>
      <c r="C12" s="22">
        <v>0.9</v>
      </c>
      <c r="D12" s="13" t="s">
        <v>4</v>
      </c>
      <c r="E12" s="14" t="s">
        <v>3</v>
      </c>
      <c r="F12" s="15" t="s">
        <v>2</v>
      </c>
      <c r="G12" s="5"/>
      <c r="H12" s="5"/>
      <c r="I12" s="1">
        <v>10</v>
      </c>
      <c r="J12" s="7">
        <f t="shared" si="4"/>
        <v>0.81444842002970796</v>
      </c>
      <c r="K12" s="6">
        <f t="shared" si="0"/>
        <v>0.18555157997029204</v>
      </c>
      <c r="L12" s="6">
        <f t="shared" si="1"/>
        <v>3.4429388829471677E-2</v>
      </c>
      <c r="M12" s="6">
        <f t="shared" si="2"/>
        <v>0.30224438228164069</v>
      </c>
      <c r="N12" s="6">
        <f t="shared" si="3"/>
        <v>0.66332622888888759</v>
      </c>
    </row>
    <row r="13" spans="1:14" x14ac:dyDescent="0.25">
      <c r="A13" s="8">
        <v>10</v>
      </c>
      <c r="B13" s="9"/>
      <c r="C13" s="9"/>
      <c r="D13" s="16">
        <v>0.41244038083644324</v>
      </c>
      <c r="E13" s="17">
        <v>0.45954966592752383</v>
      </c>
      <c r="F13" s="18">
        <v>0.1280099532360329</v>
      </c>
      <c r="G13" s="5"/>
      <c r="H13" s="5"/>
      <c r="I13" s="1">
        <v>11</v>
      </c>
      <c r="J13" s="7">
        <f t="shared" si="4"/>
        <v>0.82249681176304401</v>
      </c>
      <c r="K13" s="6">
        <f t="shared" si="0"/>
        <v>0.17750318823695599</v>
      </c>
      <c r="L13" s="6">
        <f t="shared" si="1"/>
        <v>3.1507381834284233E-2</v>
      </c>
      <c r="M13" s="6">
        <f t="shared" si="2"/>
        <v>0.29199161280534353</v>
      </c>
      <c r="N13" s="6">
        <f t="shared" si="3"/>
        <v>0.67650100536037228</v>
      </c>
    </row>
    <row r="14" spans="1:14" x14ac:dyDescent="0.25">
      <c r="A14" s="8">
        <v>20</v>
      </c>
      <c r="B14" s="9"/>
      <c r="C14" s="9"/>
      <c r="D14" s="16">
        <v>0.41326396200338805</v>
      </c>
      <c r="E14" s="17">
        <v>0.45918427085393704</v>
      </c>
      <c r="F14" s="18">
        <v>0.12755176714267502</v>
      </c>
      <c r="G14" s="5"/>
      <c r="H14" s="5"/>
      <c r="I14" s="1">
        <v>12</v>
      </c>
      <c r="J14" s="7">
        <f t="shared" si="4"/>
        <v>0.82923330712823984</v>
      </c>
      <c r="K14" s="6">
        <f t="shared" si="0"/>
        <v>0.17076669287176016</v>
      </c>
      <c r="L14" s="6">
        <f t="shared" si="1"/>
        <v>2.9161263394358063E-2</v>
      </c>
      <c r="M14" s="6">
        <f t="shared" si="2"/>
        <v>0.28321085895480419</v>
      </c>
      <c r="N14" s="6">
        <f t="shared" si="3"/>
        <v>0.68762787765083777</v>
      </c>
    </row>
    <row r="15" spans="1:14" ht="15.75" thickBot="1" x14ac:dyDescent="0.3">
      <c r="A15" s="4">
        <v>30</v>
      </c>
      <c r="B15" s="10"/>
      <c r="C15" s="10"/>
      <c r="D15" s="19">
        <v>0.41326530393014382</v>
      </c>
      <c r="E15" s="20">
        <v>0.45918367444374558</v>
      </c>
      <c r="F15" s="21">
        <v>0.12755102162611057</v>
      </c>
      <c r="G15" s="5"/>
      <c r="H15" s="5"/>
      <c r="I15" s="1">
        <v>13</v>
      </c>
      <c r="J15" s="7">
        <f t="shared" si="4"/>
        <v>0.83492556808495</v>
      </c>
      <c r="K15" s="6">
        <f t="shared" si="0"/>
        <v>0.16507443191505</v>
      </c>
      <c r="L15" s="6">
        <f t="shared" si="1"/>
        <v>2.7249568072076479E-2</v>
      </c>
      <c r="M15" s="6">
        <f t="shared" si="2"/>
        <v>0.27564972768594703</v>
      </c>
      <c r="N15" s="6">
        <f t="shared" si="3"/>
        <v>0.69710070424197645</v>
      </c>
    </row>
    <row r="16" spans="1:14" x14ac:dyDescent="0.25">
      <c r="A16" s="3" t="s">
        <v>9</v>
      </c>
      <c r="B16" s="22">
        <v>0.5</v>
      </c>
      <c r="C16" s="22">
        <v>0.1</v>
      </c>
      <c r="D16" s="13" t="s">
        <v>4</v>
      </c>
      <c r="E16" s="14" t="s">
        <v>3</v>
      </c>
      <c r="F16" s="15" t="s">
        <v>2</v>
      </c>
      <c r="G16" s="5"/>
      <c r="H16" s="5"/>
      <c r="I16" s="1">
        <v>14</v>
      </c>
      <c r="J16" s="7">
        <f t="shared" si="4"/>
        <v>0.83977469959966888</v>
      </c>
      <c r="K16" s="6">
        <f t="shared" si="0"/>
        <v>0.16022530040033112</v>
      </c>
      <c r="L16" s="6">
        <f t="shared" si="1"/>
        <v>2.5672146888376348E-2</v>
      </c>
      <c r="M16" s="6">
        <f t="shared" si="2"/>
        <v>0.26910630702390953</v>
      </c>
      <c r="N16" s="6">
        <f t="shared" si="3"/>
        <v>0.70522154608771415</v>
      </c>
    </row>
    <row r="17" spans="1:14" x14ac:dyDescent="0.25">
      <c r="A17" s="8">
        <v>10</v>
      </c>
      <c r="B17" s="9"/>
      <c r="C17" s="9"/>
      <c r="D17" s="16">
        <v>6.5495698418140194E-2</v>
      </c>
      <c r="E17" s="17">
        <v>0.3808511508994083</v>
      </c>
      <c r="F17" s="18">
        <v>0.55365315068245147</v>
      </c>
      <c r="G17" s="5"/>
      <c r="H17" s="5"/>
      <c r="I17" s="1">
        <v>15</v>
      </c>
      <c r="J17" s="7">
        <f t="shared" si="4"/>
        <v>0.84393455660216776</v>
      </c>
      <c r="K17" s="6">
        <f t="shared" si="0"/>
        <v>0.15606544339783224</v>
      </c>
      <c r="L17" s="6">
        <f t="shared" si="1"/>
        <v>2.4356422622961976E-2</v>
      </c>
      <c r="M17" s="6">
        <f t="shared" si="2"/>
        <v>0.26341804154974052</v>
      </c>
      <c r="N17" s="6">
        <f t="shared" si="3"/>
        <v>0.71222553582729753</v>
      </c>
    </row>
    <row r="18" spans="1:14" x14ac:dyDescent="0.25">
      <c r="A18" s="8">
        <v>20</v>
      </c>
      <c r="B18" s="9"/>
      <c r="C18" s="9"/>
      <c r="D18" s="16">
        <v>3.7511426946382653E-2</v>
      </c>
      <c r="E18" s="17">
        <v>0.31233448473079894</v>
      </c>
      <c r="F18" s="18">
        <v>0.6501540883228184</v>
      </c>
      <c r="G18" s="5"/>
      <c r="H18" s="5"/>
      <c r="I18" s="1">
        <v>16</v>
      </c>
      <c r="J18" s="7">
        <f t="shared" si="4"/>
        <v>0.84752474959976742</v>
      </c>
      <c r="K18" s="6">
        <f t="shared" si="0"/>
        <v>0.15247525040023258</v>
      </c>
      <c r="L18" s="6">
        <f t="shared" si="1"/>
        <v>2.3248701984613623E-2</v>
      </c>
      <c r="M18" s="6">
        <f t="shared" si="2"/>
        <v>0.25845309683123791</v>
      </c>
      <c r="N18" s="6">
        <f t="shared" si="3"/>
        <v>0.71829820118414844</v>
      </c>
    </row>
    <row r="19" spans="1:14" ht="15.75" thickBot="1" x14ac:dyDescent="0.3">
      <c r="A19" s="4">
        <v>30</v>
      </c>
      <c r="B19" s="10"/>
      <c r="C19" s="10"/>
      <c r="D19" s="19">
        <v>3.1065804766213512E-2</v>
      </c>
      <c r="E19" s="20">
        <v>0.29037827552734552</v>
      </c>
      <c r="F19" s="21">
        <v>0.67855591970644102</v>
      </c>
      <c r="G19" s="5"/>
      <c r="H19" s="5"/>
      <c r="I19" s="1">
        <v>17</v>
      </c>
      <c r="J19" s="7">
        <f t="shared" si="4"/>
        <v>0.85063960605842115</v>
      </c>
      <c r="K19" s="6">
        <f t="shared" si="0"/>
        <v>0.14936039394157885</v>
      </c>
      <c r="L19" s="6">
        <f t="shared" si="1"/>
        <v>2.2308527278383623E-2</v>
      </c>
      <c r="M19" s="6">
        <f t="shared" si="2"/>
        <v>0.25410373332639047</v>
      </c>
      <c r="N19" s="6">
        <f t="shared" si="3"/>
        <v>0.72358773939522592</v>
      </c>
    </row>
    <row r="20" spans="1:14" x14ac:dyDescent="0.25">
      <c r="A20" s="3" t="s">
        <v>9</v>
      </c>
      <c r="B20" s="22">
        <v>0.7</v>
      </c>
      <c r="C20" s="22">
        <v>0.5</v>
      </c>
      <c r="D20" s="13" t="s">
        <v>4</v>
      </c>
      <c r="E20" s="14" t="s">
        <v>3</v>
      </c>
      <c r="F20" s="15" t="s">
        <v>2</v>
      </c>
      <c r="G20" s="5"/>
      <c r="H20" s="5"/>
      <c r="I20" s="1">
        <v>18</v>
      </c>
      <c r="J20" s="7">
        <f t="shared" si="4"/>
        <v>0.85335447255957553</v>
      </c>
      <c r="K20" s="6">
        <f t="shared" si="0"/>
        <v>0.14664552744042447</v>
      </c>
      <c r="L20" s="6">
        <f t="shared" si="1"/>
        <v>2.1504910718280288E-2</v>
      </c>
      <c r="M20" s="6">
        <f t="shared" si="2"/>
        <v>0.25028123344428838</v>
      </c>
      <c r="N20" s="6">
        <f t="shared" si="3"/>
        <v>0.72821385583743137</v>
      </c>
    </row>
    <row r="21" spans="1:14" x14ac:dyDescent="0.25">
      <c r="A21" s="8">
        <v>10</v>
      </c>
      <c r="B21" s="9"/>
      <c r="C21" s="9"/>
      <c r="D21" s="16">
        <v>0.17453420264663677</v>
      </c>
      <c r="E21" s="17">
        <v>0.48647741067766836</v>
      </c>
      <c r="F21" s="18">
        <v>0.33898838667569486</v>
      </c>
      <c r="G21" s="5"/>
      <c r="H21" s="5"/>
      <c r="I21" s="1">
        <v>19</v>
      </c>
      <c r="J21" s="7">
        <f t="shared" si="4"/>
        <v>0.85573022950323274</v>
      </c>
      <c r="K21" s="6">
        <f t="shared" si="0"/>
        <v>0.14426977049676726</v>
      </c>
      <c r="L21" s="6">
        <f t="shared" si="1"/>
        <v>2.0813766679189896E-2</v>
      </c>
      <c r="M21" s="6">
        <f t="shared" si="2"/>
        <v>0.24691200763515472</v>
      </c>
      <c r="N21" s="6">
        <f t="shared" si="3"/>
        <v>0.73227422568565537</v>
      </c>
    </row>
    <row r="22" spans="1:14" x14ac:dyDescent="0.25">
      <c r="A22" s="8">
        <v>20</v>
      </c>
      <c r="B22" s="9"/>
      <c r="C22" s="9"/>
      <c r="D22" s="16">
        <v>0.17361567806415118</v>
      </c>
      <c r="E22" s="17">
        <v>0.48611293782024612</v>
      </c>
      <c r="F22" s="18">
        <v>0.3402713841156027</v>
      </c>
      <c r="G22" s="5"/>
      <c r="H22" s="5"/>
      <c r="I22" s="1">
        <v>20</v>
      </c>
      <c r="J22" s="7">
        <f t="shared" si="4"/>
        <v>0.85781658003224204</v>
      </c>
      <c r="K22" s="6">
        <f t="shared" si="0"/>
        <v>0.14218341996775796</v>
      </c>
      <c r="L22" s="6">
        <f t="shared" si="1"/>
        <v>2.0216124913727835E-2</v>
      </c>
      <c r="M22" s="6">
        <f t="shared" si="2"/>
        <v>0.24393459010806026</v>
      </c>
      <c r="N22" s="6">
        <f t="shared" si="3"/>
        <v>0.73584928497821189</v>
      </c>
    </row>
    <row r="23" spans="1:14" ht="15.75" thickBot="1" x14ac:dyDescent="0.3">
      <c r="A23" s="4">
        <v>30</v>
      </c>
      <c r="B23" s="10"/>
      <c r="C23" s="10"/>
      <c r="D23" s="19">
        <v>0.17361113376442439</v>
      </c>
      <c r="E23" s="20">
        <v>0.48611112017243463</v>
      </c>
      <c r="F23" s="21">
        <v>0.34027774606314098</v>
      </c>
      <c r="G23" s="5"/>
      <c r="H23" s="5"/>
      <c r="I23" s="1">
        <v>21</v>
      </c>
      <c r="J23" s="7">
        <f t="shared" si="4"/>
        <v>0.85965448287557233</v>
      </c>
      <c r="K23" s="6">
        <f t="shared" si="0"/>
        <v>0.14034551712442767</v>
      </c>
      <c r="L23" s="6">
        <f t="shared" si="1"/>
        <v>1.9696864176923019E-2</v>
      </c>
      <c r="M23" s="6">
        <f t="shared" si="2"/>
        <v>0.24129730589500931</v>
      </c>
      <c r="N23" s="6">
        <f t="shared" si="3"/>
        <v>0.73900582992806774</v>
      </c>
    </row>
    <row r="24" spans="1:14" x14ac:dyDescent="0.25">
      <c r="A24" s="3" t="s">
        <v>9</v>
      </c>
      <c r="B24" s="22">
        <v>0.7</v>
      </c>
      <c r="C24" s="22">
        <v>0.1</v>
      </c>
      <c r="D24" s="13" t="s">
        <v>4</v>
      </c>
      <c r="E24" s="14" t="s">
        <v>3</v>
      </c>
      <c r="F24" s="15" t="s">
        <v>2</v>
      </c>
      <c r="G24" s="5"/>
      <c r="H24" s="5"/>
      <c r="I24" s="1">
        <v>22</v>
      </c>
      <c r="J24" s="7">
        <f t="shared" si="4"/>
        <v>0.86127797725650401</v>
      </c>
      <c r="K24" s="6">
        <f t="shared" si="0"/>
        <v>0.13872202274349599</v>
      </c>
      <c r="L24" s="6">
        <f t="shared" si="1"/>
        <v>1.9243799594047019E-2</v>
      </c>
      <c r="M24" s="6">
        <f t="shared" si="2"/>
        <v>0.23895644629889795</v>
      </c>
      <c r="N24" s="6">
        <f t="shared" si="3"/>
        <v>0.74179975410705501</v>
      </c>
    </row>
    <row r="25" spans="1:14" x14ac:dyDescent="0.25">
      <c r="A25" s="8">
        <v>10</v>
      </c>
      <c r="B25" s="9"/>
      <c r="C25" s="9"/>
      <c r="D25" s="16">
        <v>3.8132511763595903E-2</v>
      </c>
      <c r="E25" s="17">
        <v>0.31428592968427277</v>
      </c>
      <c r="F25" s="18">
        <v>0.64758155855213129</v>
      </c>
      <c r="G25" s="5"/>
      <c r="H25" s="5"/>
      <c r="I25" s="1">
        <v>23</v>
      </c>
      <c r="J25" s="7">
        <f t="shared" si="4"/>
        <v>0.8627155694408416</v>
      </c>
      <c r="K25" s="6">
        <f t="shared" si="0"/>
        <v>0.1372844305591584</v>
      </c>
      <c r="L25" s="6">
        <f t="shared" si="1"/>
        <v>1.8847014873952385E-2</v>
      </c>
      <c r="M25" s="6">
        <f t="shared" si="2"/>
        <v>0.23687483137041204</v>
      </c>
      <c r="N25" s="6">
        <f t="shared" si="3"/>
        <v>0.74427815375563555</v>
      </c>
    </row>
    <row r="26" spans="1:14" x14ac:dyDescent="0.25">
      <c r="A26" s="8">
        <v>20</v>
      </c>
      <c r="B26" s="9"/>
      <c r="C26" s="9"/>
      <c r="D26" s="16">
        <v>2.0813766679189896E-2</v>
      </c>
      <c r="E26" s="17">
        <v>0.24691200763515472</v>
      </c>
      <c r="F26" s="18">
        <v>0.73227422568565537</v>
      </c>
      <c r="G26" s="5"/>
      <c r="H26" s="5"/>
      <c r="I26" s="1">
        <v>24</v>
      </c>
      <c r="J26" s="7">
        <f t="shared" si="4"/>
        <v>0.8639912987343169</v>
      </c>
      <c r="K26" s="6">
        <f t="shared" si="0"/>
        <v>0.1360087012656831</v>
      </c>
      <c r="L26" s="6">
        <f t="shared" si="1"/>
        <v>1.8498366819977827E-2</v>
      </c>
      <c r="M26" s="6">
        <f t="shared" si="2"/>
        <v>0.23502066889141054</v>
      </c>
      <c r="N26" s="6">
        <f t="shared" si="3"/>
        <v>0.74648096428861166</v>
      </c>
    </row>
    <row r="27" spans="1:14" ht="15.75" thickBot="1" x14ac:dyDescent="0.3">
      <c r="A27" s="4">
        <v>30</v>
      </c>
      <c r="B27" s="10"/>
      <c r="C27" s="10"/>
      <c r="D27" s="19">
        <v>1.7276057013031695E-2</v>
      </c>
      <c r="E27" s="20">
        <v>0.22832471654697661</v>
      </c>
      <c r="F27" s="21">
        <v>0.75439922643999169</v>
      </c>
      <c r="G27" s="5"/>
      <c r="H27" s="5"/>
      <c r="I27" s="1">
        <v>25</v>
      </c>
      <c r="J27" s="7">
        <f t="shared" si="4"/>
        <v>0.86512556602733781</v>
      </c>
      <c r="K27" s="6">
        <f t="shared" si="0"/>
        <v>0.13487443397266219</v>
      </c>
      <c r="L27" s="6">
        <f t="shared" si="1"/>
        <v>1.8191112939446013E-2</v>
      </c>
      <c r="M27" s="6">
        <f t="shared" si="2"/>
        <v>0.23336664206643234</v>
      </c>
      <c r="N27" s="6">
        <f t="shared" si="3"/>
        <v>0.7484422449941216</v>
      </c>
    </row>
    <row r="28" spans="1:14" x14ac:dyDescent="0.25">
      <c r="G28" s="5"/>
      <c r="H28" s="5"/>
      <c r="I28" s="1">
        <v>26</v>
      </c>
      <c r="J28" s="7">
        <f t="shared" si="4"/>
        <v>0.8661357843287335</v>
      </c>
      <c r="K28" s="6">
        <f t="shared" si="0"/>
        <v>0.1338642156712665</v>
      </c>
      <c r="L28" s="6">
        <f t="shared" si="1"/>
        <v>1.7919628237283349E-2</v>
      </c>
      <c r="M28" s="6">
        <f t="shared" si="2"/>
        <v>0.23188917486796629</v>
      </c>
      <c r="N28" s="6">
        <f t="shared" si="3"/>
        <v>0.75019119689475033</v>
      </c>
    </row>
    <row r="29" spans="1:14" x14ac:dyDescent="0.25">
      <c r="G29" s="5"/>
      <c r="H29" s="5"/>
      <c r="I29" s="1">
        <v>27</v>
      </c>
      <c r="J29" s="7">
        <f t="shared" si="4"/>
        <v>0.86703689436317832</v>
      </c>
      <c r="K29" s="6">
        <f t="shared" si="0"/>
        <v>0.13296310563682168</v>
      </c>
      <c r="L29" s="6">
        <f t="shared" si="1"/>
        <v>1.7679187460588601E-2</v>
      </c>
      <c r="M29" s="6">
        <f t="shared" si="2"/>
        <v>0.23056783635246617</v>
      </c>
      <c r="N29" s="6">
        <f t="shared" si="3"/>
        <v>0.75175297618694525</v>
      </c>
    </row>
    <row r="30" spans="1:14" x14ac:dyDescent="0.25">
      <c r="G30" s="5"/>
      <c r="H30" s="5"/>
      <c r="I30" s="1">
        <v>28</v>
      </c>
      <c r="J30" s="7">
        <f t="shared" si="4"/>
        <v>0.86784177682420394</v>
      </c>
      <c r="K30" s="6">
        <f t="shared" si="0"/>
        <v>0.13215822317579606</v>
      </c>
      <c r="L30" s="6">
        <f t="shared" si="1"/>
        <v>1.7465795952983521E-2</v>
      </c>
      <c r="M30" s="6">
        <f t="shared" si="2"/>
        <v>0.22938485444562509</v>
      </c>
      <c r="N30" s="6">
        <f t="shared" si="3"/>
        <v>0.75314934960139135</v>
      </c>
    </row>
    <row r="31" spans="1:14" x14ac:dyDescent="0.25">
      <c r="G31" s="5"/>
      <c r="H31" s="5"/>
      <c r="I31" s="1">
        <v>29</v>
      </c>
      <c r="J31" s="7">
        <f t="shared" si="4"/>
        <v>0.86856158471347999</v>
      </c>
      <c r="K31" s="6">
        <f t="shared" si="0"/>
        <v>0.13143841528652001</v>
      </c>
      <c r="L31" s="6">
        <f t="shared" si="1"/>
        <v>1.7276057013031695E-2</v>
      </c>
      <c r="M31" s="6">
        <f t="shared" si="2"/>
        <v>0.22832471654697661</v>
      </c>
      <c r="N31" s="6">
        <f t="shared" si="3"/>
        <v>0.75439922643999169</v>
      </c>
    </row>
    <row r="32" spans="1:14" x14ac:dyDescent="0.25">
      <c r="G32" s="5"/>
      <c r="H32" s="5"/>
      <c r="I32" s="1">
        <v>30</v>
      </c>
      <c r="J32" s="7">
        <f t="shared" si="4"/>
        <v>0.86920601332610536</v>
      </c>
      <c r="K32" s="6">
        <f t="shared" si="0"/>
        <v>0.13079398667389464</v>
      </c>
      <c r="L32" s="6">
        <f t="shared" si="1"/>
        <v>1.7107066950050927E-2</v>
      </c>
      <c r="M32" s="6">
        <f t="shared" si="2"/>
        <v>0.22737383944768741</v>
      </c>
      <c r="N32" s="6">
        <f t="shared" si="3"/>
        <v>0.75551909360226166</v>
      </c>
    </row>
    <row r="33" spans="7:14" x14ac:dyDescent="0.25">
      <c r="G33" s="5"/>
      <c r="H33" s="5"/>
      <c r="I33" s="1">
        <v>31</v>
      </c>
      <c r="J33" s="7">
        <f t="shared" si="4"/>
        <v>0.86978352117046875</v>
      </c>
      <c r="K33" s="6">
        <f t="shared" si="0"/>
        <v>0.13021647882953125</v>
      </c>
      <c r="L33" s="6">
        <f t="shared" si="1"/>
        <v>1.6956331358761758E-2</v>
      </c>
      <c r="M33" s="6">
        <f t="shared" si="2"/>
        <v>0.22652029494153897</v>
      </c>
      <c r="N33" s="6">
        <f t="shared" si="3"/>
        <v>0.75652337369969924</v>
      </c>
    </row>
    <row r="34" spans="7:14" x14ac:dyDescent="0.25">
      <c r="G34" s="5"/>
      <c r="H34" s="5"/>
      <c r="I34" s="1">
        <v>32</v>
      </c>
      <c r="J34" s="7">
        <f t="shared" si="4"/>
        <v>0.870301511971035</v>
      </c>
      <c r="K34" s="6">
        <f t="shared" si="0"/>
        <v>0.129698488028965</v>
      </c>
      <c r="L34" s="6">
        <f t="shared" si="1"/>
        <v>1.6821697796999577E-2</v>
      </c>
      <c r="M34" s="6">
        <f t="shared" si="2"/>
        <v>0.22575358046393085</v>
      </c>
      <c r="N34" s="6">
        <f t="shared" si="3"/>
        <v>0.75742472173906961</v>
      </c>
    </row>
    <row r="35" spans="7:14" x14ac:dyDescent="0.25">
      <c r="G35" s="5"/>
      <c r="H35" s="5"/>
      <c r="I35" s="1">
        <v>33</v>
      </c>
      <c r="J35" s="7">
        <f t="shared" si="4"/>
        <v>0.87076648557087044</v>
      </c>
      <c r="K35" s="6">
        <f t="shared" si="0"/>
        <v>0.12923351442912956</v>
      </c>
      <c r="L35" s="6">
        <f t="shared" si="1"/>
        <v>1.6701301251704038E-2</v>
      </c>
      <c r="M35" s="6">
        <f t="shared" si="2"/>
        <v>0.22506442635485105</v>
      </c>
      <c r="N35" s="6">
        <f t="shared" si="3"/>
        <v>0.75823427239344487</v>
      </c>
    </row>
    <row r="36" spans="7:14" x14ac:dyDescent="0.25">
      <c r="G36" s="5"/>
      <c r="H36" s="5"/>
    </row>
    <row r="37" spans="7:14" x14ac:dyDescent="0.25">
      <c r="G37" s="5"/>
      <c r="H37" s="5"/>
    </row>
    <row r="38" spans="7:14" x14ac:dyDescent="0.25">
      <c r="G38" s="5"/>
      <c r="H38" s="5"/>
    </row>
    <row r="39" spans="7:14" x14ac:dyDescent="0.25">
      <c r="G39" s="5"/>
      <c r="H39" s="5"/>
    </row>
    <row r="40" spans="7:14" x14ac:dyDescent="0.25">
      <c r="G40" s="5"/>
      <c r="H40" s="5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GenePool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2012-12-16T18:26:11Z</dcterms:created>
  <dcterms:modified xsi:type="dcterms:W3CDTF">2016-11-07T16:15:02Z</dcterms:modified>
</cp:coreProperties>
</file>