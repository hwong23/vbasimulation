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VBA-Simulations\3-Genetics\"/>
    </mc:Choice>
  </mc:AlternateContent>
  <bookViews>
    <workbookView xWindow="720" yWindow="330" windowWidth="19320" windowHeight="9750"/>
  </bookViews>
  <sheets>
    <sheet name="GeneticDrift" sheetId="20" r:id="rId1"/>
  </sheets>
  <calcPr calcId="152511"/>
</workbook>
</file>

<file path=xl/calcChain.xml><?xml version="1.0" encoding="utf-8"?>
<calcChain xmlns="http://schemas.openxmlformats.org/spreadsheetml/2006/main">
  <c r="C3" i="20" l="1"/>
  <c r="D3" i="20"/>
  <c r="C4" i="20"/>
  <c r="D4" i="20"/>
  <c r="C2" i="20" l="1"/>
  <c r="G3" i="20" l="1"/>
  <c r="D2" i="20" l="1"/>
  <c r="E3" i="20"/>
  <c r="B4" i="20"/>
  <c r="D5" i="20" l="1"/>
  <c r="C5" i="20"/>
  <c r="C8" i="20"/>
  <c r="B8" i="20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B67" i="20" s="1"/>
  <c r="B68" i="20" s="1"/>
  <c r="B69" i="20" s="1"/>
  <c r="B70" i="20" s="1"/>
  <c r="B71" i="20" s="1"/>
  <c r="B72" i="20" s="1"/>
  <c r="B73" i="20" s="1"/>
  <c r="B74" i="20" s="1"/>
  <c r="B75" i="20" s="1"/>
  <c r="B76" i="20" s="1"/>
  <c r="B77" i="20" s="1"/>
  <c r="B78" i="20" s="1"/>
  <c r="B79" i="20" s="1"/>
  <c r="B80" i="20" s="1"/>
  <c r="B81" i="20" s="1"/>
  <c r="B82" i="20" s="1"/>
  <c r="B83" i="20" s="1"/>
  <c r="B84" i="20" s="1"/>
  <c r="B85" i="20" s="1"/>
  <c r="B86" i="20" s="1"/>
  <c r="B87" i="20" s="1"/>
  <c r="B88" i="20" s="1"/>
  <c r="B89" i="20" s="1"/>
  <c r="B90" i="20" s="1"/>
  <c r="B91" i="20" s="1"/>
  <c r="B92" i="20" s="1"/>
  <c r="B93" i="20" s="1"/>
  <c r="B94" i="20" s="1"/>
  <c r="B95" i="20" s="1"/>
  <c r="B96" i="20" s="1"/>
  <c r="B97" i="20" s="1"/>
  <c r="B98" i="20" s="1"/>
  <c r="B99" i="20" s="1"/>
  <c r="B100" i="20" s="1"/>
  <c r="B101" i="20" s="1"/>
  <c r="B102" i="20" s="1"/>
  <c r="B103" i="20" s="1"/>
  <c r="B104" i="20" s="1"/>
  <c r="B105" i="20" s="1"/>
  <c r="B106" i="20" s="1"/>
  <c r="B107" i="20" s="1"/>
  <c r="B108" i="20" s="1"/>
  <c r="D8" i="20" l="1"/>
  <c r="E4" i="20"/>
  <c r="D9" i="20"/>
  <c r="C9" i="20"/>
  <c r="D10" i="20" l="1"/>
  <c r="C10" i="20"/>
  <c r="D11" i="20" l="1"/>
  <c r="C11" i="20"/>
  <c r="D12" i="20" l="1"/>
  <c r="C12" i="20"/>
  <c r="D13" i="20" l="1"/>
  <c r="C13" i="20"/>
  <c r="D14" i="20" l="1"/>
  <c r="C14" i="20"/>
  <c r="D15" i="20" l="1"/>
  <c r="C15" i="20"/>
  <c r="D16" i="20" l="1"/>
  <c r="C16" i="20"/>
  <c r="D17" i="20" l="1"/>
  <c r="C17" i="20"/>
  <c r="D18" i="20" l="1"/>
  <c r="C18" i="20"/>
  <c r="D19" i="20" l="1"/>
  <c r="C19" i="20"/>
  <c r="D20" i="20" l="1"/>
  <c r="C20" i="20"/>
  <c r="D21" i="20" l="1"/>
  <c r="C21" i="20"/>
  <c r="D22" i="20" l="1"/>
  <c r="C22" i="20"/>
  <c r="C23" i="20" l="1"/>
  <c r="D23" i="20"/>
  <c r="C24" i="20" l="1"/>
  <c r="D24" i="20"/>
  <c r="D25" i="20" l="1"/>
  <c r="C25" i="20"/>
  <c r="D26" i="20" l="1"/>
  <c r="C26" i="20"/>
  <c r="D27" i="20" l="1"/>
  <c r="C27" i="20"/>
  <c r="C28" i="20" l="1"/>
  <c r="D28" i="20"/>
  <c r="D29" i="20" l="1"/>
  <c r="C29" i="20"/>
  <c r="C30" i="20" l="1"/>
  <c r="D30" i="20"/>
  <c r="D31" i="20" l="1"/>
  <c r="C31" i="20"/>
  <c r="C32" i="20" l="1"/>
  <c r="D32" i="20"/>
  <c r="D33" i="20" l="1"/>
  <c r="C33" i="20"/>
  <c r="D34" i="20" l="1"/>
  <c r="C34" i="20"/>
  <c r="D35" i="20" l="1"/>
  <c r="C35" i="20"/>
  <c r="C36" i="20" l="1"/>
  <c r="D36" i="20"/>
  <c r="D37" i="20" l="1"/>
  <c r="C37" i="20"/>
  <c r="D38" i="20" l="1"/>
  <c r="C38" i="20"/>
  <c r="C39" i="20" l="1"/>
  <c r="D39" i="20"/>
  <c r="C40" i="20" l="1"/>
  <c r="D40" i="20"/>
  <c r="D41" i="20" l="1"/>
  <c r="C41" i="20"/>
  <c r="D42" i="20" l="1"/>
  <c r="C42" i="20"/>
  <c r="D43" i="20" l="1"/>
  <c r="C43" i="20"/>
  <c r="C44" i="20" l="1"/>
  <c r="D44" i="20"/>
  <c r="D45" i="20" l="1"/>
  <c r="C45" i="20"/>
  <c r="C46" i="20" l="1"/>
  <c r="D46" i="20"/>
  <c r="D47" i="20" l="1"/>
  <c r="C47" i="20"/>
  <c r="C48" i="20" l="1"/>
  <c r="D48" i="20"/>
  <c r="D49" i="20" l="1"/>
  <c r="C49" i="20"/>
  <c r="D50" i="20" l="1"/>
  <c r="C50" i="20"/>
  <c r="D51" i="20" l="1"/>
  <c r="C51" i="20"/>
  <c r="C52" i="20" l="1"/>
  <c r="D52" i="20"/>
  <c r="D53" i="20" l="1"/>
  <c r="C53" i="20"/>
  <c r="D54" i="20" l="1"/>
  <c r="C54" i="20"/>
  <c r="C55" i="20" l="1"/>
  <c r="D55" i="20"/>
  <c r="C56" i="20" l="1"/>
  <c r="D56" i="20"/>
  <c r="D57" i="20" l="1"/>
  <c r="C57" i="20"/>
  <c r="D58" i="20" l="1"/>
  <c r="C58" i="20"/>
  <c r="D59" i="20" l="1"/>
  <c r="C59" i="20"/>
  <c r="C60" i="20" l="1"/>
  <c r="D60" i="20"/>
  <c r="D61" i="20" l="1"/>
  <c r="C61" i="20"/>
  <c r="C62" i="20" l="1"/>
  <c r="D62" i="20"/>
  <c r="D63" i="20" l="1"/>
  <c r="C63" i="20"/>
  <c r="C64" i="20" l="1"/>
  <c r="D64" i="20"/>
  <c r="D65" i="20" l="1"/>
  <c r="C65" i="20"/>
  <c r="D66" i="20" l="1"/>
  <c r="C66" i="20"/>
  <c r="D67" i="20" l="1"/>
  <c r="C67" i="20"/>
  <c r="C68" i="20" l="1"/>
  <c r="D68" i="20"/>
  <c r="D69" i="20" l="1"/>
  <c r="C69" i="20"/>
  <c r="D70" i="20" l="1"/>
  <c r="C70" i="20"/>
  <c r="C71" i="20" l="1"/>
  <c r="D71" i="20"/>
  <c r="C72" i="20" l="1"/>
  <c r="D72" i="20"/>
  <c r="D73" i="20" l="1"/>
  <c r="C73" i="20"/>
  <c r="D74" i="20" l="1"/>
  <c r="C74" i="20"/>
  <c r="D75" i="20" l="1"/>
  <c r="C75" i="20"/>
  <c r="C76" i="20" l="1"/>
  <c r="D76" i="20"/>
  <c r="D77" i="20" l="1"/>
  <c r="C77" i="20"/>
  <c r="C78" i="20" l="1"/>
  <c r="D78" i="20"/>
  <c r="D79" i="20" l="1"/>
  <c r="C79" i="20"/>
  <c r="C80" i="20" l="1"/>
  <c r="D80" i="20"/>
  <c r="D81" i="20" l="1"/>
  <c r="C81" i="20"/>
  <c r="D82" i="20" l="1"/>
  <c r="C82" i="20"/>
  <c r="D83" i="20" l="1"/>
  <c r="C83" i="20"/>
  <c r="C84" i="20" l="1"/>
  <c r="D84" i="20"/>
  <c r="D85" i="20" l="1"/>
  <c r="C85" i="20"/>
  <c r="D86" i="20" l="1"/>
  <c r="C86" i="20"/>
  <c r="D87" i="20" l="1"/>
  <c r="C87" i="20"/>
  <c r="C88" i="20" l="1"/>
  <c r="D88" i="20"/>
  <c r="D89" i="20" l="1"/>
  <c r="C89" i="20"/>
  <c r="D90" i="20" l="1"/>
  <c r="C90" i="20"/>
  <c r="D91" i="20" l="1"/>
  <c r="C91" i="20"/>
  <c r="C92" i="20" l="1"/>
  <c r="D92" i="20"/>
  <c r="D93" i="20" l="1"/>
  <c r="C93" i="20"/>
  <c r="D94" i="20" l="1"/>
  <c r="C94" i="20"/>
  <c r="D95" i="20" l="1"/>
  <c r="C95" i="20"/>
  <c r="C96" i="20" l="1"/>
  <c r="D96" i="20"/>
  <c r="D97" i="20" l="1"/>
  <c r="C97" i="20"/>
  <c r="D98" i="20" l="1"/>
  <c r="C98" i="20"/>
  <c r="D99" i="20" l="1"/>
  <c r="C99" i="20"/>
  <c r="C100" i="20" l="1"/>
  <c r="D100" i="20"/>
  <c r="D101" i="20" l="1"/>
  <c r="C101" i="20"/>
  <c r="D102" i="20" l="1"/>
  <c r="C102" i="20"/>
  <c r="D103" i="20" l="1"/>
  <c r="C103" i="20"/>
  <c r="C104" i="20" l="1"/>
  <c r="D104" i="20"/>
  <c r="D105" i="20" l="1"/>
  <c r="C105" i="20"/>
  <c r="D106" i="20" l="1"/>
  <c r="C106" i="20"/>
  <c r="D107" i="20" l="1"/>
  <c r="C107" i="20"/>
  <c r="C108" i="20" l="1"/>
  <c r="D108" i="20"/>
</calcChain>
</file>

<file path=xl/sharedStrings.xml><?xml version="1.0" encoding="utf-8"?>
<sst xmlns="http://schemas.openxmlformats.org/spreadsheetml/2006/main" count="11" uniqueCount="9">
  <si>
    <t>aa</t>
  </si>
  <si>
    <t>Aa</t>
  </si>
  <si>
    <t>AA</t>
  </si>
  <si>
    <t>A</t>
  </si>
  <si>
    <t>Parents</t>
  </si>
  <si>
    <t>a</t>
  </si>
  <si>
    <t>next</t>
  </si>
  <si>
    <t>next generation</t>
  </si>
  <si>
    <t>Random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</si>
</sst>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0.00000"/>
  </numFmts>
  <fonts count="2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0" tint="-0.34998626667073579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92D05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75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0"/>
    <xf numFmtId="0" fontId="4" fillId="0" borderId="0"/>
    <xf numFmtId="0" fontId="4" fillId="0" borderId="0"/>
    <xf numFmtId="9" fontId="1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28">
    <xf numFmtId="0" fontId="0" fillId="0" borderId="0" xfId="0"/>
    <xf numFmtId="0" fontId="0" fillId="0" borderId="0" xfId="0" applyProtection="1">
      <protection locked="0"/>
    </xf>
    <xf numFmtId="10" fontId="19" fillId="0" borderId="0" xfId="0" applyNumberFormat="1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10" fontId="0" fillId="0" borderId="5" xfId="0" applyNumberFormat="1" applyBorder="1" applyAlignment="1" applyProtection="1">
      <alignment horizontal="center" vertical="center"/>
    </xf>
    <xf numFmtId="10" fontId="0" fillId="0" borderId="6" xfId="0" applyNumberFormat="1" applyBorder="1" applyAlignment="1" applyProtection="1">
      <alignment horizontal="center" vertical="center"/>
    </xf>
    <xf numFmtId="10" fontId="0" fillId="0" borderId="7" xfId="0" applyNumberFormat="1" applyBorder="1" applyAlignment="1" applyProtection="1">
      <alignment horizontal="center" vertical="center"/>
    </xf>
    <xf numFmtId="10" fontId="0" fillId="0" borderId="8" xfId="0" applyNumberFormat="1" applyBorder="1" applyAlignment="1" applyProtection="1">
      <alignment horizontal="center" vertical="center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 vertical="center"/>
      <protection locked="0"/>
    </xf>
    <xf numFmtId="9" fontId="0" fillId="0" borderId="0" xfId="0" applyNumberFormat="1" applyAlignment="1" applyProtection="1">
      <alignment horizontal="center" vertical="center"/>
    </xf>
    <xf numFmtId="10" fontId="19" fillId="0" borderId="0" xfId="0" applyNumberFormat="1" applyFont="1" applyAlignment="1" applyProtection="1">
      <alignment horizontal="center"/>
    </xf>
    <xf numFmtId="10" fontId="20" fillId="0" borderId="5" xfId="0" applyNumberFormat="1" applyFont="1" applyBorder="1" applyProtection="1"/>
    <xf numFmtId="10" fontId="21" fillId="0" borderId="11" xfId="0" applyNumberFormat="1" applyFont="1" applyBorder="1" applyProtection="1"/>
    <xf numFmtId="10" fontId="22" fillId="0" borderId="6" xfId="0" applyNumberFormat="1" applyFont="1" applyBorder="1" applyProtection="1"/>
    <xf numFmtId="10" fontId="20" fillId="0" borderId="9" xfId="47" applyNumberFormat="1" applyFont="1" applyBorder="1" applyProtection="1"/>
    <xf numFmtId="10" fontId="21" fillId="0" borderId="0" xfId="47" applyNumberFormat="1" applyFont="1" applyBorder="1" applyProtection="1"/>
    <xf numFmtId="10" fontId="22" fillId="0" borderId="10" xfId="47" applyNumberFormat="1" applyFont="1" applyBorder="1" applyProtection="1"/>
    <xf numFmtId="10" fontId="20" fillId="0" borderId="7" xfId="47" applyNumberFormat="1" applyFont="1" applyBorder="1" applyProtection="1"/>
    <xf numFmtId="10" fontId="21" fillId="0" borderId="12" xfId="47" applyNumberFormat="1" applyFont="1" applyBorder="1" applyProtection="1"/>
    <xf numFmtId="10" fontId="22" fillId="0" borderId="8" xfId="47" applyNumberFormat="1" applyFont="1" applyBorder="1" applyProtection="1"/>
    <xf numFmtId="0" fontId="0" fillId="0" borderId="0" xfId="0" applyAlignment="1" applyProtection="1">
      <protection locked="0"/>
    </xf>
    <xf numFmtId="167" fontId="0" fillId="15" borderId="0" xfId="0" applyNumberFormat="1" applyFill="1" applyAlignment="1" applyProtection="1">
      <alignment horizontal="center"/>
      <protection locked="0"/>
    </xf>
    <xf numFmtId="9" fontId="0" fillId="15" borderId="0" xfId="0" applyNumberForma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0" fontId="19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</cellXfs>
  <cellStyles count="75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" xfId="47" builtinId="5"/>
    <cellStyle name="Percent 2" xfId="48"/>
    <cellStyle name="Percent 2 2" xfId="49"/>
    <cellStyle name="Percent 3" xfId="50"/>
    <cellStyle name="Percent 3 2" xfId="51"/>
    <cellStyle name="Reference" xfId="52"/>
    <cellStyle name="Row heading" xfId="53"/>
    <cellStyle name="Sheet Title" xfId="54"/>
    <cellStyle name="Source Hed" xfId="55"/>
    <cellStyle name="Source Letter" xfId="56"/>
    <cellStyle name="Source Superscript" xfId="57"/>
    <cellStyle name="Source Text" xfId="58"/>
    <cellStyle name="State" xfId="59"/>
    <cellStyle name="Superscript" xfId="60"/>
    <cellStyle name="Table Data" xfId="61"/>
    <cellStyle name="Table Head Top" xfId="62"/>
    <cellStyle name="Table Hed Side" xfId="63"/>
    <cellStyle name="Table Title" xfId="64"/>
    <cellStyle name="Title Text" xfId="65"/>
    <cellStyle name="Title Text 1" xfId="66"/>
    <cellStyle name="Title Text 2" xfId="67"/>
    <cellStyle name="Title-1" xfId="68"/>
    <cellStyle name="Title-2" xfId="69"/>
    <cellStyle name="Title-3" xfId="70"/>
    <cellStyle name="Wrap" xfId="71"/>
    <cellStyle name="Wrap Bold" xfId="72"/>
    <cellStyle name="Wrap Title" xfId="73"/>
    <cellStyle name="Wrap_A-GraphsStarter" xfId="7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GeneticDrift!$B$7</c:f>
              <c:strCache>
                <c:ptCount val="1"/>
                <c:pt idx="0">
                  <c:v>AA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GeneticDrift!$A$8:$A$108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GeneticDrift!$B$8:$B$108</c:f>
              <c:numCache>
                <c:formatCode>0.00%</c:formatCode>
                <c:ptCount val="101"/>
                <c:pt idx="0">
                  <c:v>0.36</c:v>
                </c:pt>
                <c:pt idx="1">
                  <c:v>0.36161035112737444</c:v>
                </c:pt>
                <c:pt idx="2">
                  <c:v>0.3832750186536808</c:v>
                </c:pt>
                <c:pt idx="3">
                  <c:v>0.37306267920337943</c:v>
                </c:pt>
                <c:pt idx="4">
                  <c:v>0.37692746294037144</c:v>
                </c:pt>
                <c:pt idx="5">
                  <c:v>0.37053805131355771</c:v>
                </c:pt>
                <c:pt idx="6">
                  <c:v>0.38080040266301629</c:v>
                </c:pt>
                <c:pt idx="7">
                  <c:v>0.37265342386838246</c:v>
                </c:pt>
                <c:pt idx="8">
                  <c:v>0.37364204357976705</c:v>
                </c:pt>
                <c:pt idx="9">
                  <c:v>0.35715894357763939</c:v>
                </c:pt>
                <c:pt idx="10">
                  <c:v>0.36425000260241275</c:v>
                </c:pt>
                <c:pt idx="11">
                  <c:v>0.37016897868866167</c:v>
                </c:pt>
                <c:pt idx="12">
                  <c:v>0.35721795866757361</c:v>
                </c:pt>
                <c:pt idx="13">
                  <c:v>0.37535933814837719</c:v>
                </c:pt>
                <c:pt idx="14">
                  <c:v>0.37960108095119593</c:v>
                </c:pt>
                <c:pt idx="15">
                  <c:v>0.39936779786013449</c:v>
                </c:pt>
                <c:pt idx="16">
                  <c:v>0.39743457984412994</c:v>
                </c:pt>
                <c:pt idx="17">
                  <c:v>0.40069342545885356</c:v>
                </c:pt>
                <c:pt idx="18">
                  <c:v>0.4015844235881974</c:v>
                </c:pt>
                <c:pt idx="19">
                  <c:v>0.38646099621779489</c:v>
                </c:pt>
                <c:pt idx="20">
                  <c:v>0.37788513234494997</c:v>
                </c:pt>
                <c:pt idx="21">
                  <c:v>0.37267159866270599</c:v>
                </c:pt>
                <c:pt idx="22">
                  <c:v>0.35558580942897572</c:v>
                </c:pt>
                <c:pt idx="23">
                  <c:v>0.37740459656579117</c:v>
                </c:pt>
                <c:pt idx="24">
                  <c:v>0.37296913067738841</c:v>
                </c:pt>
                <c:pt idx="25">
                  <c:v>0.39013413467497471</c:v>
                </c:pt>
                <c:pt idx="26">
                  <c:v>0.3800920351969298</c:v>
                </c:pt>
                <c:pt idx="27">
                  <c:v>0.38027580351802753</c:v>
                </c:pt>
                <c:pt idx="28">
                  <c:v>0.37335070282882993</c:v>
                </c:pt>
                <c:pt idx="29">
                  <c:v>0.35443122567765289</c:v>
                </c:pt>
                <c:pt idx="30">
                  <c:v>0.36193946379514658</c:v>
                </c:pt>
                <c:pt idx="31">
                  <c:v>0.35944899500451583</c:v>
                </c:pt>
                <c:pt idx="32">
                  <c:v>0.34656979421841644</c:v>
                </c:pt>
                <c:pt idx="33">
                  <c:v>0.33239717188315804</c:v>
                </c:pt>
                <c:pt idx="34">
                  <c:v>0.33836114130528711</c:v>
                </c:pt>
                <c:pt idx="35">
                  <c:v>0.33898910037281138</c:v>
                </c:pt>
                <c:pt idx="36">
                  <c:v>0.3496103206762835</c:v>
                </c:pt>
                <c:pt idx="37">
                  <c:v>0.35858961102470172</c:v>
                </c:pt>
                <c:pt idx="38">
                  <c:v>0.35762657768523581</c:v>
                </c:pt>
                <c:pt idx="39">
                  <c:v>0.35826362857229216</c:v>
                </c:pt>
                <c:pt idx="40">
                  <c:v>0.35647846243724624</c:v>
                </c:pt>
                <c:pt idx="41">
                  <c:v>0.34320515696008691</c:v>
                </c:pt>
                <c:pt idx="42">
                  <c:v>0.36570354180685583</c:v>
                </c:pt>
                <c:pt idx="43">
                  <c:v>0.34877877177982103</c:v>
                </c:pt>
                <c:pt idx="44">
                  <c:v>0.35289491118246991</c:v>
                </c:pt>
                <c:pt idx="45">
                  <c:v>0.35844518624097416</c:v>
                </c:pt>
                <c:pt idx="46">
                  <c:v>0.35702175456435226</c:v>
                </c:pt>
                <c:pt idx="47">
                  <c:v>0.34986171400060034</c:v>
                </c:pt>
                <c:pt idx="48">
                  <c:v>0.35726055882828422</c:v>
                </c:pt>
                <c:pt idx="49">
                  <c:v>0.36225636122745869</c:v>
                </c:pt>
                <c:pt idx="50">
                  <c:v>0.33567420591417485</c:v>
                </c:pt>
                <c:pt idx="51">
                  <c:v>0.32621901903414485</c:v>
                </c:pt>
                <c:pt idx="52">
                  <c:v>0.32303913154255404</c:v>
                </c:pt>
                <c:pt idx="53">
                  <c:v>0.3263455784157489</c:v>
                </c:pt>
                <c:pt idx="54">
                  <c:v>0.33512294303229018</c:v>
                </c:pt>
                <c:pt idx="55">
                  <c:v>0.31637048681523194</c:v>
                </c:pt>
                <c:pt idx="56">
                  <c:v>0.31263583355854524</c:v>
                </c:pt>
                <c:pt idx="57">
                  <c:v>0.29840355962461418</c:v>
                </c:pt>
                <c:pt idx="58">
                  <c:v>0.29635993854269832</c:v>
                </c:pt>
                <c:pt idx="59">
                  <c:v>0.29884901958515803</c:v>
                </c:pt>
                <c:pt idx="60">
                  <c:v>0.31260628690925224</c:v>
                </c:pt>
                <c:pt idx="61">
                  <c:v>0.32114040817985473</c:v>
                </c:pt>
                <c:pt idx="62">
                  <c:v>0.31986546706850305</c:v>
                </c:pt>
                <c:pt idx="63">
                  <c:v>0.30682488018616577</c:v>
                </c:pt>
                <c:pt idx="64">
                  <c:v>0.2946903496205851</c:v>
                </c:pt>
                <c:pt idx="65">
                  <c:v>0.29358557975808652</c:v>
                </c:pt>
                <c:pt idx="66">
                  <c:v>0.30612714088996329</c:v>
                </c:pt>
                <c:pt idx="67">
                  <c:v>0.3088760523260306</c:v>
                </c:pt>
                <c:pt idx="68">
                  <c:v>0.28167743447909399</c:v>
                </c:pt>
                <c:pt idx="69">
                  <c:v>0.28975777628805549</c:v>
                </c:pt>
                <c:pt idx="70">
                  <c:v>0.29180452912624805</c:v>
                </c:pt>
                <c:pt idx="71">
                  <c:v>0.28884874688625983</c:v>
                </c:pt>
                <c:pt idx="72">
                  <c:v>0.27535527569173146</c:v>
                </c:pt>
                <c:pt idx="73">
                  <c:v>0.2795437814746432</c:v>
                </c:pt>
                <c:pt idx="74">
                  <c:v>0.29611717689390399</c:v>
                </c:pt>
                <c:pt idx="75">
                  <c:v>0.2964644394617898</c:v>
                </c:pt>
                <c:pt idx="76">
                  <c:v>0.28792859182511527</c:v>
                </c:pt>
                <c:pt idx="77">
                  <c:v>0.29983994516100193</c:v>
                </c:pt>
                <c:pt idx="78">
                  <c:v>0.31746789660999458</c:v>
                </c:pt>
                <c:pt idx="79">
                  <c:v>0.32094726687571068</c:v>
                </c:pt>
                <c:pt idx="80">
                  <c:v>0.32765964948296894</c:v>
                </c:pt>
                <c:pt idx="81">
                  <c:v>0.33328356277771415</c:v>
                </c:pt>
                <c:pt idx="82">
                  <c:v>0.33791694182898974</c:v>
                </c:pt>
                <c:pt idx="83">
                  <c:v>0.3536333654201182</c:v>
                </c:pt>
                <c:pt idx="84">
                  <c:v>0.35410572248348693</c:v>
                </c:pt>
                <c:pt idx="85">
                  <c:v>0.34071514866798047</c:v>
                </c:pt>
                <c:pt idx="86">
                  <c:v>0.34737946386384044</c:v>
                </c:pt>
                <c:pt idx="87">
                  <c:v>0.31853479783083077</c:v>
                </c:pt>
                <c:pt idx="88">
                  <c:v>0.30401189133785839</c:v>
                </c:pt>
                <c:pt idx="89">
                  <c:v>0.28947276750835482</c:v>
                </c:pt>
                <c:pt idx="90">
                  <c:v>0.29137927707377709</c:v>
                </c:pt>
                <c:pt idx="91">
                  <c:v>0.28337545568629019</c:v>
                </c:pt>
                <c:pt idx="92">
                  <c:v>0.29280044031576102</c:v>
                </c:pt>
                <c:pt idx="93">
                  <c:v>0.2871313772225193</c:v>
                </c:pt>
                <c:pt idx="94">
                  <c:v>0.27910077087903951</c:v>
                </c:pt>
                <c:pt idx="95">
                  <c:v>0.27692496376163489</c:v>
                </c:pt>
                <c:pt idx="96">
                  <c:v>0.26825618098928888</c:v>
                </c:pt>
                <c:pt idx="97">
                  <c:v>0.27149331321762177</c:v>
                </c:pt>
                <c:pt idx="98">
                  <c:v>0.28096657251620832</c:v>
                </c:pt>
                <c:pt idx="99">
                  <c:v>0.27974887407314952</c:v>
                </c:pt>
                <c:pt idx="100">
                  <c:v>0.27182185255473174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GeneticDrift!$C$7</c:f>
              <c:strCache>
                <c:ptCount val="1"/>
                <c:pt idx="0">
                  <c:v>Aa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GeneticDrift!$A$8:$A$108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GeneticDrift!$C$8:$C$108</c:f>
              <c:numCache>
                <c:formatCode>0.00%</c:formatCode>
                <c:ptCount val="101"/>
                <c:pt idx="0">
                  <c:v>0.48</c:v>
                </c:pt>
                <c:pt idx="1">
                  <c:v>0.47946022156066515</c:v>
                </c:pt>
                <c:pt idx="2">
                  <c:v>0.47163414713965479</c:v>
                </c:pt>
                <c:pt idx="3">
                  <c:v>0.47545178480341016</c:v>
                </c:pt>
                <c:pt idx="4">
                  <c:v>0.4740334451699344</c:v>
                </c:pt>
                <c:pt idx="5">
                  <c:v>0.4763606329999277</c:v>
                </c:pt>
                <c:pt idx="6">
                  <c:v>0.47257973683628218</c:v>
                </c:pt>
                <c:pt idx="7">
                  <c:v>0.47560006741832989</c:v>
                </c:pt>
                <c:pt idx="8">
                  <c:v>0.47524123949798269</c:v>
                </c:pt>
                <c:pt idx="9">
                  <c:v>0.4809376396299177</c:v>
                </c:pt>
                <c:pt idx="10">
                  <c:v>0.47856254926766373</c:v>
                </c:pt>
                <c:pt idx="11">
                  <c:v>0.47649231622481164</c:v>
                </c:pt>
                <c:pt idx="12">
                  <c:v>0.4809183542807175</c:v>
                </c:pt>
                <c:pt idx="13">
                  <c:v>0.47461285132893632</c:v>
                </c:pt>
                <c:pt idx="14">
                  <c:v>0.47303333661434205</c:v>
                </c:pt>
                <c:pt idx="15">
                  <c:v>0.4651754737148151</c:v>
                </c:pt>
                <c:pt idx="16">
                  <c:v>0.46597909421722883</c:v>
                </c:pt>
                <c:pt idx="17">
                  <c:v>0.46462014030920323</c:v>
                </c:pt>
                <c:pt idx="18">
                  <c:v>0.46424493464578087</c:v>
                </c:pt>
                <c:pt idx="19">
                  <c:v>0.47039775118275218</c:v>
                </c:pt>
                <c:pt idx="20">
                  <c:v>0.47367698077441839</c:v>
                </c:pt>
                <c:pt idx="21">
                  <c:v>0.47559349007931334</c:v>
                </c:pt>
                <c:pt idx="22">
                  <c:v>0.48144870535084844</c:v>
                </c:pt>
                <c:pt idx="23">
                  <c:v>0.47385609337372325</c:v>
                </c:pt>
                <c:pt idx="24">
                  <c:v>0.47548571200973577</c:v>
                </c:pt>
                <c:pt idx="25">
                  <c:v>0.46894609924332725</c:v>
                </c:pt>
                <c:pt idx="26">
                  <c:v>0.47284802196534548</c:v>
                </c:pt>
                <c:pt idx="27">
                  <c:v>0.47277852479082533</c:v>
                </c:pt>
                <c:pt idx="28">
                  <c:v>0.47534720684321763</c:v>
                </c:pt>
                <c:pt idx="29">
                  <c:v>0.48182008513820118</c:v>
                </c:pt>
                <c:pt idx="30">
                  <c:v>0.47934917014537159</c:v>
                </c:pt>
                <c:pt idx="31">
                  <c:v>0.48018331666623437</c:v>
                </c:pt>
                <c:pt idx="32">
                  <c:v>0.484263985905315</c:v>
                </c:pt>
                <c:pt idx="33">
                  <c:v>0.488283575340902</c:v>
                </c:pt>
                <c:pt idx="34">
                  <c:v>0.4866540817793632</c:v>
                </c:pt>
                <c:pt idx="35">
                  <c:v>0.48647720908819542</c:v>
                </c:pt>
                <c:pt idx="36">
                  <c:v>0.4833364535503108</c:v>
                </c:pt>
                <c:pt idx="37">
                  <c:v>0.48046782282600847</c:v>
                </c:pt>
                <c:pt idx="38">
                  <c:v>0.48078459936009843</c:v>
                </c:pt>
                <c:pt idx="39">
                  <c:v>0.48057529246809133</c:v>
                </c:pt>
                <c:pt idx="40">
                  <c:v>0.48115942194812134</c:v>
                </c:pt>
                <c:pt idx="41">
                  <c:v>0.48526397010262901</c:v>
                </c:pt>
                <c:pt idx="42">
                  <c:v>0.47806146381835091</c:v>
                </c:pt>
                <c:pt idx="43">
                  <c:v>0.4835923567998695</c:v>
                </c:pt>
                <c:pt idx="44">
                  <c:v>0.48230935057050145</c:v>
                </c:pt>
                <c:pt idx="45">
                  <c:v>0.48051546722483074</c:v>
                </c:pt>
                <c:pt idx="46">
                  <c:v>0.48098243965124104</c:v>
                </c:pt>
                <c:pt idx="47">
                  <c:v>0.4832587595242081</c:v>
                </c:pt>
                <c:pt idx="48">
                  <c:v>0.48090442804384737</c:v>
                </c:pt>
                <c:pt idx="49">
                  <c:v>0.47924200543188711</c:v>
                </c:pt>
                <c:pt idx="50">
                  <c:v>0.48739954336151792</c:v>
                </c:pt>
                <c:pt idx="51">
                  <c:v>0.4898736865220602</c:v>
                </c:pt>
                <c:pt idx="52">
                  <c:v>0.49065236735035977</c:v>
                </c:pt>
                <c:pt idx="53">
                  <c:v>0.48984213093870788</c:v>
                </c:pt>
                <c:pt idx="54">
                  <c:v>0.48755019793689902</c:v>
                </c:pt>
                <c:pt idx="55">
                  <c:v>0.49219544557771866</c:v>
                </c:pt>
                <c:pt idx="56">
                  <c:v>0.49300528169039565</c:v>
                </c:pt>
                <c:pt idx="57">
                  <c:v>0.49571941978698963</c:v>
                </c:pt>
                <c:pt idx="58">
                  <c:v>0.49605914281294494</c:v>
                </c:pt>
                <c:pt idx="59">
                  <c:v>0.49564366329082765</c:v>
                </c:pt>
                <c:pt idx="60">
                  <c:v>0.49301153057068681</c:v>
                </c:pt>
                <c:pt idx="61">
                  <c:v>0.49110421650397668</c:v>
                </c:pt>
                <c:pt idx="62">
                  <c:v>0.49140206788972823</c:v>
                </c:pt>
                <c:pt idx="63">
                  <c:v>0.49418575121982855</c:v>
                </c:pt>
                <c:pt idx="64">
                  <c:v>0.49632708763444228</c:v>
                </c:pt>
                <c:pt idx="65">
                  <c:v>0.49649960184649566</c:v>
                </c:pt>
                <c:pt idx="66">
                  <c:v>0.49432086865489733</c:v>
                </c:pt>
                <c:pt idx="67">
                  <c:v>0.49378026523381952</c:v>
                </c:pt>
                <c:pt idx="68">
                  <c:v>0.49811097501248636</c:v>
                </c:pt>
                <c:pt idx="69">
                  <c:v>0.49706751674655952</c:v>
                </c:pt>
                <c:pt idx="70">
                  <c:v>0.49676963299654564</c:v>
                </c:pt>
                <c:pt idx="71">
                  <c:v>0.49719551836638121</c:v>
                </c:pt>
                <c:pt idx="72">
                  <c:v>0.49877556227737341</c:v>
                </c:pt>
                <c:pt idx="73">
                  <c:v>0.4983504380221998</c:v>
                </c:pt>
                <c:pt idx="74">
                  <c:v>0.49609864101461737</c:v>
                </c:pt>
                <c:pt idx="75">
                  <c:v>0.49604208388817472</c:v>
                </c:pt>
                <c:pt idx="76">
                  <c:v>0.49732237602301493</c:v>
                </c:pt>
                <c:pt idx="77">
                  <c:v>0.49547296688287407</c:v>
                </c:pt>
                <c:pt idx="78">
                  <c:v>0.49194999799399997</c:v>
                </c:pt>
                <c:pt idx="79">
                  <c:v>0.49114962580408456</c:v>
                </c:pt>
                <c:pt idx="80">
                  <c:v>0.48951195407176451</c:v>
                </c:pt>
                <c:pt idx="81">
                  <c:v>0.48804720447467165</c:v>
                </c:pt>
                <c:pt idx="82">
                  <c:v>0.48677859146688296</c:v>
                </c:pt>
                <c:pt idx="83">
                  <c:v>0.48207487764761636</c:v>
                </c:pt>
                <c:pt idx="84">
                  <c:v>0.48192421533984497</c:v>
                </c:pt>
                <c:pt idx="85">
                  <c:v>0.48598590722517238</c:v>
                </c:pt>
                <c:pt idx="86">
                  <c:v>0.48401919196039755</c:v>
                </c:pt>
                <c:pt idx="87">
                  <c:v>0.49170814655481354</c:v>
                </c:pt>
                <c:pt idx="88">
                  <c:v>0.49472168448859377</c:v>
                </c:pt>
                <c:pt idx="89">
                  <c:v>0.49710793485986637</c:v>
                </c:pt>
                <c:pt idx="90">
                  <c:v>0.49683262231467884</c:v>
                </c:pt>
                <c:pt idx="91">
                  <c:v>0.49790951465308947</c:v>
                </c:pt>
                <c:pt idx="92">
                  <c:v>0.49661987377260786</c:v>
                </c:pt>
                <c:pt idx="93">
                  <c:v>0.49743006949756724</c:v>
                </c:pt>
                <c:pt idx="94">
                  <c:v>0.49839823276213069</c:v>
                </c:pt>
                <c:pt idx="95">
                  <c:v>0.49862328118398258</c:v>
                </c:pt>
                <c:pt idx="96">
                  <c:v>0.49935670501645302</c:v>
                </c:pt>
                <c:pt idx="97">
                  <c:v>0.49911377797427742</c:v>
                </c:pt>
                <c:pt idx="98">
                  <c:v>0.49819245604739565</c:v>
                </c:pt>
                <c:pt idx="99">
                  <c:v>0.49832808642789878</c:v>
                </c:pt>
                <c:pt idx="100">
                  <c:v>0.49908704164107087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GeneticDrift!$D$7</c:f>
              <c:strCache>
                <c:ptCount val="1"/>
                <c:pt idx="0">
                  <c:v>aa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GeneticDrift!$A$8:$A$108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GeneticDrift!$D$8:$D$108</c:f>
              <c:numCache>
                <c:formatCode>0.00%</c:formatCode>
                <c:ptCount val="101"/>
                <c:pt idx="0">
                  <c:v>0.16000000000000003</c:v>
                </c:pt>
                <c:pt idx="1">
                  <c:v>0.15892942731196036</c:v>
                </c:pt>
                <c:pt idx="2">
                  <c:v>0.14509083420666435</c:v>
                </c:pt>
                <c:pt idx="3">
                  <c:v>0.15148553599321044</c:v>
                </c:pt>
                <c:pt idx="4">
                  <c:v>0.14903909188969411</c:v>
                </c:pt>
                <c:pt idx="5">
                  <c:v>0.15310131568651464</c:v>
                </c:pt>
                <c:pt idx="6">
                  <c:v>0.14661986050070158</c:v>
                </c:pt>
                <c:pt idx="7">
                  <c:v>0.15174650871328763</c:v>
                </c:pt>
                <c:pt idx="8">
                  <c:v>0.1511167169222502</c:v>
                </c:pt>
                <c:pt idx="9">
                  <c:v>0.16190341679244288</c:v>
                </c:pt>
                <c:pt idx="10">
                  <c:v>0.15718744812992358</c:v>
                </c:pt>
                <c:pt idx="11">
                  <c:v>0.15333870508652667</c:v>
                </c:pt>
                <c:pt idx="12">
                  <c:v>0.16186368705170889</c:v>
                </c:pt>
                <c:pt idx="13">
                  <c:v>0.15002781052268652</c:v>
                </c:pt>
                <c:pt idx="14">
                  <c:v>0.14736558243446204</c:v>
                </c:pt>
                <c:pt idx="15">
                  <c:v>0.13545672842505038</c:v>
                </c:pt>
                <c:pt idx="16">
                  <c:v>0.13658632593864117</c:v>
                </c:pt>
                <c:pt idx="17">
                  <c:v>0.13468643423194324</c:v>
                </c:pt>
                <c:pt idx="18">
                  <c:v>0.13417064176602167</c:v>
                </c:pt>
                <c:pt idx="19">
                  <c:v>0.14314125259945298</c:v>
                </c:pt>
                <c:pt idx="20">
                  <c:v>0.14843788688063161</c:v>
                </c:pt>
                <c:pt idx="21">
                  <c:v>0.15173491125798064</c:v>
                </c:pt>
                <c:pt idx="22">
                  <c:v>0.16296548522017587</c:v>
                </c:pt>
                <c:pt idx="23">
                  <c:v>0.14873931006048557</c:v>
                </c:pt>
                <c:pt idx="24">
                  <c:v>0.15154515731287577</c:v>
                </c:pt>
                <c:pt idx="25">
                  <c:v>0.14091976608169807</c:v>
                </c:pt>
                <c:pt idx="26">
                  <c:v>0.14705994283772472</c:v>
                </c:pt>
                <c:pt idx="27">
                  <c:v>0.14694567169114717</c:v>
                </c:pt>
                <c:pt idx="28">
                  <c:v>0.1513020903279525</c:v>
                </c:pt>
                <c:pt idx="29">
                  <c:v>0.16374868918414592</c:v>
                </c:pt>
                <c:pt idx="30">
                  <c:v>0.15871136605948188</c:v>
                </c:pt>
                <c:pt idx="31">
                  <c:v>0.16036768832924986</c:v>
                </c:pt>
                <c:pt idx="32">
                  <c:v>0.16916621987626859</c:v>
                </c:pt>
                <c:pt idx="33">
                  <c:v>0.17931925277593999</c:v>
                </c:pt>
                <c:pt idx="34">
                  <c:v>0.17498477691534975</c:v>
                </c:pt>
                <c:pt idx="35">
                  <c:v>0.17453369053899317</c:v>
                </c:pt>
                <c:pt idx="36">
                  <c:v>0.16705322577340567</c:v>
                </c:pt>
                <c:pt idx="37">
                  <c:v>0.16094256614928978</c:v>
                </c:pt>
                <c:pt idx="38">
                  <c:v>0.16158882295466576</c:v>
                </c:pt>
                <c:pt idx="39">
                  <c:v>0.16116107895961648</c:v>
                </c:pt>
                <c:pt idx="40">
                  <c:v>0.16236211561463237</c:v>
                </c:pt>
                <c:pt idx="41">
                  <c:v>0.17153087293728403</c:v>
                </c:pt>
                <c:pt idx="42">
                  <c:v>0.15623499437479327</c:v>
                </c:pt>
                <c:pt idx="43">
                  <c:v>0.16762887142030944</c:v>
                </c:pt>
                <c:pt idx="44">
                  <c:v>0.16479573824702862</c:v>
                </c:pt>
                <c:pt idx="45">
                  <c:v>0.1610393465341951</c:v>
                </c:pt>
                <c:pt idx="46">
                  <c:v>0.16199580578440673</c:v>
                </c:pt>
                <c:pt idx="47">
                  <c:v>0.16687952647519158</c:v>
                </c:pt>
                <c:pt idx="48">
                  <c:v>0.16183501312786847</c:v>
                </c:pt>
                <c:pt idx="49">
                  <c:v>0.15850163334065415</c:v>
                </c:pt>
                <c:pt idx="50">
                  <c:v>0.17692625072430723</c:v>
                </c:pt>
                <c:pt idx="51">
                  <c:v>0.183907294443795</c:v>
                </c:pt>
                <c:pt idx="52">
                  <c:v>0.18630850110708619</c:v>
                </c:pt>
                <c:pt idx="53">
                  <c:v>0.18381229064554322</c:v>
                </c:pt>
                <c:pt idx="54">
                  <c:v>0.1773268590308108</c:v>
                </c:pt>
                <c:pt idx="55">
                  <c:v>0.1914340676070494</c:v>
                </c:pt>
                <c:pt idx="56">
                  <c:v>0.19435888475105909</c:v>
                </c:pt>
                <c:pt idx="57">
                  <c:v>0.20587702058839619</c:v>
                </c:pt>
                <c:pt idx="58">
                  <c:v>0.20758091864435674</c:v>
                </c:pt>
                <c:pt idx="59">
                  <c:v>0.20550731712401427</c:v>
                </c:pt>
                <c:pt idx="60">
                  <c:v>0.19438218252006101</c:v>
                </c:pt>
                <c:pt idx="61">
                  <c:v>0.18775537531616862</c:v>
                </c:pt>
                <c:pt idx="62">
                  <c:v>0.18873246504176874</c:v>
                </c:pt>
                <c:pt idx="63">
                  <c:v>0.19898936859400568</c:v>
                </c:pt>
                <c:pt idx="64">
                  <c:v>0.20898256274497265</c:v>
                </c:pt>
                <c:pt idx="65">
                  <c:v>0.20991481839541776</c:v>
                </c:pt>
                <c:pt idx="66">
                  <c:v>0.19955199045513944</c:v>
                </c:pt>
                <c:pt idx="67">
                  <c:v>0.19734368244014985</c:v>
                </c:pt>
                <c:pt idx="68">
                  <c:v>0.22021159050841965</c:v>
                </c:pt>
                <c:pt idx="69">
                  <c:v>0.21317470696538496</c:v>
                </c:pt>
                <c:pt idx="70">
                  <c:v>0.21142583787720637</c:v>
                </c:pt>
                <c:pt idx="71">
                  <c:v>0.21395573474735896</c:v>
                </c:pt>
                <c:pt idx="72">
                  <c:v>0.22586916203089519</c:v>
                </c:pt>
                <c:pt idx="73">
                  <c:v>0.22210578050315705</c:v>
                </c:pt>
                <c:pt idx="74">
                  <c:v>0.20778418209147861</c:v>
                </c:pt>
                <c:pt idx="75">
                  <c:v>0.20749347665003548</c:v>
                </c:pt>
                <c:pt idx="76">
                  <c:v>0.21474903215186983</c:v>
                </c:pt>
                <c:pt idx="77">
                  <c:v>0.20468708795612403</c:v>
                </c:pt>
                <c:pt idx="78">
                  <c:v>0.19058210539600545</c:v>
                </c:pt>
                <c:pt idx="79">
                  <c:v>0.18790310732020479</c:v>
                </c:pt>
                <c:pt idx="80">
                  <c:v>0.18282839644526649</c:v>
                </c:pt>
                <c:pt idx="81">
                  <c:v>0.1786692327476142</c:v>
                </c:pt>
                <c:pt idx="82">
                  <c:v>0.17530446670412725</c:v>
                </c:pt>
                <c:pt idx="83">
                  <c:v>0.16429175693226544</c:v>
                </c:pt>
                <c:pt idx="84">
                  <c:v>0.16397006217666804</c:v>
                </c:pt>
                <c:pt idx="85">
                  <c:v>0.17329894410684712</c:v>
                </c:pt>
                <c:pt idx="86">
                  <c:v>0.168601344175762</c:v>
                </c:pt>
                <c:pt idx="87">
                  <c:v>0.18975705561435569</c:v>
                </c:pt>
                <c:pt idx="88">
                  <c:v>0.20126642417354779</c:v>
                </c:pt>
                <c:pt idx="89">
                  <c:v>0.2134192976317788</c:v>
                </c:pt>
                <c:pt idx="90">
                  <c:v>0.21178810061154407</c:v>
                </c:pt>
                <c:pt idx="91">
                  <c:v>0.21871502966062037</c:v>
                </c:pt>
                <c:pt idx="92">
                  <c:v>0.21057968591163106</c:v>
                </c:pt>
                <c:pt idx="93">
                  <c:v>0.21543855327991349</c:v>
                </c:pt>
                <c:pt idx="94">
                  <c:v>0.22250099635882975</c:v>
                </c:pt>
                <c:pt idx="95">
                  <c:v>0.22445175505438253</c:v>
                </c:pt>
                <c:pt idx="96">
                  <c:v>0.2323871139942581</c:v>
                </c:pt>
                <c:pt idx="97">
                  <c:v>0.22939290880810079</c:v>
                </c:pt>
                <c:pt idx="98">
                  <c:v>0.220840971436396</c:v>
                </c:pt>
                <c:pt idx="99">
                  <c:v>0.22192303949895173</c:v>
                </c:pt>
                <c:pt idx="100">
                  <c:v>0.22909110580419745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342512"/>
        <c:axId val="297344192"/>
      </c:scatterChart>
      <c:valAx>
        <c:axId val="297342512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344192"/>
        <c:crosses val="autoZero"/>
        <c:crossBetween val="midCat"/>
      </c:valAx>
      <c:valAx>
        <c:axId val="29734419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342512"/>
        <c:crosses val="autoZero"/>
        <c:crossBetween val="midCat"/>
      </c:valAx>
      <c:spPr>
        <a:solidFill>
          <a:srgbClr val="FFC000">
            <a:alpha val="18000"/>
          </a:srgbClr>
        </a:soli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323849</xdr:colOff>
      <xdr:row>4</xdr:row>
      <xdr:rowOff>171450</xdr:rowOff>
    </xdr:from>
    <xdr:to>
      <xdr:col>17</xdr:col>
      <xdr:colOff>457201</xdr:colOff>
      <xdr:row>29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19050</xdr:rowOff>
        </xdr:from>
        <xdr:to>
          <xdr:col>14</xdr:col>
          <xdr:colOff>9525</xdr:colOff>
          <xdr:row>3</xdr:row>
          <xdr:rowOff>9525</xdr:rowOff>
        </xdr:to>
        <xdr:sp macro="" textlink="">
          <xdr:nvSpPr>
            <xdr:cNvPr id="2049" name="ScrollBar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08"/>
  <sheetViews>
    <sheetView tabSelected="1" zoomScale="110" zoomScaleNormal="110" workbookViewId="0">
      <selection activeCell="D5" sqref="D5"/>
    </sheetView>
  </sheetViews>
  <sheetFormatPr defaultRowHeight="15" x14ac:dyDescent="0.25"/>
  <cols>
    <col min="1" max="1" width="11.85546875" style="1" bestFit="1" customWidth="1"/>
    <col min="2" max="6" width="9.140625" style="1"/>
    <col min="7" max="7" width="10" style="1" bestFit="1" customWidth="1"/>
    <col min="8" max="16384" width="9.140625" style="1"/>
  </cols>
  <sheetData>
    <row r="1" spans="1:9" x14ac:dyDescent="0.25">
      <c r="A1" s="25" t="s">
        <v>4</v>
      </c>
      <c r="B1" s="25"/>
      <c r="C1" s="4" t="s">
        <v>3</v>
      </c>
      <c r="D1" s="4" t="s">
        <v>5</v>
      </c>
      <c r="E1" s="9"/>
      <c r="G1" s="27" t="s">
        <v>8</v>
      </c>
    </row>
    <row r="2" spans="1:9" ht="15.75" thickBot="1" x14ac:dyDescent="0.3">
      <c r="A2" s="25"/>
      <c r="B2" s="25"/>
      <c r="C2" s="10">
        <f>B3</f>
        <v>0.6</v>
      </c>
      <c r="D2" s="11">
        <f>1-C2</f>
        <v>0.4</v>
      </c>
      <c r="E2" s="2" t="s">
        <v>6</v>
      </c>
      <c r="G2" s="27"/>
      <c r="H2" s="22"/>
    </row>
    <row r="3" spans="1:9" x14ac:dyDescent="0.25">
      <c r="A3" s="4" t="s">
        <v>3</v>
      </c>
      <c r="B3" s="24">
        <v>0.6</v>
      </c>
      <c r="C3" s="5">
        <f t="shared" ref="C3:D4" si="0">$B3*C$2</f>
        <v>0.36</v>
      </c>
      <c r="D3" s="6">
        <f t="shared" si="0"/>
        <v>0.24</v>
      </c>
      <c r="E3" s="12">
        <f>SUM(C3:D3)</f>
        <v>0.6</v>
      </c>
      <c r="G3" s="23">
        <f>I3/1000000</f>
        <v>1.1183999999999999E-2</v>
      </c>
      <c r="I3" s="1">
        <v>11184</v>
      </c>
    </row>
    <row r="4" spans="1:9" ht="15.75" thickBot="1" x14ac:dyDescent="0.3">
      <c r="A4" s="4" t="s">
        <v>5</v>
      </c>
      <c r="B4" s="11">
        <f>1-B3</f>
        <v>0.4</v>
      </c>
      <c r="C4" s="7">
        <f t="shared" si="0"/>
        <v>0.24</v>
      </c>
      <c r="D4" s="8">
        <f t="shared" si="0"/>
        <v>0.16000000000000003</v>
      </c>
      <c r="E4" s="12">
        <f>SUM(C4:D4)</f>
        <v>0.4</v>
      </c>
    </row>
    <row r="5" spans="1:9" x14ac:dyDescent="0.25">
      <c r="A5" s="26" t="s">
        <v>7</v>
      </c>
      <c r="B5" s="26"/>
      <c r="C5" s="12">
        <f>SUM(C3:C4)</f>
        <v>0.6</v>
      </c>
      <c r="D5" s="12">
        <f>SUM(D3:D4)</f>
        <v>0.4</v>
      </c>
      <c r="E5" s="3"/>
    </row>
    <row r="6" spans="1:9" x14ac:dyDescent="0.25">
      <c r="A6" s="9"/>
      <c r="B6" s="9"/>
      <c r="C6" s="2"/>
      <c r="D6" s="2"/>
      <c r="E6" s="3"/>
    </row>
    <row r="7" spans="1:9" ht="15.75" thickBot="1" x14ac:dyDescent="0.3">
      <c r="A7" s="4"/>
      <c r="B7" s="1" t="s">
        <v>2</v>
      </c>
      <c r="C7" s="1" t="s">
        <v>1</v>
      </c>
      <c r="D7" s="1" t="s">
        <v>0</v>
      </c>
    </row>
    <row r="8" spans="1:9" x14ac:dyDescent="0.25">
      <c r="A8" s="1">
        <v>0</v>
      </c>
      <c r="B8" s="13">
        <f>C3</f>
        <v>0.36</v>
      </c>
      <c r="C8" s="14">
        <f>C4+D3</f>
        <v>0.48</v>
      </c>
      <c r="D8" s="15">
        <f>D4</f>
        <v>0.16000000000000003</v>
      </c>
    </row>
    <row r="9" spans="1:9" x14ac:dyDescent="0.25">
      <c r="A9" s="1">
        <v>1</v>
      </c>
      <c r="B9" s="16">
        <f ca="1">NORMINV(RAND(),B8,$G$3)</f>
        <v>0.36161035112737444</v>
      </c>
      <c r="C9" s="17">
        <f ca="1">IFERROR(2*SQRT(B9)*(1-SQRT(B9)),NA())</f>
        <v>0.47946022156066515</v>
      </c>
      <c r="D9" s="18">
        <f ca="1">IFERROR((1-SQRT(B9))^2,NA())</f>
        <v>0.15892942731196036</v>
      </c>
    </row>
    <row r="10" spans="1:9" x14ac:dyDescent="0.25">
      <c r="A10" s="1">
        <v>2</v>
      </c>
      <c r="B10" s="16">
        <f t="shared" ref="B10:B73" ca="1" si="1">NORMINV(RAND(),B9,$G$3)</f>
        <v>0.3832750186536808</v>
      </c>
      <c r="C10" s="17">
        <f t="shared" ref="C10:C73" ca="1" si="2">IFERROR(2*SQRT(B10)*(1-SQRT(B10)),NA())</f>
        <v>0.47163414713965479</v>
      </c>
      <c r="D10" s="18">
        <f t="shared" ref="D10:D73" ca="1" si="3">IFERROR((1-SQRT(B10))^2,NA())</f>
        <v>0.14509083420666435</v>
      </c>
    </row>
    <row r="11" spans="1:9" x14ac:dyDescent="0.25">
      <c r="A11" s="1">
        <v>3</v>
      </c>
      <c r="B11" s="16">
        <f t="shared" ca="1" si="1"/>
        <v>0.37306267920337943</v>
      </c>
      <c r="C11" s="17">
        <f t="shared" ca="1" si="2"/>
        <v>0.47545178480341016</v>
      </c>
      <c r="D11" s="18">
        <f t="shared" ca="1" si="3"/>
        <v>0.15148553599321044</v>
      </c>
    </row>
    <row r="12" spans="1:9" x14ac:dyDescent="0.25">
      <c r="A12" s="1">
        <v>4</v>
      </c>
      <c r="B12" s="16">
        <f t="shared" ca="1" si="1"/>
        <v>0.37692746294037144</v>
      </c>
      <c r="C12" s="17">
        <f t="shared" ca="1" si="2"/>
        <v>0.4740334451699344</v>
      </c>
      <c r="D12" s="18">
        <f t="shared" ca="1" si="3"/>
        <v>0.14903909188969411</v>
      </c>
    </row>
    <row r="13" spans="1:9" x14ac:dyDescent="0.25">
      <c r="A13" s="1">
        <v>5</v>
      </c>
      <c r="B13" s="16">
        <f t="shared" ca="1" si="1"/>
        <v>0.37053805131355771</v>
      </c>
      <c r="C13" s="17">
        <f t="shared" ca="1" si="2"/>
        <v>0.4763606329999277</v>
      </c>
      <c r="D13" s="18">
        <f t="shared" ca="1" si="3"/>
        <v>0.15310131568651464</v>
      </c>
    </row>
    <row r="14" spans="1:9" x14ac:dyDescent="0.25">
      <c r="A14" s="1">
        <v>6</v>
      </c>
      <c r="B14" s="16">
        <f t="shared" ca="1" si="1"/>
        <v>0.38080040266301629</v>
      </c>
      <c r="C14" s="17">
        <f t="shared" ca="1" si="2"/>
        <v>0.47257973683628218</v>
      </c>
      <c r="D14" s="18">
        <f t="shared" ca="1" si="3"/>
        <v>0.14661986050070158</v>
      </c>
    </row>
    <row r="15" spans="1:9" x14ac:dyDescent="0.25">
      <c r="A15" s="1">
        <v>7</v>
      </c>
      <c r="B15" s="16">
        <f t="shared" ca="1" si="1"/>
        <v>0.37265342386838246</v>
      </c>
      <c r="C15" s="17">
        <f t="shared" ca="1" si="2"/>
        <v>0.47560006741832989</v>
      </c>
      <c r="D15" s="18">
        <f t="shared" ca="1" si="3"/>
        <v>0.15174650871328763</v>
      </c>
    </row>
    <row r="16" spans="1:9" x14ac:dyDescent="0.25">
      <c r="A16" s="1">
        <v>8</v>
      </c>
      <c r="B16" s="16">
        <f t="shared" ca="1" si="1"/>
        <v>0.37364204357976705</v>
      </c>
      <c r="C16" s="17">
        <f t="shared" ca="1" si="2"/>
        <v>0.47524123949798269</v>
      </c>
      <c r="D16" s="18">
        <f t="shared" ca="1" si="3"/>
        <v>0.1511167169222502</v>
      </c>
    </row>
    <row r="17" spans="1:4" x14ac:dyDescent="0.25">
      <c r="A17" s="1">
        <v>9</v>
      </c>
      <c r="B17" s="16">
        <f t="shared" ca="1" si="1"/>
        <v>0.35715894357763939</v>
      </c>
      <c r="C17" s="17">
        <f t="shared" ca="1" si="2"/>
        <v>0.4809376396299177</v>
      </c>
      <c r="D17" s="18">
        <f t="shared" ca="1" si="3"/>
        <v>0.16190341679244288</v>
      </c>
    </row>
    <row r="18" spans="1:4" x14ac:dyDescent="0.25">
      <c r="A18" s="1">
        <v>10</v>
      </c>
      <c r="B18" s="16">
        <f t="shared" ca="1" si="1"/>
        <v>0.36425000260241275</v>
      </c>
      <c r="C18" s="17">
        <f t="shared" ca="1" si="2"/>
        <v>0.47856254926766373</v>
      </c>
      <c r="D18" s="18">
        <f t="shared" ca="1" si="3"/>
        <v>0.15718744812992358</v>
      </c>
    </row>
    <row r="19" spans="1:4" x14ac:dyDescent="0.25">
      <c r="A19" s="1">
        <v>11</v>
      </c>
      <c r="B19" s="16">
        <f t="shared" ca="1" si="1"/>
        <v>0.37016897868866167</v>
      </c>
      <c r="C19" s="17">
        <f t="shared" ca="1" si="2"/>
        <v>0.47649231622481164</v>
      </c>
      <c r="D19" s="18">
        <f t="shared" ca="1" si="3"/>
        <v>0.15333870508652667</v>
      </c>
    </row>
    <row r="20" spans="1:4" x14ac:dyDescent="0.25">
      <c r="A20" s="1">
        <v>12</v>
      </c>
      <c r="B20" s="16">
        <f t="shared" ca="1" si="1"/>
        <v>0.35721795866757361</v>
      </c>
      <c r="C20" s="17">
        <f t="shared" ca="1" si="2"/>
        <v>0.4809183542807175</v>
      </c>
      <c r="D20" s="18">
        <f t="shared" ca="1" si="3"/>
        <v>0.16186368705170889</v>
      </c>
    </row>
    <row r="21" spans="1:4" x14ac:dyDescent="0.25">
      <c r="A21" s="1">
        <v>13</v>
      </c>
      <c r="B21" s="16">
        <f t="shared" ca="1" si="1"/>
        <v>0.37535933814837719</v>
      </c>
      <c r="C21" s="17">
        <f t="shared" ca="1" si="2"/>
        <v>0.47461285132893632</v>
      </c>
      <c r="D21" s="18">
        <f t="shared" ca="1" si="3"/>
        <v>0.15002781052268652</v>
      </c>
    </row>
    <row r="22" spans="1:4" x14ac:dyDescent="0.25">
      <c r="A22" s="1">
        <v>14</v>
      </c>
      <c r="B22" s="16">
        <f t="shared" ca="1" si="1"/>
        <v>0.37960108095119593</v>
      </c>
      <c r="C22" s="17">
        <f t="shared" ca="1" si="2"/>
        <v>0.47303333661434205</v>
      </c>
      <c r="D22" s="18">
        <f t="shared" ca="1" si="3"/>
        <v>0.14736558243446204</v>
      </c>
    </row>
    <row r="23" spans="1:4" x14ac:dyDescent="0.25">
      <c r="A23" s="1">
        <v>15</v>
      </c>
      <c r="B23" s="16">
        <f t="shared" ca="1" si="1"/>
        <v>0.39936779786013449</v>
      </c>
      <c r="C23" s="17">
        <f t="shared" ca="1" si="2"/>
        <v>0.4651754737148151</v>
      </c>
      <c r="D23" s="18">
        <f t="shared" ca="1" si="3"/>
        <v>0.13545672842505038</v>
      </c>
    </row>
    <row r="24" spans="1:4" x14ac:dyDescent="0.25">
      <c r="A24" s="1">
        <v>16</v>
      </c>
      <c r="B24" s="16">
        <f t="shared" ca="1" si="1"/>
        <v>0.39743457984412994</v>
      </c>
      <c r="C24" s="17">
        <f t="shared" ca="1" si="2"/>
        <v>0.46597909421722883</v>
      </c>
      <c r="D24" s="18">
        <f t="shared" ca="1" si="3"/>
        <v>0.13658632593864117</v>
      </c>
    </row>
    <row r="25" spans="1:4" x14ac:dyDescent="0.25">
      <c r="A25" s="1">
        <v>17</v>
      </c>
      <c r="B25" s="16">
        <f t="shared" ca="1" si="1"/>
        <v>0.40069342545885356</v>
      </c>
      <c r="C25" s="17">
        <f t="shared" ca="1" si="2"/>
        <v>0.46462014030920323</v>
      </c>
      <c r="D25" s="18">
        <f t="shared" ca="1" si="3"/>
        <v>0.13468643423194324</v>
      </c>
    </row>
    <row r="26" spans="1:4" x14ac:dyDescent="0.25">
      <c r="A26" s="1">
        <v>18</v>
      </c>
      <c r="B26" s="16">
        <f t="shared" ca="1" si="1"/>
        <v>0.4015844235881974</v>
      </c>
      <c r="C26" s="17">
        <f t="shared" ca="1" si="2"/>
        <v>0.46424493464578087</v>
      </c>
      <c r="D26" s="18">
        <f t="shared" ca="1" si="3"/>
        <v>0.13417064176602167</v>
      </c>
    </row>
    <row r="27" spans="1:4" x14ac:dyDescent="0.25">
      <c r="A27" s="1">
        <v>19</v>
      </c>
      <c r="B27" s="16">
        <f t="shared" ca="1" si="1"/>
        <v>0.38646099621779489</v>
      </c>
      <c r="C27" s="17">
        <f t="shared" ca="1" si="2"/>
        <v>0.47039775118275218</v>
      </c>
      <c r="D27" s="18">
        <f t="shared" ca="1" si="3"/>
        <v>0.14314125259945298</v>
      </c>
    </row>
    <row r="28" spans="1:4" x14ac:dyDescent="0.25">
      <c r="A28" s="1">
        <v>20</v>
      </c>
      <c r="B28" s="16">
        <f t="shared" ca="1" si="1"/>
        <v>0.37788513234494997</v>
      </c>
      <c r="C28" s="17">
        <f t="shared" ca="1" si="2"/>
        <v>0.47367698077441839</v>
      </c>
      <c r="D28" s="18">
        <f t="shared" ca="1" si="3"/>
        <v>0.14843788688063161</v>
      </c>
    </row>
    <row r="29" spans="1:4" x14ac:dyDescent="0.25">
      <c r="A29" s="1">
        <v>21</v>
      </c>
      <c r="B29" s="16">
        <f t="shared" ca="1" si="1"/>
        <v>0.37267159866270599</v>
      </c>
      <c r="C29" s="17">
        <f t="shared" ca="1" si="2"/>
        <v>0.47559349007931334</v>
      </c>
      <c r="D29" s="18">
        <f t="shared" ca="1" si="3"/>
        <v>0.15173491125798064</v>
      </c>
    </row>
    <row r="30" spans="1:4" x14ac:dyDescent="0.25">
      <c r="A30" s="1">
        <v>22</v>
      </c>
      <c r="B30" s="16">
        <f t="shared" ca="1" si="1"/>
        <v>0.35558580942897572</v>
      </c>
      <c r="C30" s="17">
        <f t="shared" ca="1" si="2"/>
        <v>0.48144870535084844</v>
      </c>
      <c r="D30" s="18">
        <f t="shared" ca="1" si="3"/>
        <v>0.16296548522017587</v>
      </c>
    </row>
    <row r="31" spans="1:4" x14ac:dyDescent="0.25">
      <c r="A31" s="1">
        <v>23</v>
      </c>
      <c r="B31" s="16">
        <f t="shared" ca="1" si="1"/>
        <v>0.37740459656579117</v>
      </c>
      <c r="C31" s="17">
        <f t="shared" ca="1" si="2"/>
        <v>0.47385609337372325</v>
      </c>
      <c r="D31" s="18">
        <f t="shared" ca="1" si="3"/>
        <v>0.14873931006048557</v>
      </c>
    </row>
    <row r="32" spans="1:4" x14ac:dyDescent="0.25">
      <c r="A32" s="1">
        <v>24</v>
      </c>
      <c r="B32" s="16">
        <f t="shared" ca="1" si="1"/>
        <v>0.37296913067738841</v>
      </c>
      <c r="C32" s="17">
        <f t="shared" ca="1" si="2"/>
        <v>0.47548571200973577</v>
      </c>
      <c r="D32" s="18">
        <f t="shared" ca="1" si="3"/>
        <v>0.15154515731287577</v>
      </c>
    </row>
    <row r="33" spans="1:4" x14ac:dyDescent="0.25">
      <c r="A33" s="1">
        <v>25</v>
      </c>
      <c r="B33" s="16">
        <f t="shared" ca="1" si="1"/>
        <v>0.39013413467497471</v>
      </c>
      <c r="C33" s="17">
        <f t="shared" ca="1" si="2"/>
        <v>0.46894609924332725</v>
      </c>
      <c r="D33" s="18">
        <f t="shared" ca="1" si="3"/>
        <v>0.14091976608169807</v>
      </c>
    </row>
    <row r="34" spans="1:4" x14ac:dyDescent="0.25">
      <c r="A34" s="1">
        <v>26</v>
      </c>
      <c r="B34" s="16">
        <f t="shared" ca="1" si="1"/>
        <v>0.3800920351969298</v>
      </c>
      <c r="C34" s="17">
        <f t="shared" ca="1" si="2"/>
        <v>0.47284802196534548</v>
      </c>
      <c r="D34" s="18">
        <f t="shared" ca="1" si="3"/>
        <v>0.14705994283772472</v>
      </c>
    </row>
    <row r="35" spans="1:4" x14ac:dyDescent="0.25">
      <c r="A35" s="1">
        <v>27</v>
      </c>
      <c r="B35" s="16">
        <f t="shared" ca="1" si="1"/>
        <v>0.38027580351802753</v>
      </c>
      <c r="C35" s="17">
        <f t="shared" ca="1" si="2"/>
        <v>0.47277852479082533</v>
      </c>
      <c r="D35" s="18">
        <f t="shared" ca="1" si="3"/>
        <v>0.14694567169114717</v>
      </c>
    </row>
    <row r="36" spans="1:4" x14ac:dyDescent="0.25">
      <c r="A36" s="1">
        <v>28</v>
      </c>
      <c r="B36" s="16">
        <f t="shared" ca="1" si="1"/>
        <v>0.37335070282882993</v>
      </c>
      <c r="C36" s="17">
        <f t="shared" ca="1" si="2"/>
        <v>0.47534720684321763</v>
      </c>
      <c r="D36" s="18">
        <f t="shared" ca="1" si="3"/>
        <v>0.1513020903279525</v>
      </c>
    </row>
    <row r="37" spans="1:4" x14ac:dyDescent="0.25">
      <c r="A37" s="1">
        <v>29</v>
      </c>
      <c r="B37" s="16">
        <f t="shared" ca="1" si="1"/>
        <v>0.35443122567765289</v>
      </c>
      <c r="C37" s="17">
        <f t="shared" ca="1" si="2"/>
        <v>0.48182008513820118</v>
      </c>
      <c r="D37" s="18">
        <f t="shared" ca="1" si="3"/>
        <v>0.16374868918414592</v>
      </c>
    </row>
    <row r="38" spans="1:4" x14ac:dyDescent="0.25">
      <c r="A38" s="1">
        <v>30</v>
      </c>
      <c r="B38" s="16">
        <f t="shared" ca="1" si="1"/>
        <v>0.36193946379514658</v>
      </c>
      <c r="C38" s="17">
        <f t="shared" ca="1" si="2"/>
        <v>0.47934917014537159</v>
      </c>
      <c r="D38" s="18">
        <f t="shared" ca="1" si="3"/>
        <v>0.15871136605948188</v>
      </c>
    </row>
    <row r="39" spans="1:4" x14ac:dyDescent="0.25">
      <c r="A39" s="1">
        <v>31</v>
      </c>
      <c r="B39" s="16">
        <f t="shared" ca="1" si="1"/>
        <v>0.35944899500451583</v>
      </c>
      <c r="C39" s="17">
        <f t="shared" ca="1" si="2"/>
        <v>0.48018331666623437</v>
      </c>
      <c r="D39" s="18">
        <f t="shared" ca="1" si="3"/>
        <v>0.16036768832924986</v>
      </c>
    </row>
    <row r="40" spans="1:4" x14ac:dyDescent="0.25">
      <c r="A40" s="1">
        <v>32</v>
      </c>
      <c r="B40" s="16">
        <f t="shared" ca="1" si="1"/>
        <v>0.34656979421841644</v>
      </c>
      <c r="C40" s="17">
        <f t="shared" ca="1" si="2"/>
        <v>0.484263985905315</v>
      </c>
      <c r="D40" s="18">
        <f t="shared" ca="1" si="3"/>
        <v>0.16916621987626859</v>
      </c>
    </row>
    <row r="41" spans="1:4" x14ac:dyDescent="0.25">
      <c r="A41" s="1">
        <v>33</v>
      </c>
      <c r="B41" s="16">
        <f t="shared" ca="1" si="1"/>
        <v>0.33239717188315804</v>
      </c>
      <c r="C41" s="17">
        <f t="shared" ca="1" si="2"/>
        <v>0.488283575340902</v>
      </c>
      <c r="D41" s="18">
        <f t="shared" ca="1" si="3"/>
        <v>0.17931925277593999</v>
      </c>
    </row>
    <row r="42" spans="1:4" x14ac:dyDescent="0.25">
      <c r="A42" s="1">
        <v>34</v>
      </c>
      <c r="B42" s="16">
        <f t="shared" ca="1" si="1"/>
        <v>0.33836114130528711</v>
      </c>
      <c r="C42" s="17">
        <f t="shared" ca="1" si="2"/>
        <v>0.4866540817793632</v>
      </c>
      <c r="D42" s="18">
        <f t="shared" ca="1" si="3"/>
        <v>0.17498477691534975</v>
      </c>
    </row>
    <row r="43" spans="1:4" x14ac:dyDescent="0.25">
      <c r="A43" s="1">
        <v>35</v>
      </c>
      <c r="B43" s="16">
        <f t="shared" ca="1" si="1"/>
        <v>0.33898910037281138</v>
      </c>
      <c r="C43" s="17">
        <f t="shared" ca="1" si="2"/>
        <v>0.48647720908819542</v>
      </c>
      <c r="D43" s="18">
        <f t="shared" ca="1" si="3"/>
        <v>0.17453369053899317</v>
      </c>
    </row>
    <row r="44" spans="1:4" x14ac:dyDescent="0.25">
      <c r="A44" s="1">
        <v>36</v>
      </c>
      <c r="B44" s="16">
        <f t="shared" ca="1" si="1"/>
        <v>0.3496103206762835</v>
      </c>
      <c r="C44" s="17">
        <f t="shared" ca="1" si="2"/>
        <v>0.4833364535503108</v>
      </c>
      <c r="D44" s="18">
        <f t="shared" ca="1" si="3"/>
        <v>0.16705322577340567</v>
      </c>
    </row>
    <row r="45" spans="1:4" x14ac:dyDescent="0.25">
      <c r="A45" s="1">
        <v>37</v>
      </c>
      <c r="B45" s="16">
        <f t="shared" ca="1" si="1"/>
        <v>0.35858961102470172</v>
      </c>
      <c r="C45" s="17">
        <f t="shared" ca="1" si="2"/>
        <v>0.48046782282600847</v>
      </c>
      <c r="D45" s="18">
        <f t="shared" ca="1" si="3"/>
        <v>0.16094256614928978</v>
      </c>
    </row>
    <row r="46" spans="1:4" x14ac:dyDescent="0.25">
      <c r="A46" s="1">
        <v>38</v>
      </c>
      <c r="B46" s="16">
        <f t="shared" ca="1" si="1"/>
        <v>0.35762657768523581</v>
      </c>
      <c r="C46" s="17">
        <f t="shared" ca="1" si="2"/>
        <v>0.48078459936009843</v>
      </c>
      <c r="D46" s="18">
        <f t="shared" ca="1" si="3"/>
        <v>0.16158882295466576</v>
      </c>
    </row>
    <row r="47" spans="1:4" x14ac:dyDescent="0.25">
      <c r="A47" s="1">
        <v>39</v>
      </c>
      <c r="B47" s="16">
        <f t="shared" ca="1" si="1"/>
        <v>0.35826362857229216</v>
      </c>
      <c r="C47" s="17">
        <f t="shared" ca="1" si="2"/>
        <v>0.48057529246809133</v>
      </c>
      <c r="D47" s="18">
        <f t="shared" ca="1" si="3"/>
        <v>0.16116107895961648</v>
      </c>
    </row>
    <row r="48" spans="1:4" x14ac:dyDescent="0.25">
      <c r="A48" s="1">
        <v>40</v>
      </c>
      <c r="B48" s="16">
        <f t="shared" ca="1" si="1"/>
        <v>0.35647846243724624</v>
      </c>
      <c r="C48" s="17">
        <f t="shared" ca="1" si="2"/>
        <v>0.48115942194812134</v>
      </c>
      <c r="D48" s="18">
        <f t="shared" ca="1" si="3"/>
        <v>0.16236211561463237</v>
      </c>
    </row>
    <row r="49" spans="1:4" x14ac:dyDescent="0.25">
      <c r="A49" s="1">
        <v>41</v>
      </c>
      <c r="B49" s="16">
        <f t="shared" ca="1" si="1"/>
        <v>0.34320515696008691</v>
      </c>
      <c r="C49" s="17">
        <f t="shared" ca="1" si="2"/>
        <v>0.48526397010262901</v>
      </c>
      <c r="D49" s="18">
        <f t="shared" ca="1" si="3"/>
        <v>0.17153087293728403</v>
      </c>
    </row>
    <row r="50" spans="1:4" x14ac:dyDescent="0.25">
      <c r="A50" s="1">
        <v>42</v>
      </c>
      <c r="B50" s="16">
        <f t="shared" ca="1" si="1"/>
        <v>0.36570354180685583</v>
      </c>
      <c r="C50" s="17">
        <f t="shared" ca="1" si="2"/>
        <v>0.47806146381835091</v>
      </c>
      <c r="D50" s="18">
        <f t="shared" ca="1" si="3"/>
        <v>0.15623499437479327</v>
      </c>
    </row>
    <row r="51" spans="1:4" x14ac:dyDescent="0.25">
      <c r="A51" s="1">
        <v>43</v>
      </c>
      <c r="B51" s="16">
        <f t="shared" ca="1" si="1"/>
        <v>0.34877877177982103</v>
      </c>
      <c r="C51" s="17">
        <f t="shared" ca="1" si="2"/>
        <v>0.4835923567998695</v>
      </c>
      <c r="D51" s="18">
        <f t="shared" ca="1" si="3"/>
        <v>0.16762887142030944</v>
      </c>
    </row>
    <row r="52" spans="1:4" x14ac:dyDescent="0.25">
      <c r="A52" s="1">
        <v>44</v>
      </c>
      <c r="B52" s="16">
        <f t="shared" ca="1" si="1"/>
        <v>0.35289491118246991</v>
      </c>
      <c r="C52" s="17">
        <f t="shared" ca="1" si="2"/>
        <v>0.48230935057050145</v>
      </c>
      <c r="D52" s="18">
        <f t="shared" ca="1" si="3"/>
        <v>0.16479573824702862</v>
      </c>
    </row>
    <row r="53" spans="1:4" x14ac:dyDescent="0.25">
      <c r="A53" s="1">
        <v>45</v>
      </c>
      <c r="B53" s="16">
        <f t="shared" ca="1" si="1"/>
        <v>0.35844518624097416</v>
      </c>
      <c r="C53" s="17">
        <f t="shared" ca="1" si="2"/>
        <v>0.48051546722483074</v>
      </c>
      <c r="D53" s="18">
        <f t="shared" ca="1" si="3"/>
        <v>0.1610393465341951</v>
      </c>
    </row>
    <row r="54" spans="1:4" x14ac:dyDescent="0.25">
      <c r="A54" s="1">
        <v>46</v>
      </c>
      <c r="B54" s="16">
        <f t="shared" ca="1" si="1"/>
        <v>0.35702175456435226</v>
      </c>
      <c r="C54" s="17">
        <f t="shared" ca="1" si="2"/>
        <v>0.48098243965124104</v>
      </c>
      <c r="D54" s="18">
        <f t="shared" ca="1" si="3"/>
        <v>0.16199580578440673</v>
      </c>
    </row>
    <row r="55" spans="1:4" x14ac:dyDescent="0.25">
      <c r="A55" s="1">
        <v>47</v>
      </c>
      <c r="B55" s="16">
        <f t="shared" ca="1" si="1"/>
        <v>0.34986171400060034</v>
      </c>
      <c r="C55" s="17">
        <f t="shared" ca="1" si="2"/>
        <v>0.4832587595242081</v>
      </c>
      <c r="D55" s="18">
        <f t="shared" ca="1" si="3"/>
        <v>0.16687952647519158</v>
      </c>
    </row>
    <row r="56" spans="1:4" x14ac:dyDescent="0.25">
      <c r="A56" s="1">
        <v>48</v>
      </c>
      <c r="B56" s="16">
        <f t="shared" ca="1" si="1"/>
        <v>0.35726055882828422</v>
      </c>
      <c r="C56" s="17">
        <f t="shared" ca="1" si="2"/>
        <v>0.48090442804384737</v>
      </c>
      <c r="D56" s="18">
        <f t="shared" ca="1" si="3"/>
        <v>0.16183501312786847</v>
      </c>
    </row>
    <row r="57" spans="1:4" x14ac:dyDescent="0.25">
      <c r="A57" s="1">
        <v>49</v>
      </c>
      <c r="B57" s="16">
        <f t="shared" ca="1" si="1"/>
        <v>0.36225636122745869</v>
      </c>
      <c r="C57" s="17">
        <f t="shared" ca="1" si="2"/>
        <v>0.47924200543188711</v>
      </c>
      <c r="D57" s="18">
        <f t="shared" ca="1" si="3"/>
        <v>0.15850163334065415</v>
      </c>
    </row>
    <row r="58" spans="1:4" x14ac:dyDescent="0.25">
      <c r="A58" s="1">
        <v>50</v>
      </c>
      <c r="B58" s="16">
        <f t="shared" ca="1" si="1"/>
        <v>0.33567420591417485</v>
      </c>
      <c r="C58" s="17">
        <f t="shared" ca="1" si="2"/>
        <v>0.48739954336151792</v>
      </c>
      <c r="D58" s="18">
        <f t="shared" ca="1" si="3"/>
        <v>0.17692625072430723</v>
      </c>
    </row>
    <row r="59" spans="1:4" x14ac:dyDescent="0.25">
      <c r="A59" s="1">
        <v>51</v>
      </c>
      <c r="B59" s="16">
        <f t="shared" ca="1" si="1"/>
        <v>0.32621901903414485</v>
      </c>
      <c r="C59" s="17">
        <f t="shared" ca="1" si="2"/>
        <v>0.4898736865220602</v>
      </c>
      <c r="D59" s="18">
        <f t="shared" ca="1" si="3"/>
        <v>0.183907294443795</v>
      </c>
    </row>
    <row r="60" spans="1:4" x14ac:dyDescent="0.25">
      <c r="A60" s="1">
        <v>52</v>
      </c>
      <c r="B60" s="16">
        <f t="shared" ca="1" si="1"/>
        <v>0.32303913154255404</v>
      </c>
      <c r="C60" s="17">
        <f t="shared" ca="1" si="2"/>
        <v>0.49065236735035977</v>
      </c>
      <c r="D60" s="18">
        <f t="shared" ca="1" si="3"/>
        <v>0.18630850110708619</v>
      </c>
    </row>
    <row r="61" spans="1:4" x14ac:dyDescent="0.25">
      <c r="A61" s="1">
        <v>53</v>
      </c>
      <c r="B61" s="16">
        <f t="shared" ca="1" si="1"/>
        <v>0.3263455784157489</v>
      </c>
      <c r="C61" s="17">
        <f t="shared" ca="1" si="2"/>
        <v>0.48984213093870788</v>
      </c>
      <c r="D61" s="18">
        <f t="shared" ca="1" si="3"/>
        <v>0.18381229064554322</v>
      </c>
    </row>
    <row r="62" spans="1:4" x14ac:dyDescent="0.25">
      <c r="A62" s="1">
        <v>54</v>
      </c>
      <c r="B62" s="16">
        <f t="shared" ca="1" si="1"/>
        <v>0.33512294303229018</v>
      </c>
      <c r="C62" s="17">
        <f t="shared" ca="1" si="2"/>
        <v>0.48755019793689902</v>
      </c>
      <c r="D62" s="18">
        <f t="shared" ca="1" si="3"/>
        <v>0.1773268590308108</v>
      </c>
    </row>
    <row r="63" spans="1:4" x14ac:dyDescent="0.25">
      <c r="A63" s="1">
        <v>55</v>
      </c>
      <c r="B63" s="16">
        <f t="shared" ca="1" si="1"/>
        <v>0.31637048681523194</v>
      </c>
      <c r="C63" s="17">
        <f t="shared" ca="1" si="2"/>
        <v>0.49219544557771866</v>
      </c>
      <c r="D63" s="18">
        <f t="shared" ca="1" si="3"/>
        <v>0.1914340676070494</v>
      </c>
    </row>
    <row r="64" spans="1:4" x14ac:dyDescent="0.25">
      <c r="A64" s="1">
        <v>56</v>
      </c>
      <c r="B64" s="16">
        <f t="shared" ca="1" si="1"/>
        <v>0.31263583355854524</v>
      </c>
      <c r="C64" s="17">
        <f t="shared" ca="1" si="2"/>
        <v>0.49300528169039565</v>
      </c>
      <c r="D64" s="18">
        <f t="shared" ca="1" si="3"/>
        <v>0.19435888475105909</v>
      </c>
    </row>
    <row r="65" spans="1:4" x14ac:dyDescent="0.25">
      <c r="A65" s="1">
        <v>57</v>
      </c>
      <c r="B65" s="16">
        <f t="shared" ca="1" si="1"/>
        <v>0.29840355962461418</v>
      </c>
      <c r="C65" s="17">
        <f t="shared" ca="1" si="2"/>
        <v>0.49571941978698963</v>
      </c>
      <c r="D65" s="18">
        <f t="shared" ca="1" si="3"/>
        <v>0.20587702058839619</v>
      </c>
    </row>
    <row r="66" spans="1:4" x14ac:dyDescent="0.25">
      <c r="A66" s="1">
        <v>58</v>
      </c>
      <c r="B66" s="16">
        <f t="shared" ca="1" si="1"/>
        <v>0.29635993854269832</v>
      </c>
      <c r="C66" s="17">
        <f t="shared" ca="1" si="2"/>
        <v>0.49605914281294494</v>
      </c>
      <c r="D66" s="18">
        <f t="shared" ca="1" si="3"/>
        <v>0.20758091864435674</v>
      </c>
    </row>
    <row r="67" spans="1:4" x14ac:dyDescent="0.25">
      <c r="A67" s="1">
        <v>59</v>
      </c>
      <c r="B67" s="16">
        <f t="shared" ca="1" si="1"/>
        <v>0.29884901958515803</v>
      </c>
      <c r="C67" s="17">
        <f t="shared" ca="1" si="2"/>
        <v>0.49564366329082765</v>
      </c>
      <c r="D67" s="18">
        <f t="shared" ca="1" si="3"/>
        <v>0.20550731712401427</v>
      </c>
    </row>
    <row r="68" spans="1:4" x14ac:dyDescent="0.25">
      <c r="A68" s="1">
        <v>60</v>
      </c>
      <c r="B68" s="16">
        <f t="shared" ca="1" si="1"/>
        <v>0.31260628690925224</v>
      </c>
      <c r="C68" s="17">
        <f t="shared" ca="1" si="2"/>
        <v>0.49301153057068681</v>
      </c>
      <c r="D68" s="18">
        <f t="shared" ca="1" si="3"/>
        <v>0.19438218252006101</v>
      </c>
    </row>
    <row r="69" spans="1:4" x14ac:dyDescent="0.25">
      <c r="A69" s="1">
        <v>61</v>
      </c>
      <c r="B69" s="16">
        <f t="shared" ca="1" si="1"/>
        <v>0.32114040817985473</v>
      </c>
      <c r="C69" s="17">
        <f t="shared" ca="1" si="2"/>
        <v>0.49110421650397668</v>
      </c>
      <c r="D69" s="18">
        <f t="shared" ca="1" si="3"/>
        <v>0.18775537531616862</v>
      </c>
    </row>
    <row r="70" spans="1:4" x14ac:dyDescent="0.25">
      <c r="A70" s="1">
        <v>62</v>
      </c>
      <c r="B70" s="16">
        <f t="shared" ca="1" si="1"/>
        <v>0.31986546706850305</v>
      </c>
      <c r="C70" s="17">
        <f t="shared" ca="1" si="2"/>
        <v>0.49140206788972823</v>
      </c>
      <c r="D70" s="18">
        <f t="shared" ca="1" si="3"/>
        <v>0.18873246504176874</v>
      </c>
    </row>
    <row r="71" spans="1:4" x14ac:dyDescent="0.25">
      <c r="A71" s="1">
        <v>63</v>
      </c>
      <c r="B71" s="16">
        <f t="shared" ca="1" si="1"/>
        <v>0.30682488018616577</v>
      </c>
      <c r="C71" s="17">
        <f t="shared" ca="1" si="2"/>
        <v>0.49418575121982855</v>
      </c>
      <c r="D71" s="18">
        <f t="shared" ca="1" si="3"/>
        <v>0.19898936859400568</v>
      </c>
    </row>
    <row r="72" spans="1:4" x14ac:dyDescent="0.25">
      <c r="A72" s="1">
        <v>64</v>
      </c>
      <c r="B72" s="16">
        <f t="shared" ca="1" si="1"/>
        <v>0.2946903496205851</v>
      </c>
      <c r="C72" s="17">
        <f t="shared" ca="1" si="2"/>
        <v>0.49632708763444228</v>
      </c>
      <c r="D72" s="18">
        <f t="shared" ca="1" si="3"/>
        <v>0.20898256274497265</v>
      </c>
    </row>
    <row r="73" spans="1:4" x14ac:dyDescent="0.25">
      <c r="A73" s="1">
        <v>65</v>
      </c>
      <c r="B73" s="16">
        <f t="shared" ca="1" si="1"/>
        <v>0.29358557975808652</v>
      </c>
      <c r="C73" s="17">
        <f t="shared" ca="1" si="2"/>
        <v>0.49649960184649566</v>
      </c>
      <c r="D73" s="18">
        <f t="shared" ca="1" si="3"/>
        <v>0.20991481839541776</v>
      </c>
    </row>
    <row r="74" spans="1:4" x14ac:dyDescent="0.25">
      <c r="A74" s="1">
        <v>66</v>
      </c>
      <c r="B74" s="16">
        <f t="shared" ref="B74:B108" ca="1" si="4">NORMINV(RAND(),B73,$G$3)</f>
        <v>0.30612714088996329</v>
      </c>
      <c r="C74" s="17">
        <f t="shared" ref="C74:C108" ca="1" si="5">IFERROR(2*SQRT(B74)*(1-SQRT(B74)),NA())</f>
        <v>0.49432086865489733</v>
      </c>
      <c r="D74" s="18">
        <f t="shared" ref="D74:D108" ca="1" si="6">IFERROR((1-SQRT(B74))^2,NA())</f>
        <v>0.19955199045513944</v>
      </c>
    </row>
    <row r="75" spans="1:4" x14ac:dyDescent="0.25">
      <c r="A75" s="1">
        <v>67</v>
      </c>
      <c r="B75" s="16">
        <f t="shared" ca="1" si="4"/>
        <v>0.3088760523260306</v>
      </c>
      <c r="C75" s="17">
        <f t="shared" ca="1" si="5"/>
        <v>0.49378026523381952</v>
      </c>
      <c r="D75" s="18">
        <f t="shared" ca="1" si="6"/>
        <v>0.19734368244014985</v>
      </c>
    </row>
    <row r="76" spans="1:4" x14ac:dyDescent="0.25">
      <c r="A76" s="1">
        <v>68</v>
      </c>
      <c r="B76" s="16">
        <f t="shared" ca="1" si="4"/>
        <v>0.28167743447909399</v>
      </c>
      <c r="C76" s="17">
        <f t="shared" ca="1" si="5"/>
        <v>0.49811097501248636</v>
      </c>
      <c r="D76" s="18">
        <f t="shared" ca="1" si="6"/>
        <v>0.22021159050841965</v>
      </c>
    </row>
    <row r="77" spans="1:4" x14ac:dyDescent="0.25">
      <c r="A77" s="1">
        <v>69</v>
      </c>
      <c r="B77" s="16">
        <f t="shared" ca="1" si="4"/>
        <v>0.28975777628805549</v>
      </c>
      <c r="C77" s="17">
        <f t="shared" ca="1" si="5"/>
        <v>0.49706751674655952</v>
      </c>
      <c r="D77" s="18">
        <f t="shared" ca="1" si="6"/>
        <v>0.21317470696538496</v>
      </c>
    </row>
    <row r="78" spans="1:4" x14ac:dyDescent="0.25">
      <c r="A78" s="1">
        <v>70</v>
      </c>
      <c r="B78" s="16">
        <f t="shared" ca="1" si="4"/>
        <v>0.29180452912624805</v>
      </c>
      <c r="C78" s="17">
        <f t="shared" ca="1" si="5"/>
        <v>0.49676963299654564</v>
      </c>
      <c r="D78" s="18">
        <f t="shared" ca="1" si="6"/>
        <v>0.21142583787720637</v>
      </c>
    </row>
    <row r="79" spans="1:4" x14ac:dyDescent="0.25">
      <c r="A79" s="1">
        <v>71</v>
      </c>
      <c r="B79" s="16">
        <f t="shared" ca="1" si="4"/>
        <v>0.28884874688625983</v>
      </c>
      <c r="C79" s="17">
        <f t="shared" ca="1" si="5"/>
        <v>0.49719551836638121</v>
      </c>
      <c r="D79" s="18">
        <f t="shared" ca="1" si="6"/>
        <v>0.21395573474735896</v>
      </c>
    </row>
    <row r="80" spans="1:4" x14ac:dyDescent="0.25">
      <c r="A80" s="1">
        <v>72</v>
      </c>
      <c r="B80" s="16">
        <f t="shared" ca="1" si="4"/>
        <v>0.27535527569173146</v>
      </c>
      <c r="C80" s="17">
        <f t="shared" ca="1" si="5"/>
        <v>0.49877556227737341</v>
      </c>
      <c r="D80" s="18">
        <f t="shared" ca="1" si="6"/>
        <v>0.22586916203089519</v>
      </c>
    </row>
    <row r="81" spans="1:4" x14ac:dyDescent="0.25">
      <c r="A81" s="1">
        <v>73</v>
      </c>
      <c r="B81" s="16">
        <f t="shared" ca="1" si="4"/>
        <v>0.2795437814746432</v>
      </c>
      <c r="C81" s="17">
        <f t="shared" ca="1" si="5"/>
        <v>0.4983504380221998</v>
      </c>
      <c r="D81" s="18">
        <f t="shared" ca="1" si="6"/>
        <v>0.22210578050315705</v>
      </c>
    </row>
    <row r="82" spans="1:4" x14ac:dyDescent="0.25">
      <c r="A82" s="1">
        <v>74</v>
      </c>
      <c r="B82" s="16">
        <f t="shared" ca="1" si="4"/>
        <v>0.29611717689390399</v>
      </c>
      <c r="C82" s="17">
        <f t="shared" ca="1" si="5"/>
        <v>0.49609864101461737</v>
      </c>
      <c r="D82" s="18">
        <f t="shared" ca="1" si="6"/>
        <v>0.20778418209147861</v>
      </c>
    </row>
    <row r="83" spans="1:4" x14ac:dyDescent="0.25">
      <c r="A83" s="1">
        <v>75</v>
      </c>
      <c r="B83" s="16">
        <f t="shared" ca="1" si="4"/>
        <v>0.2964644394617898</v>
      </c>
      <c r="C83" s="17">
        <f t="shared" ca="1" si="5"/>
        <v>0.49604208388817472</v>
      </c>
      <c r="D83" s="18">
        <f t="shared" ca="1" si="6"/>
        <v>0.20749347665003548</v>
      </c>
    </row>
    <row r="84" spans="1:4" x14ac:dyDescent="0.25">
      <c r="A84" s="1">
        <v>76</v>
      </c>
      <c r="B84" s="16">
        <f t="shared" ca="1" si="4"/>
        <v>0.28792859182511527</v>
      </c>
      <c r="C84" s="17">
        <f t="shared" ca="1" si="5"/>
        <v>0.49732237602301493</v>
      </c>
      <c r="D84" s="18">
        <f t="shared" ca="1" si="6"/>
        <v>0.21474903215186983</v>
      </c>
    </row>
    <row r="85" spans="1:4" x14ac:dyDescent="0.25">
      <c r="A85" s="1">
        <v>77</v>
      </c>
      <c r="B85" s="16">
        <f t="shared" ca="1" si="4"/>
        <v>0.29983994516100193</v>
      </c>
      <c r="C85" s="17">
        <f t="shared" ca="1" si="5"/>
        <v>0.49547296688287407</v>
      </c>
      <c r="D85" s="18">
        <f t="shared" ca="1" si="6"/>
        <v>0.20468708795612403</v>
      </c>
    </row>
    <row r="86" spans="1:4" x14ac:dyDescent="0.25">
      <c r="A86" s="1">
        <v>78</v>
      </c>
      <c r="B86" s="16">
        <f t="shared" ca="1" si="4"/>
        <v>0.31746789660999458</v>
      </c>
      <c r="C86" s="17">
        <f t="shared" ca="1" si="5"/>
        <v>0.49194999799399997</v>
      </c>
      <c r="D86" s="18">
        <f t="shared" ca="1" si="6"/>
        <v>0.19058210539600545</v>
      </c>
    </row>
    <row r="87" spans="1:4" x14ac:dyDescent="0.25">
      <c r="A87" s="1">
        <v>79</v>
      </c>
      <c r="B87" s="16">
        <f t="shared" ca="1" si="4"/>
        <v>0.32094726687571068</v>
      </c>
      <c r="C87" s="17">
        <f t="shared" ca="1" si="5"/>
        <v>0.49114962580408456</v>
      </c>
      <c r="D87" s="18">
        <f t="shared" ca="1" si="6"/>
        <v>0.18790310732020479</v>
      </c>
    </row>
    <row r="88" spans="1:4" x14ac:dyDescent="0.25">
      <c r="A88" s="1">
        <v>80</v>
      </c>
      <c r="B88" s="16">
        <f t="shared" ca="1" si="4"/>
        <v>0.32765964948296894</v>
      </c>
      <c r="C88" s="17">
        <f t="shared" ca="1" si="5"/>
        <v>0.48951195407176451</v>
      </c>
      <c r="D88" s="18">
        <f t="shared" ca="1" si="6"/>
        <v>0.18282839644526649</v>
      </c>
    </row>
    <row r="89" spans="1:4" x14ac:dyDescent="0.25">
      <c r="A89" s="1">
        <v>81</v>
      </c>
      <c r="B89" s="16">
        <f t="shared" ca="1" si="4"/>
        <v>0.33328356277771415</v>
      </c>
      <c r="C89" s="17">
        <f t="shared" ca="1" si="5"/>
        <v>0.48804720447467165</v>
      </c>
      <c r="D89" s="18">
        <f t="shared" ca="1" si="6"/>
        <v>0.1786692327476142</v>
      </c>
    </row>
    <row r="90" spans="1:4" x14ac:dyDescent="0.25">
      <c r="A90" s="1">
        <v>82</v>
      </c>
      <c r="B90" s="16">
        <f t="shared" ca="1" si="4"/>
        <v>0.33791694182898974</v>
      </c>
      <c r="C90" s="17">
        <f t="shared" ca="1" si="5"/>
        <v>0.48677859146688296</v>
      </c>
      <c r="D90" s="18">
        <f t="shared" ca="1" si="6"/>
        <v>0.17530446670412725</v>
      </c>
    </row>
    <row r="91" spans="1:4" x14ac:dyDescent="0.25">
      <c r="A91" s="1">
        <v>83</v>
      </c>
      <c r="B91" s="16">
        <f t="shared" ca="1" si="4"/>
        <v>0.3536333654201182</v>
      </c>
      <c r="C91" s="17">
        <f t="shared" ca="1" si="5"/>
        <v>0.48207487764761636</v>
      </c>
      <c r="D91" s="18">
        <f t="shared" ca="1" si="6"/>
        <v>0.16429175693226544</v>
      </c>
    </row>
    <row r="92" spans="1:4" x14ac:dyDescent="0.25">
      <c r="A92" s="1">
        <v>84</v>
      </c>
      <c r="B92" s="16">
        <f t="shared" ca="1" si="4"/>
        <v>0.35410572248348693</v>
      </c>
      <c r="C92" s="17">
        <f t="shared" ca="1" si="5"/>
        <v>0.48192421533984497</v>
      </c>
      <c r="D92" s="18">
        <f t="shared" ca="1" si="6"/>
        <v>0.16397006217666804</v>
      </c>
    </row>
    <row r="93" spans="1:4" x14ac:dyDescent="0.25">
      <c r="A93" s="1">
        <v>85</v>
      </c>
      <c r="B93" s="16">
        <f t="shared" ca="1" si="4"/>
        <v>0.34071514866798047</v>
      </c>
      <c r="C93" s="17">
        <f t="shared" ca="1" si="5"/>
        <v>0.48598590722517238</v>
      </c>
      <c r="D93" s="18">
        <f t="shared" ca="1" si="6"/>
        <v>0.17329894410684712</v>
      </c>
    </row>
    <row r="94" spans="1:4" x14ac:dyDescent="0.25">
      <c r="A94" s="1">
        <v>86</v>
      </c>
      <c r="B94" s="16">
        <f t="shared" ca="1" si="4"/>
        <v>0.34737946386384044</v>
      </c>
      <c r="C94" s="17">
        <f t="shared" ca="1" si="5"/>
        <v>0.48401919196039755</v>
      </c>
      <c r="D94" s="18">
        <f t="shared" ca="1" si="6"/>
        <v>0.168601344175762</v>
      </c>
    </row>
    <row r="95" spans="1:4" x14ac:dyDescent="0.25">
      <c r="A95" s="1">
        <v>87</v>
      </c>
      <c r="B95" s="16">
        <f t="shared" ca="1" si="4"/>
        <v>0.31853479783083077</v>
      </c>
      <c r="C95" s="17">
        <f t="shared" ca="1" si="5"/>
        <v>0.49170814655481354</v>
      </c>
      <c r="D95" s="18">
        <f t="shared" ca="1" si="6"/>
        <v>0.18975705561435569</v>
      </c>
    </row>
    <row r="96" spans="1:4" x14ac:dyDescent="0.25">
      <c r="A96" s="1">
        <v>88</v>
      </c>
      <c r="B96" s="16">
        <f t="shared" ca="1" si="4"/>
        <v>0.30401189133785839</v>
      </c>
      <c r="C96" s="17">
        <f t="shared" ca="1" si="5"/>
        <v>0.49472168448859377</v>
      </c>
      <c r="D96" s="18">
        <f t="shared" ca="1" si="6"/>
        <v>0.20126642417354779</v>
      </c>
    </row>
    <row r="97" spans="1:4" x14ac:dyDescent="0.25">
      <c r="A97" s="1">
        <v>89</v>
      </c>
      <c r="B97" s="16">
        <f t="shared" ca="1" si="4"/>
        <v>0.28947276750835482</v>
      </c>
      <c r="C97" s="17">
        <f t="shared" ca="1" si="5"/>
        <v>0.49710793485986637</v>
      </c>
      <c r="D97" s="18">
        <f t="shared" ca="1" si="6"/>
        <v>0.2134192976317788</v>
      </c>
    </row>
    <row r="98" spans="1:4" x14ac:dyDescent="0.25">
      <c r="A98" s="1">
        <v>90</v>
      </c>
      <c r="B98" s="16">
        <f t="shared" ca="1" si="4"/>
        <v>0.29137927707377709</v>
      </c>
      <c r="C98" s="17">
        <f t="shared" ca="1" si="5"/>
        <v>0.49683262231467884</v>
      </c>
      <c r="D98" s="18">
        <f t="shared" ca="1" si="6"/>
        <v>0.21178810061154407</v>
      </c>
    </row>
    <row r="99" spans="1:4" x14ac:dyDescent="0.25">
      <c r="A99" s="1">
        <v>91</v>
      </c>
      <c r="B99" s="16">
        <f t="shared" ca="1" si="4"/>
        <v>0.28337545568629019</v>
      </c>
      <c r="C99" s="17">
        <f t="shared" ca="1" si="5"/>
        <v>0.49790951465308947</v>
      </c>
      <c r="D99" s="18">
        <f t="shared" ca="1" si="6"/>
        <v>0.21871502966062037</v>
      </c>
    </row>
    <row r="100" spans="1:4" x14ac:dyDescent="0.25">
      <c r="A100" s="1">
        <v>92</v>
      </c>
      <c r="B100" s="16">
        <f t="shared" ca="1" si="4"/>
        <v>0.29280044031576102</v>
      </c>
      <c r="C100" s="17">
        <f t="shared" ca="1" si="5"/>
        <v>0.49661987377260786</v>
      </c>
      <c r="D100" s="18">
        <f t="shared" ca="1" si="6"/>
        <v>0.21057968591163106</v>
      </c>
    </row>
    <row r="101" spans="1:4" x14ac:dyDescent="0.25">
      <c r="A101" s="1">
        <v>93</v>
      </c>
      <c r="B101" s="16">
        <f t="shared" ca="1" si="4"/>
        <v>0.2871313772225193</v>
      </c>
      <c r="C101" s="17">
        <f t="shared" ca="1" si="5"/>
        <v>0.49743006949756724</v>
      </c>
      <c r="D101" s="18">
        <f t="shared" ca="1" si="6"/>
        <v>0.21543855327991349</v>
      </c>
    </row>
    <row r="102" spans="1:4" x14ac:dyDescent="0.25">
      <c r="A102" s="1">
        <v>94</v>
      </c>
      <c r="B102" s="16">
        <f t="shared" ca="1" si="4"/>
        <v>0.27910077087903951</v>
      </c>
      <c r="C102" s="17">
        <f t="shared" ca="1" si="5"/>
        <v>0.49839823276213069</v>
      </c>
      <c r="D102" s="18">
        <f t="shared" ca="1" si="6"/>
        <v>0.22250099635882975</v>
      </c>
    </row>
    <row r="103" spans="1:4" x14ac:dyDescent="0.25">
      <c r="A103" s="1">
        <v>95</v>
      </c>
      <c r="B103" s="16">
        <f t="shared" ca="1" si="4"/>
        <v>0.27692496376163489</v>
      </c>
      <c r="C103" s="17">
        <f t="shared" ca="1" si="5"/>
        <v>0.49862328118398258</v>
      </c>
      <c r="D103" s="18">
        <f t="shared" ca="1" si="6"/>
        <v>0.22445175505438253</v>
      </c>
    </row>
    <row r="104" spans="1:4" x14ac:dyDescent="0.25">
      <c r="A104" s="1">
        <v>96</v>
      </c>
      <c r="B104" s="16">
        <f t="shared" ca="1" si="4"/>
        <v>0.26825618098928888</v>
      </c>
      <c r="C104" s="17">
        <f t="shared" ca="1" si="5"/>
        <v>0.49935670501645302</v>
      </c>
      <c r="D104" s="18">
        <f t="shared" ca="1" si="6"/>
        <v>0.2323871139942581</v>
      </c>
    </row>
    <row r="105" spans="1:4" x14ac:dyDescent="0.25">
      <c r="A105" s="1">
        <v>97</v>
      </c>
      <c r="B105" s="16">
        <f t="shared" ca="1" si="4"/>
        <v>0.27149331321762177</v>
      </c>
      <c r="C105" s="17">
        <f t="shared" ca="1" si="5"/>
        <v>0.49911377797427742</v>
      </c>
      <c r="D105" s="18">
        <f t="shared" ca="1" si="6"/>
        <v>0.22939290880810079</v>
      </c>
    </row>
    <row r="106" spans="1:4" x14ac:dyDescent="0.25">
      <c r="A106" s="1">
        <v>98</v>
      </c>
      <c r="B106" s="16">
        <f t="shared" ca="1" si="4"/>
        <v>0.28096657251620832</v>
      </c>
      <c r="C106" s="17">
        <f t="shared" ca="1" si="5"/>
        <v>0.49819245604739565</v>
      </c>
      <c r="D106" s="18">
        <f t="shared" ca="1" si="6"/>
        <v>0.220840971436396</v>
      </c>
    </row>
    <row r="107" spans="1:4" x14ac:dyDescent="0.25">
      <c r="A107" s="1">
        <v>99</v>
      </c>
      <c r="B107" s="16">
        <f t="shared" ca="1" si="4"/>
        <v>0.27974887407314952</v>
      </c>
      <c r="C107" s="17">
        <f t="shared" ca="1" si="5"/>
        <v>0.49832808642789878</v>
      </c>
      <c r="D107" s="18">
        <f t="shared" ca="1" si="6"/>
        <v>0.22192303949895173</v>
      </c>
    </row>
    <row r="108" spans="1:4" ht="15.75" thickBot="1" x14ac:dyDescent="0.3">
      <c r="A108" s="1">
        <v>100</v>
      </c>
      <c r="B108" s="19">
        <f t="shared" ca="1" si="4"/>
        <v>0.27182185255473174</v>
      </c>
      <c r="C108" s="20">
        <f t="shared" ca="1" si="5"/>
        <v>0.49908704164107087</v>
      </c>
      <c r="D108" s="21">
        <f t="shared" ca="1" si="6"/>
        <v>0.22909110580419745</v>
      </c>
    </row>
  </sheetData>
  <mergeCells count="3">
    <mergeCell ref="A1:B2"/>
    <mergeCell ref="A5:B5"/>
    <mergeCell ref="G1:G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ScrollBar1">
          <controlPr defaultSize="0" autoLine="0" linkedCell="I3" r:id="rId5">
            <anchor moveWithCells="1">
              <from>
                <xdr:col>8</xdr:col>
                <xdr:colOff>0</xdr:colOff>
                <xdr:row>1</xdr:row>
                <xdr:rowOff>19050</xdr:rowOff>
              </from>
              <to>
                <xdr:col>14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2049" r:id="rId4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GeneticDrift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2012-12-16T18:26:11Z</dcterms:created>
  <dcterms:modified xsi:type="dcterms:W3CDTF">2016-04-02T15:05:17Z</dcterms:modified>
</cp:coreProperties>
</file>