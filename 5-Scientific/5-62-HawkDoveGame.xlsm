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0" yWindow="0" windowWidth="24000" windowHeight="11025"/>
  </bookViews>
  <sheets>
    <sheet name="Game" sheetId="1" r:id="rId1"/>
  </sheets>
  <definedNames>
    <definedName name="inter1">Game!$B$16</definedName>
    <definedName name="inter2">Game!$C$16</definedName>
    <definedName name="slope1">Game!$B$15</definedName>
    <definedName name="slope2">Game!$C$15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F3" i="1"/>
  <c r="G2" i="1"/>
  <c r="F2" i="1"/>
  <c r="C2" i="1" l="1"/>
  <c r="C6" i="1"/>
  <c r="C10" i="1"/>
  <c r="C3" i="1"/>
  <c r="C7" i="1"/>
  <c r="C4" i="1"/>
  <c r="C8" i="1"/>
  <c r="C5" i="1"/>
  <c r="C9" i="1"/>
  <c r="B2" i="1"/>
  <c r="B6" i="1"/>
  <c r="B10" i="1"/>
  <c r="B3" i="1"/>
  <c r="B7" i="1"/>
  <c r="B4" i="1"/>
  <c r="B8" i="1"/>
  <c r="B5" i="1"/>
  <c r="B9" i="1"/>
  <c r="C16" i="1" l="1"/>
  <c r="C15" i="1"/>
  <c r="B16" i="1"/>
  <c r="B15" i="1"/>
  <c r="B19" i="1" l="1"/>
  <c r="B20" i="1" s="1"/>
  <c r="G10" i="1" l="1"/>
  <c r="G21" i="1" s="1"/>
</calcChain>
</file>

<file path=xl/sharedStrings.xml><?xml version="1.0" encoding="utf-8"?>
<sst xmlns="http://schemas.openxmlformats.org/spreadsheetml/2006/main" count="24" uniqueCount="19">
  <si>
    <t>Hawk</t>
  </si>
  <si>
    <t>Dove</t>
  </si>
  <si>
    <t>Gain</t>
  </si>
  <si>
    <t>Lose</t>
  </si>
  <si>
    <t>Injury</t>
  </si>
  <si>
    <t>Cost</t>
  </si>
  <si>
    <t>H-H</t>
  </si>
  <si>
    <t>H-D</t>
  </si>
  <si>
    <t>D-H</t>
  </si>
  <si>
    <t>D-D</t>
  </si>
  <si>
    <t>win chance</t>
  </si>
  <si>
    <t>benefit - cost</t>
  </si>
  <si>
    <t>X intersect</t>
  </si>
  <si>
    <t>Y intersect</t>
  </si>
  <si>
    <t>X-intersect</t>
  </si>
  <si>
    <t>frequency</t>
  </si>
  <si>
    <t>avg</t>
  </si>
  <si>
    <t>slope 1 + 2</t>
  </si>
  <si>
    <t>interc. 1 + 2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</si>
</sst>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9" fontId="1" fillId="0" borderId="10" xfId="0" applyNumberFormat="1" applyFont="1" applyBorder="1"/>
    <xf numFmtId="9" fontId="1" fillId="0" borderId="2" xfId="0" applyNumberFormat="1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3" xfId="0" applyFont="1" applyBorder="1"/>
    <xf numFmtId="0" fontId="1" fillId="0" borderId="4" xfId="0" applyFont="1" applyBorder="1"/>
    <xf numFmtId="9" fontId="1" fillId="0" borderId="0" xfId="0" applyNumberFormat="1" applyFont="1" applyBorder="1"/>
    <xf numFmtId="9" fontId="1" fillId="0" borderId="4" xfId="0" applyNumberFormat="1" applyFont="1" applyBorder="1"/>
    <xf numFmtId="9" fontId="1" fillId="0" borderId="11" xfId="0" applyNumberFormat="1" applyFont="1" applyBorder="1"/>
    <xf numFmtId="9" fontId="1" fillId="0" borderId="6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9" xfId="0" applyNumberFormat="1" applyFont="1" applyBorder="1"/>
    <xf numFmtId="165" fontId="1" fillId="0" borderId="0" xfId="0" applyNumberFormat="1" applyFont="1"/>
    <xf numFmtId="165" fontId="1" fillId="2" borderId="2" xfId="0" applyNumberFormat="1" applyFont="1" applyFill="1" applyBorder="1"/>
    <xf numFmtId="165" fontId="1" fillId="2" borderId="0" xfId="0" applyNumberFormat="1" applyFont="1" applyFill="1"/>
    <xf numFmtId="165" fontId="1" fillId="2" borderId="8" xfId="0" applyNumberFormat="1" applyFont="1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ESS: Evolutionary Stable Strategy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Game!$B$1</c:f>
              <c:strCache>
                <c:ptCount val="1"/>
                <c:pt idx="0">
                  <c:v>Hawk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Game!$A$2:$A$10</c:f>
              <c:numCache>
                <c:formatCode>0.0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Game!$B$2:$B$10</c:f>
              <c:numCache>
                <c:formatCode>0.0</c:formatCode>
                <c:ptCount val="9"/>
                <c:pt idx="0">
                  <c:v>52</c:v>
                </c:pt>
                <c:pt idx="1">
                  <c:v>44</c:v>
                </c:pt>
                <c:pt idx="2">
                  <c:v>36</c:v>
                </c:pt>
                <c:pt idx="3">
                  <c:v>28</c:v>
                </c:pt>
                <c:pt idx="4">
                  <c:v>20</c:v>
                </c:pt>
                <c:pt idx="5">
                  <c:v>12</c:v>
                </c:pt>
                <c:pt idx="6">
                  <c:v>4.0000000000000036</c:v>
                </c:pt>
                <c:pt idx="7">
                  <c:v>-4.0000000000000036</c:v>
                </c:pt>
                <c:pt idx="8">
                  <c:v>-12.000000000000002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Game!$C$1</c:f>
              <c:strCache>
                <c:ptCount val="1"/>
                <c:pt idx="0">
                  <c:v>Dove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Game!$A$2:$A$10</c:f>
              <c:numCache>
                <c:formatCode>0.0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Game!$C$2:$C$10</c:f>
              <c:numCache>
                <c:formatCode>0.0</c:formatCode>
                <c:ptCount val="9"/>
                <c:pt idx="0">
                  <c:v>18</c:v>
                </c:pt>
                <c:pt idx="1">
                  <c:v>16</c:v>
                </c:pt>
                <c:pt idx="2">
                  <c:v>14</c:v>
                </c:pt>
                <c:pt idx="3">
                  <c:v>12</c:v>
                </c:pt>
                <c:pt idx="4">
                  <c:v>10</c:v>
                </c:pt>
                <c:pt idx="5">
                  <c:v>8</c:v>
                </c:pt>
                <c:pt idx="6">
                  <c:v>6.0000000000000009</c:v>
                </c:pt>
                <c:pt idx="7">
                  <c:v>3.9999999999999991</c:v>
                </c:pt>
                <c:pt idx="8">
                  <c:v>1.9999999999999996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90176"/>
        <c:axId val="291991856"/>
      </c:scatterChart>
      <c:valAx>
        <c:axId val="2919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91856"/>
        <c:crosses val="autoZero"/>
        <c:crossBetween val="midCat"/>
      </c:valAx>
      <c:valAx>
        <c:axId val="2919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9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195262</xdr:colOff>
      <xdr:row>6</xdr:row>
      <xdr:rowOff>17462</xdr:rowOff>
    </xdr:from>
    <xdr:to>
      <xdr:col>15</xdr:col>
      <xdr:colOff>147637</xdr:colOff>
      <xdr:row>20</xdr:row>
      <xdr:rowOff>93662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10</xdr:row>
      <xdr:rowOff>25400</xdr:rowOff>
    </xdr:from>
    <xdr:to>
      <xdr:col>3</xdr:col>
      <xdr:colOff>457200</xdr:colOff>
      <xdr:row>11</xdr:row>
      <xdr:rowOff>139700</xdr:rowOff>
    </xdr:to>
    <xdr:sp macro="" textlink="">
      <xdr:nvSpPr>
        <xdr:cNvPr id="3" name="Rounded Rectangle 2"/>
        <xdr:cNvSpPr/>
      </xdr:nvSpPr>
      <xdr:spPr>
        <a:xfrm>
          <a:off x="209550" y="1993900"/>
          <a:ext cx="1714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Ctrl + Shift +  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"/>
  <sheetViews>
    <sheetView tabSelected="1" zoomScale="150" zoomScaleNormal="150" workbookViewId="0"/>
  </sheetViews>
  <sheetFormatPr defaultRowHeight="15" x14ac:dyDescent="0.25"/>
  <cols>
    <col min="1" max="1" width="10.42578125" style="1" customWidth="1"/>
    <col min="2" max="2" width="6.28515625" style="1" customWidth="1"/>
    <col min="3" max="3" width="5.5703125" style="1" customWidth="1"/>
    <col min="4" max="4" width="8.85546875" style="1" customWidth="1"/>
    <col min="5" max="5" width="5.85546875" style="1" customWidth="1"/>
    <col min="6" max="6" width="5.85546875" style="1" bestFit="1" customWidth="1"/>
    <col min="7" max="7" width="10.7109375" style="1" bestFit="1" customWidth="1"/>
    <col min="8" max="8" width="8.85546875" style="1" customWidth="1"/>
    <col min="9" max="9" width="6.140625" style="1" bestFit="1" customWidth="1"/>
    <col min="10" max="10" width="6" style="1" customWidth="1"/>
    <col min="11" max="11" width="9.140625" style="1"/>
    <col min="12" max="12" width="5" style="1" customWidth="1"/>
    <col min="13" max="14" width="5.5703125" style="1" bestFit="1" customWidth="1"/>
    <col min="15" max="16384" width="9.140625" style="1"/>
  </cols>
  <sheetData>
    <row r="1" spans="1:14" ht="15.75" thickBot="1" x14ac:dyDescent="0.3">
      <c r="A1" s="1" t="s">
        <v>15</v>
      </c>
      <c r="B1" s="1" t="s">
        <v>0</v>
      </c>
      <c r="C1" s="1" t="s">
        <v>1</v>
      </c>
      <c r="F1" s="1" t="s">
        <v>0</v>
      </c>
      <c r="G1" s="1" t="s">
        <v>1</v>
      </c>
      <c r="I1" s="22" t="s">
        <v>11</v>
      </c>
      <c r="J1" s="22"/>
      <c r="M1" s="22" t="s">
        <v>10</v>
      </c>
      <c r="N1" s="22"/>
    </row>
    <row r="2" spans="1:14" x14ac:dyDescent="0.25">
      <c r="A2" s="2">
        <v>0.1</v>
      </c>
      <c r="B2" s="2">
        <f t="shared" ref="B2:B10" si="0">A2*$F$2+(1-A2)*$G$2</f>
        <v>52</v>
      </c>
      <c r="C2" s="2">
        <f t="shared" ref="C2:C10" si="1">A2*$F$3+(1-A2)*$G$3</f>
        <v>18</v>
      </c>
      <c r="E2" s="1" t="s">
        <v>0</v>
      </c>
      <c r="F2" s="3">
        <f>($M$2*$J$2)+(($N$2*$J$4))</f>
        <v>-20</v>
      </c>
      <c r="G2" s="4">
        <f>$M$3*$J$2-0</f>
        <v>60</v>
      </c>
      <c r="I2" s="3" t="s">
        <v>2</v>
      </c>
      <c r="J2" s="4">
        <v>60</v>
      </c>
      <c r="L2" s="3" t="s">
        <v>6</v>
      </c>
      <c r="M2" s="5">
        <v>0.5</v>
      </c>
      <c r="N2" s="6">
        <v>0.5</v>
      </c>
    </row>
    <row r="3" spans="1:14" ht="15.75" thickBot="1" x14ac:dyDescent="0.3">
      <c r="A3" s="2">
        <v>0.2</v>
      </c>
      <c r="B3" s="2">
        <f t="shared" si="0"/>
        <v>44</v>
      </c>
      <c r="C3" s="2">
        <f t="shared" si="1"/>
        <v>16</v>
      </c>
      <c r="E3" s="1" t="s">
        <v>1</v>
      </c>
      <c r="F3" s="7">
        <f>$M$4*$J$2+$N$4*$J$3</f>
        <v>0</v>
      </c>
      <c r="G3" s="8">
        <f>$M$5*($J$2+$J$5)-$N$5*-$J$5</f>
        <v>20</v>
      </c>
      <c r="I3" s="9" t="s">
        <v>3</v>
      </c>
      <c r="J3" s="10">
        <v>0</v>
      </c>
      <c r="L3" s="9" t="s">
        <v>7</v>
      </c>
      <c r="M3" s="11">
        <v>1</v>
      </c>
      <c r="N3" s="12">
        <v>0</v>
      </c>
    </row>
    <row r="4" spans="1:14" x14ac:dyDescent="0.25">
      <c r="A4" s="2">
        <v>0.3</v>
      </c>
      <c r="B4" s="2">
        <f t="shared" si="0"/>
        <v>36</v>
      </c>
      <c r="C4" s="2">
        <f t="shared" si="1"/>
        <v>14</v>
      </c>
      <c r="I4" s="9" t="s">
        <v>4</v>
      </c>
      <c r="J4" s="10">
        <v>-100</v>
      </c>
      <c r="L4" s="9" t="s">
        <v>8</v>
      </c>
      <c r="M4" s="11">
        <v>0</v>
      </c>
      <c r="N4" s="12">
        <v>1</v>
      </c>
    </row>
    <row r="5" spans="1:14" ht="15.75" thickBot="1" x14ac:dyDescent="0.3">
      <c r="A5" s="2">
        <v>0.4</v>
      </c>
      <c r="B5" s="2">
        <f t="shared" si="0"/>
        <v>28</v>
      </c>
      <c r="C5" s="2">
        <f t="shared" si="1"/>
        <v>12</v>
      </c>
      <c r="I5" s="7" t="s">
        <v>5</v>
      </c>
      <c r="J5" s="8">
        <v>-10</v>
      </c>
      <c r="L5" s="7" t="s">
        <v>9</v>
      </c>
      <c r="M5" s="13">
        <v>0.5</v>
      </c>
      <c r="N5" s="14">
        <v>0.5</v>
      </c>
    </row>
    <row r="6" spans="1:14" x14ac:dyDescent="0.25">
      <c r="A6" s="2">
        <v>0.5</v>
      </c>
      <c r="B6" s="2">
        <f t="shared" si="0"/>
        <v>20</v>
      </c>
      <c r="C6" s="2">
        <f t="shared" si="1"/>
        <v>10</v>
      </c>
    </row>
    <row r="7" spans="1:14" x14ac:dyDescent="0.25">
      <c r="A7" s="2">
        <v>0.6</v>
      </c>
      <c r="B7" s="2">
        <f t="shared" si="0"/>
        <v>12</v>
      </c>
      <c r="C7" s="2">
        <f t="shared" si="1"/>
        <v>8</v>
      </c>
    </row>
    <row r="8" spans="1:14" x14ac:dyDescent="0.25">
      <c r="A8" s="2">
        <v>0.7</v>
      </c>
      <c r="B8" s="2">
        <f t="shared" si="0"/>
        <v>4.0000000000000036</v>
      </c>
      <c r="C8" s="2">
        <f t="shared" si="1"/>
        <v>6.0000000000000009</v>
      </c>
    </row>
    <row r="9" spans="1:14" ht="15.75" thickBot="1" x14ac:dyDescent="0.3">
      <c r="A9" s="2">
        <v>0.8</v>
      </c>
      <c r="B9" s="2">
        <f t="shared" si="0"/>
        <v>-4.0000000000000036</v>
      </c>
      <c r="C9" s="2">
        <f t="shared" si="1"/>
        <v>3.9999999999999991</v>
      </c>
      <c r="F9" s="1" t="s">
        <v>2</v>
      </c>
      <c r="G9" s="1" t="s">
        <v>14</v>
      </c>
    </row>
    <row r="10" spans="1:14" ht="15.75" thickBot="1" x14ac:dyDescent="0.3">
      <c r="A10" s="2">
        <v>0.9</v>
      </c>
      <c r="B10" s="2">
        <f t="shared" si="0"/>
        <v>-12.000000000000002</v>
      </c>
      <c r="C10" s="2">
        <f t="shared" si="1"/>
        <v>1.9999999999999996</v>
      </c>
      <c r="F10" s="3"/>
      <c r="G10" s="19">
        <f>B19</f>
        <v>0.66666666666666674</v>
      </c>
    </row>
    <row r="11" spans="1:14" x14ac:dyDescent="0.25">
      <c r="F11" s="9">
        <v>10</v>
      </c>
      <c r="G11" s="15">
        <f t="dataTable" ref="G11:G19" dt2D="0" dtr="0" r1="J2"/>
        <v>0.24999999999999997</v>
      </c>
    </row>
    <row r="12" spans="1:14" x14ac:dyDescent="0.25">
      <c r="F12" s="9">
        <v>20</v>
      </c>
      <c r="G12" s="16">
        <v>0.33333333333333331</v>
      </c>
    </row>
    <row r="13" spans="1:14" x14ac:dyDescent="0.25">
      <c r="F13" s="9">
        <v>30</v>
      </c>
      <c r="G13" s="16">
        <v>0.41666666666666663</v>
      </c>
    </row>
    <row r="14" spans="1:14" x14ac:dyDescent="0.25">
      <c r="F14" s="9">
        <v>40</v>
      </c>
      <c r="G14" s="16">
        <v>0.5</v>
      </c>
    </row>
    <row r="15" spans="1:14" x14ac:dyDescent="0.25">
      <c r="A15" s="1" t="s">
        <v>17</v>
      </c>
      <c r="B15" s="1">
        <f>SLOPE(B2:B10,$A$2:$A$10)</f>
        <v>-79.999999999999986</v>
      </c>
      <c r="C15" s="1">
        <f>SLOPE(C2:C10,$A$2:$A$10)</f>
        <v>-19.999999999999996</v>
      </c>
      <c r="F15" s="9">
        <v>50</v>
      </c>
      <c r="G15" s="21">
        <v>0.58333333333333337</v>
      </c>
    </row>
    <row r="16" spans="1:14" x14ac:dyDescent="0.25">
      <c r="A16" s="1" t="s">
        <v>18</v>
      </c>
      <c r="B16" s="1">
        <f>INTERCEPT(B2:B10,$A$2:$A$10)</f>
        <v>59.999999999999993</v>
      </c>
      <c r="C16" s="1">
        <f>INTERCEPT(C2:C10,$A$2:$A$10)</f>
        <v>20</v>
      </c>
      <c r="F16" s="9">
        <v>60</v>
      </c>
      <c r="G16" s="16">
        <v>0.66666666666666674</v>
      </c>
    </row>
    <row r="17" spans="1:7" x14ac:dyDescent="0.25">
      <c r="F17" s="9">
        <v>70</v>
      </c>
      <c r="G17" s="16">
        <v>0.75</v>
      </c>
    </row>
    <row r="18" spans="1:7" x14ac:dyDescent="0.25">
      <c r="F18" s="9">
        <v>80</v>
      </c>
      <c r="G18" s="16">
        <v>0.83333333333333348</v>
      </c>
    </row>
    <row r="19" spans="1:7" ht="15.75" thickBot="1" x14ac:dyDescent="0.3">
      <c r="A19" s="1" t="s">
        <v>12</v>
      </c>
      <c r="B19" s="20">
        <f>(inter2-inter1)/(slope1-slope2)</f>
        <v>0.66666666666666674</v>
      </c>
      <c r="F19" s="7">
        <v>90</v>
      </c>
      <c r="G19" s="17">
        <v>0.91666666666666674</v>
      </c>
    </row>
    <row r="20" spans="1:7" x14ac:dyDescent="0.25">
      <c r="A20" s="1" t="s">
        <v>13</v>
      </c>
      <c r="B20" s="18">
        <f>slope1*B19+inter1</f>
        <v>6.6666666666666643</v>
      </c>
    </row>
    <row r="21" spans="1:7" x14ac:dyDescent="0.25">
      <c r="F21" s="1" t="s">
        <v>16</v>
      </c>
      <c r="G21" s="18">
        <f>AVERAGE(G10:G19)</f>
        <v>0.59166666666666667</v>
      </c>
    </row>
  </sheetData>
  <mergeCells count="2">
    <mergeCell ref="M1:N1"/>
    <mergeCell ref="I1:J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Game</vt:lpstr>
      <vt:lpstr>inter1</vt:lpstr>
      <vt:lpstr>inter2</vt:lpstr>
      <vt:lpstr>slope1</vt:lpstr>
      <vt:lpstr>slope2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2015-10-29T11:22:05Z</dcterms:created>
  <dcterms:modified xsi:type="dcterms:W3CDTF">2016-11-09T12:33:26Z</dcterms:modified>
</cp:coreProperties>
</file>