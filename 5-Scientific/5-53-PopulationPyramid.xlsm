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720" yWindow="330" windowWidth="22755" windowHeight="9750"/>
  </bookViews>
  <sheets>
    <sheet name="Pyramid" sheetId="21" r:id="rId1"/>
  </sheets>
  <externalReferences>
    <externalReference r:id="rId2"/>
    <externalReference r:id="rId3"/>
  </externalReferences>
  <definedNames>
    <definedName name="Hb">'[1]7-Oxygen'!$C$3:$C$15</definedName>
    <definedName name="IP">'[2]7-Absorption'!$C$1</definedName>
    <definedName name="Max">'[2]1-Sigmoid'!$B$19</definedName>
    <definedName name="Oxygen">'[1]7-Oxygen'!$B$3:$C$15</definedName>
    <definedName name="Pressures">'[1]7-Oxygen'!$B$3:$B$15</definedName>
    <definedName name="Rate">'[2]1-Sigmoid'!$C$21</definedName>
    <definedName name="signif">0.05</definedName>
    <definedName name="Slope">'[2]7-Absorption'!$C$2</definedName>
    <definedName name="SP">'[2]7-Absorption'!$C$21</definedName>
  </definedNames>
  <calcPr calcId="152511"/>
</workbook>
</file>

<file path=xl/calcChain.xml><?xml version="1.0" encoding="utf-8"?>
<calcChain xmlns="http://schemas.openxmlformats.org/spreadsheetml/2006/main">
  <c r="B16" i="21" l="1"/>
  <c r="B17" i="21"/>
  <c r="B18" i="21"/>
  <c r="B19" i="21"/>
  <c r="B20" i="21"/>
  <c r="B21" i="21"/>
  <c r="B22" i="21"/>
  <c r="B23" i="21"/>
  <c r="B24" i="21"/>
  <c r="B25" i="21"/>
  <c r="D10" i="21" l="1"/>
  <c r="D9" i="21" l="1"/>
  <c r="D8" i="21" s="1"/>
  <c r="E10" i="21"/>
  <c r="F9" i="21" s="1"/>
  <c r="G8" i="21" s="1"/>
  <c r="H7" i="21" s="1"/>
  <c r="I6" i="21" s="1"/>
  <c r="J5" i="21" s="1"/>
  <c r="K4" i="21" s="1"/>
  <c r="L3" i="21" s="1"/>
  <c r="M2" i="21" s="1"/>
  <c r="E9" i="21"/>
  <c r="F8" i="21" s="1"/>
  <c r="G7" i="21" s="1"/>
  <c r="H6" i="21" s="1"/>
  <c r="I5" i="21" s="1"/>
  <c r="J4" i="21" s="1"/>
  <c r="K3" i="21" s="1"/>
  <c r="L2" i="21" s="1"/>
  <c r="D7" i="21" l="1"/>
  <c r="E7" i="21"/>
  <c r="F6" i="21" s="1"/>
  <c r="G5" i="21" s="1"/>
  <c r="H4" i="21" s="1"/>
  <c r="I3" i="21" s="1"/>
  <c r="J2" i="21" s="1"/>
  <c r="E8" i="21"/>
  <c r="F7" i="21" s="1"/>
  <c r="G6" i="21" s="1"/>
  <c r="H5" i="21" s="1"/>
  <c r="I4" i="21" s="1"/>
  <c r="J3" i="21" s="1"/>
  <c r="K2" i="21" s="1"/>
  <c r="D6" i="21" l="1"/>
  <c r="E6" i="21"/>
  <c r="F5" i="21" s="1"/>
  <c r="G4" i="21" s="1"/>
  <c r="H3" i="21" s="1"/>
  <c r="I2" i="21" s="1"/>
  <c r="D5" i="21" l="1"/>
  <c r="E5" i="21"/>
  <c r="F4" i="21" s="1"/>
  <c r="G3" i="21" s="1"/>
  <c r="H2" i="21" s="1"/>
  <c r="D4" i="21" l="1"/>
  <c r="E4" i="21"/>
  <c r="F3" i="21" s="1"/>
  <c r="G2" i="21" s="1"/>
  <c r="D3" i="21" l="1"/>
  <c r="E3" i="21"/>
  <c r="F2" i="21" s="1"/>
  <c r="G11" i="21" s="1"/>
  <c r="H10" i="21" s="1"/>
  <c r="I9" i="21" s="1"/>
  <c r="J8" i="21" s="1"/>
  <c r="K7" i="21" s="1"/>
  <c r="L6" i="21" s="1"/>
  <c r="M5" i="21" s="1"/>
  <c r="N4" i="21" s="1"/>
  <c r="D2" i="21" l="1"/>
  <c r="E11" i="21" s="1"/>
  <c r="F10" i="21" s="1"/>
  <c r="G9" i="21" s="1"/>
  <c r="E2" i="21"/>
  <c r="F11" i="21" s="1"/>
  <c r="G10" i="21" s="1"/>
  <c r="H9" i="21" s="1"/>
  <c r="I8" i="21" s="1"/>
  <c r="J7" i="21" s="1"/>
  <c r="K6" i="21" s="1"/>
  <c r="L5" i="21" s="1"/>
  <c r="M4" i="21" s="1"/>
  <c r="N3" i="21" s="1"/>
  <c r="H8" i="21" l="1"/>
  <c r="H11" i="21"/>
  <c r="I10" i="21" s="1"/>
  <c r="J9" i="21" s="1"/>
  <c r="K8" i="21" s="1"/>
  <c r="L7" i="21" s="1"/>
  <c r="M6" i="21" s="1"/>
  <c r="N5" i="21" s="1"/>
  <c r="M11" i="21"/>
  <c r="N10" i="21" s="1"/>
  <c r="I7" i="21" l="1"/>
  <c r="I11" i="21"/>
  <c r="J10" i="21" s="1"/>
  <c r="K9" i="21" s="1"/>
  <c r="L8" i="21" s="1"/>
  <c r="M7" i="21" s="1"/>
  <c r="N6" i="21" s="1"/>
  <c r="J6" i="21" l="1"/>
  <c r="J11" i="21"/>
  <c r="K10" i="21" s="1"/>
  <c r="L9" i="21" l="1"/>
  <c r="M8" i="21" s="1"/>
  <c r="N7" i="21" s="1"/>
  <c r="K5" i="21"/>
  <c r="K11" i="21"/>
  <c r="L10" i="21" s="1"/>
  <c r="M9" i="21" s="1"/>
  <c r="N8" i="21" s="1"/>
  <c r="L4" i="21" l="1"/>
  <c r="M3" i="21" s="1"/>
  <c r="L11" i="21"/>
  <c r="M10" i="21" s="1"/>
  <c r="N9" i="21" s="1"/>
  <c r="N2" i="21" l="1"/>
  <c r="N11" i="21"/>
  <c r="C16" i="21" l="1"/>
  <c r="C25" i="21"/>
  <c r="C18" i="21"/>
  <c r="C22" i="21"/>
  <c r="C20" i="21"/>
  <c r="C19" i="21"/>
  <c r="C17" i="21"/>
  <c r="C24" i="21"/>
  <c r="C21" i="21"/>
  <c r="C23" i="21"/>
</calcChain>
</file>

<file path=xl/comments1.xml><?xml version="1.0" encoding="utf-8"?>
<comments xmlns="http://schemas.openxmlformats.org/spreadsheetml/2006/main">
  <authors>
    <author>Gerry</author>
  </authors>
  <commentList>
    <comment ref="E2" authorId="0" shapeId="0">
      <text>
        <r>
          <rPr>
            <b/>
            <sz val="11"/>
            <color indexed="81"/>
            <rFont val="Tahoma"/>
            <family val="2"/>
          </rPr>
          <t>=D3*$C3</t>
        </r>
      </text>
    </comment>
    <comment ref="E11" authorId="0" shapeId="0">
      <text>
        <r>
          <rPr>
            <b/>
            <sz val="11"/>
            <color indexed="81"/>
            <rFont val="Tahoma"/>
            <family val="2"/>
          </rPr>
          <t>=SUM(D$2:D$9)*D$12</t>
        </r>
      </text>
    </comment>
    <comment ref="C16" authorId="0" shapeId="0">
      <text>
        <r>
          <rPr>
            <b/>
            <sz val="11"/>
            <color indexed="81"/>
            <rFont val="Tahoma"/>
            <family val="2"/>
          </rPr>
          <t>=(MAX($B$16:$B$25)-B16)/2</t>
        </r>
      </text>
    </comment>
  </commentList>
</comments>
</file>

<file path=xl/sharedStrings.xml><?xml version="1.0" encoding="utf-8"?>
<sst xmlns="http://schemas.openxmlformats.org/spreadsheetml/2006/main" count="16" uniqueCount="16">
  <si>
    <t>age</t>
  </si>
  <si>
    <t>survival</t>
  </si>
  <si>
    <t>randomize</t>
  </si>
  <si>
    <t>90-100</t>
  </si>
  <si>
    <t>80-90</t>
  </si>
  <si>
    <t>70-80</t>
  </si>
  <si>
    <t>60-70</t>
  </si>
  <si>
    <t>50-60</t>
  </si>
  <si>
    <t>40-50</t>
  </si>
  <si>
    <t>30-40</t>
  </si>
  <si>
    <t>20-30</t>
  </si>
  <si>
    <t>10-20</t>
  </si>
  <si>
    <t>0-10</t>
  </si>
  <si>
    <t>after</t>
  </si>
  <si>
    <t>years</t>
  </si>
  <si>
    <t>birth rate randomized: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</si>
</sst>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76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8" fillId="15" borderId="13" applyNumberFormat="0" applyAlignment="0" applyProtection="0"/>
    <xf numFmtId="43" fontId="19" fillId="0" borderId="0" applyFont="0" applyFill="0" applyBorder="0" applyAlignment="0" applyProtection="0"/>
  </cellStyleXfs>
  <cellXfs count="28">
    <xf numFmtId="0" fontId="0" fillId="0" borderId="0" xfId="0"/>
    <xf numFmtId="0" fontId="20" fillId="0" borderId="0" xfId="0" applyFont="1"/>
    <xf numFmtId="0" fontId="0" fillId="0" borderId="0" xfId="0" applyAlignment="1">
      <alignment horizontal="center"/>
    </xf>
    <xf numFmtId="2" fontId="20" fillId="0" borderId="0" xfId="0" applyNumberFormat="1" applyFont="1" applyAlignment="1">
      <alignment horizontal="right"/>
    </xf>
    <xf numFmtId="2" fontId="0" fillId="0" borderId="0" xfId="0" applyNumberFormat="1"/>
    <xf numFmtId="167" fontId="0" fillId="0" borderId="16" xfId="75" applyNumberFormat="1" applyFont="1" applyBorder="1"/>
    <xf numFmtId="167" fontId="0" fillId="0" borderId="10" xfId="75" applyNumberFormat="1" applyFont="1" applyBorder="1"/>
    <xf numFmtId="167" fontId="0" fillId="0" borderId="14" xfId="75" applyNumberFormat="1" applyFont="1" applyBorder="1"/>
    <xf numFmtId="167" fontId="0" fillId="0" borderId="9" xfId="75" applyNumberFormat="1" applyFont="1" applyBorder="1"/>
    <xf numFmtId="167" fontId="0" fillId="0" borderId="17" xfId="75" applyNumberFormat="1" applyFont="1" applyBorder="1"/>
    <xf numFmtId="167" fontId="0" fillId="0" borderId="8" xfId="75" applyNumberFormat="1" applyFont="1" applyBorder="1"/>
    <xf numFmtId="167" fontId="0" fillId="0" borderId="0" xfId="75" applyNumberFormat="1" applyFont="1" applyBorder="1"/>
    <xf numFmtId="167" fontId="0" fillId="0" borderId="7" xfId="75" applyNumberFormat="1" applyFont="1" applyBorder="1"/>
    <xf numFmtId="49" fontId="0" fillId="0" borderId="0" xfId="0" applyNumberFormat="1"/>
    <xf numFmtId="167" fontId="0" fillId="0" borderId="18" xfId="75" applyNumberFormat="1" applyFont="1" applyBorder="1"/>
    <xf numFmtId="167" fontId="0" fillId="0" borderId="6" xfId="75" applyNumberFormat="1" applyFont="1" applyBorder="1"/>
    <xf numFmtId="167" fontId="0" fillId="0" borderId="15" xfId="75" applyNumberFormat="1" applyFont="1" applyBorder="1"/>
    <xf numFmtId="167" fontId="0" fillId="0" borderId="5" xfId="75" applyNumberFormat="1" applyFont="1" applyBorder="1"/>
    <xf numFmtId="167" fontId="0" fillId="0" borderId="12" xfId="75" applyNumberFormat="1" applyFont="1" applyBorder="1"/>
    <xf numFmtId="167" fontId="0" fillId="0" borderId="19" xfId="75" applyNumberFormat="1" applyFont="1" applyBorder="1"/>
    <xf numFmtId="167" fontId="0" fillId="0" borderId="11" xfId="75" applyNumberFormat="1" applyFont="1" applyBorder="1"/>
    <xf numFmtId="2" fontId="0" fillId="0" borderId="0" xfId="0" applyNumberFormat="1" applyAlignment="1">
      <alignment horizontal="center"/>
    </xf>
    <xf numFmtId="0" fontId="0" fillId="0" borderId="15" xfId="0" applyBorder="1" applyAlignment="1">
      <alignment horizontal="center"/>
    </xf>
    <xf numFmtId="0" fontId="18" fillId="15" borderId="13" xfId="74" applyAlignment="1">
      <alignment horizontal="center"/>
    </xf>
    <xf numFmtId="167" fontId="20" fillId="0" borderId="9" xfId="75" applyNumberFormat="1" applyFont="1" applyBorder="1"/>
    <xf numFmtId="167" fontId="20" fillId="0" borderId="7" xfId="75" applyNumberFormat="1" applyFont="1" applyBorder="1"/>
    <xf numFmtId="167" fontId="20" fillId="0" borderId="5" xfId="75" applyNumberFormat="1" applyFont="1" applyBorder="1"/>
    <xf numFmtId="0" fontId="0" fillId="0" borderId="0" xfId="0" applyAlignment="1">
      <alignment horizontal="center"/>
    </xf>
  </cellXfs>
  <cellStyles count="76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" xfId="75" builtinId="3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74" builtinId="20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Pyramid!$A$2:$A$11</c:f>
              <c:strCache>
                <c:ptCount val="10"/>
                <c:pt idx="0">
                  <c:v>90-100</c:v>
                </c:pt>
                <c:pt idx="1">
                  <c:v>80-90</c:v>
                </c:pt>
                <c:pt idx="2">
                  <c:v>70-80</c:v>
                </c:pt>
                <c:pt idx="3">
                  <c:v>60-70</c:v>
                </c:pt>
                <c:pt idx="4">
                  <c:v>50-60</c:v>
                </c:pt>
                <c:pt idx="5">
                  <c:v>40-50</c:v>
                </c:pt>
                <c:pt idx="6">
                  <c:v>30-40</c:v>
                </c:pt>
                <c:pt idx="7">
                  <c:v>20-30</c:v>
                </c:pt>
                <c:pt idx="8">
                  <c:v>10-20</c:v>
                </c:pt>
                <c:pt idx="9">
                  <c:v>0-10</c:v>
                </c:pt>
              </c:strCache>
            </c:strRef>
          </c:cat>
          <c:val>
            <c:numRef>
              <c:f>Pyramid!$C$16:$C$25</c:f>
              <c:numCache>
                <c:formatCode>_(* #,##0_);_(* \(#,##0\);_(* "-"??_);_(@_)</c:formatCode>
                <c:ptCount val="10"/>
                <c:pt idx="0">
                  <c:v>65681.014790063186</c:v>
                </c:pt>
                <c:pt idx="1">
                  <c:v>58037.366482610116</c:v>
                </c:pt>
                <c:pt idx="2">
                  <c:v>59969.293739335837</c:v>
                </c:pt>
                <c:pt idx="3">
                  <c:v>46686.395811243026</c:v>
                </c:pt>
                <c:pt idx="4">
                  <c:v>46241.262389587733</c:v>
                </c:pt>
                <c:pt idx="5">
                  <c:v>33647.418807901107</c:v>
                </c:pt>
                <c:pt idx="6">
                  <c:v>15821.917670508781</c:v>
                </c:pt>
                <c:pt idx="7">
                  <c:v>38183.717531413218</c:v>
                </c:pt>
                <c:pt idx="8">
                  <c:v>20776.117211940778</c:v>
                </c:pt>
                <c:pt idx="9">
                  <c:v>0</c:v>
                </c:pt>
              </c:numCache>
            </c:numRef>
          </c:val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Pyramid!$A$2:$A$11</c:f>
              <c:strCache>
                <c:ptCount val="10"/>
                <c:pt idx="0">
                  <c:v>90-100</c:v>
                </c:pt>
                <c:pt idx="1">
                  <c:v>80-90</c:v>
                </c:pt>
                <c:pt idx="2">
                  <c:v>70-80</c:v>
                </c:pt>
                <c:pt idx="3">
                  <c:v>60-70</c:v>
                </c:pt>
                <c:pt idx="4">
                  <c:v>50-60</c:v>
                </c:pt>
                <c:pt idx="5">
                  <c:v>40-50</c:v>
                </c:pt>
                <c:pt idx="6">
                  <c:v>30-40</c:v>
                </c:pt>
                <c:pt idx="7">
                  <c:v>20-30</c:v>
                </c:pt>
                <c:pt idx="8">
                  <c:v>10-20</c:v>
                </c:pt>
                <c:pt idx="9">
                  <c:v>0-10</c:v>
                </c:pt>
              </c:strCache>
            </c:strRef>
          </c:cat>
          <c:val>
            <c:numRef>
              <c:f>Pyramid!$B$16:$B$25</c:f>
              <c:numCache>
                <c:formatCode>_(* #,##0_);_(* \(#,##0\);_(* "-"??_);_(@_)</c:formatCode>
                <c:ptCount val="10"/>
                <c:pt idx="0">
                  <c:v>1781.3693709824793</c:v>
                </c:pt>
                <c:pt idx="1">
                  <c:v>17068.665985888623</c:v>
                </c:pt>
                <c:pt idx="2">
                  <c:v>13204.811472437186</c:v>
                </c:pt>
                <c:pt idx="3">
                  <c:v>39770.607328622798</c:v>
                </c:pt>
                <c:pt idx="4">
                  <c:v>40660.874171933392</c:v>
                </c:pt>
                <c:pt idx="5">
                  <c:v>65848.561335306644</c:v>
                </c:pt>
                <c:pt idx="6">
                  <c:v>101499.5636100913</c:v>
                </c:pt>
                <c:pt idx="7">
                  <c:v>56775.963888282422</c:v>
                </c:pt>
                <c:pt idx="8">
                  <c:v>91591.164527227302</c:v>
                </c:pt>
                <c:pt idx="9">
                  <c:v>133143.39895110886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91297712"/>
        <c:axId val="291298272"/>
      </c:barChart>
      <c:catAx>
        <c:axId val="29129771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298272"/>
        <c:crosses val="autoZero"/>
        <c:auto val="1"/>
        <c:lblAlgn val="ctr"/>
        <c:lblOffset val="100"/>
        <c:noMultiLvlLbl val="0"/>
      </c:catAx>
      <c:valAx>
        <c:axId val="291298272"/>
        <c:scaling>
          <c:orientation val="minMax"/>
          <c:max val="200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2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0</xdr:row>
      <xdr:rowOff>71437</xdr:rowOff>
    </xdr:from>
    <xdr:to>
      <xdr:col>23</xdr:col>
      <xdr:colOff>304800</xdr:colOff>
      <xdr:row>21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15</xdr:row>
      <xdr:rowOff>171450</xdr:rowOff>
    </xdr:from>
    <xdr:to>
      <xdr:col>9</xdr:col>
      <xdr:colOff>352425</xdr:colOff>
      <xdr:row>20</xdr:row>
      <xdr:rowOff>171450</xdr:rowOff>
    </xdr:to>
    <xdr:sp macro="" textlink="">
      <xdr:nvSpPr>
        <xdr:cNvPr id="3" name="Rounded Rectangle 2"/>
        <xdr:cNvSpPr/>
      </xdr:nvSpPr>
      <xdr:spPr>
        <a:xfrm>
          <a:off x="3267075" y="3067050"/>
          <a:ext cx="2638425" cy="952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erry%20Verschuuren/My%20Documents/Classes/Excel/ScienceClass/Plotting-Data/L-Interpo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Classes/Excel/ScienceClass2010/Regression-Analysis/E-Sigmo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1-TrendLine"/>
      <sheetName val="2-3D-Markers"/>
      <sheetName val="3-BallFall"/>
      <sheetName val="4-PopGrowth"/>
      <sheetName val="5-Titration"/>
      <sheetName val="6-Extrapol"/>
      <sheetName val="7-Oxy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5</v>
          </cell>
          <cell r="C3">
            <v>5.2</v>
          </cell>
        </row>
        <row r="4">
          <cell r="B4">
            <v>10</v>
          </cell>
          <cell r="C4">
            <v>9.3000000000000007</v>
          </cell>
        </row>
        <row r="5">
          <cell r="B5">
            <v>20</v>
          </cell>
          <cell r="C5">
            <v>29.9</v>
          </cell>
        </row>
        <row r="6">
          <cell r="B6">
            <v>30</v>
          </cell>
          <cell r="C6">
            <v>52.9</v>
          </cell>
        </row>
        <row r="7">
          <cell r="B7">
            <v>40</v>
          </cell>
          <cell r="C7">
            <v>71.5</v>
          </cell>
        </row>
        <row r="8">
          <cell r="B8">
            <v>50</v>
          </cell>
          <cell r="C8">
            <v>83.4</v>
          </cell>
        </row>
        <row r="9">
          <cell r="B9">
            <v>60</v>
          </cell>
          <cell r="C9">
            <v>92.2</v>
          </cell>
        </row>
        <row r="10">
          <cell r="B10">
            <v>70</v>
          </cell>
          <cell r="C10">
            <v>95.8</v>
          </cell>
        </row>
        <row r="11">
          <cell r="B11">
            <v>80</v>
          </cell>
          <cell r="C11">
            <v>97.5</v>
          </cell>
        </row>
        <row r="12">
          <cell r="B12">
            <v>90</v>
          </cell>
          <cell r="C12">
            <v>98.9</v>
          </cell>
        </row>
        <row r="13">
          <cell r="B13">
            <v>100</v>
          </cell>
          <cell r="C13">
            <v>99.1</v>
          </cell>
        </row>
        <row r="14">
          <cell r="B14">
            <v>110</v>
          </cell>
          <cell r="C14">
            <v>99.5</v>
          </cell>
        </row>
        <row r="15">
          <cell r="B15">
            <v>120</v>
          </cell>
          <cell r="C15">
            <v>99.9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Sigmoid"/>
      <sheetName val="2-Integration"/>
      <sheetName val="3-Split-Trick"/>
      <sheetName val="4-IP-SP"/>
      <sheetName val="5-Slope"/>
      <sheetName val="6-GrowthCurve"/>
      <sheetName val="7-Absorption"/>
      <sheetName val="8-Hb-Oxyg"/>
      <sheetName val="9-Test"/>
      <sheetName val="10-Titration"/>
      <sheetName val="11-EC50"/>
      <sheetName val="12-EC50Determ"/>
    </sheetNames>
    <sheetDataSet>
      <sheetData sheetId="0">
        <row r="19">
          <cell r="B19">
            <v>200</v>
          </cell>
        </row>
        <row r="21">
          <cell r="C21">
            <v>0.49719347368145589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>
            <v>0.1555</v>
          </cell>
        </row>
        <row r="2">
          <cell r="C2">
            <v>25.938517965042877</v>
          </cell>
        </row>
        <row r="21">
          <cell r="C21">
            <v>100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>
        <row r="5">
          <cell r="B5" t="str">
            <v>Average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5"/>
  <sheetViews>
    <sheetView tabSelected="1" workbookViewId="0">
      <selection activeCell="B2" sqref="B2"/>
    </sheetView>
  </sheetViews>
  <sheetFormatPr defaultRowHeight="15" x14ac:dyDescent="0.25"/>
  <cols>
    <col min="1" max="2" width="9" bestFit="1" customWidth="1"/>
    <col min="3" max="3" width="10.42578125" customWidth="1"/>
    <col min="4" max="13" width="9.140625" customWidth="1"/>
    <col min="14" max="14" width="9" bestFit="1" customWidth="1"/>
    <col min="15" max="15" width="4.5703125" customWidth="1"/>
    <col min="16" max="25" width="10.140625" customWidth="1"/>
  </cols>
  <sheetData>
    <row r="1" spans="1:14" ht="15.75" thickBot="1" x14ac:dyDescent="0.3">
      <c r="A1" t="s">
        <v>0</v>
      </c>
      <c r="B1" s="1" t="s">
        <v>1</v>
      </c>
      <c r="C1" t="s">
        <v>2</v>
      </c>
      <c r="D1" s="2">
        <v>0</v>
      </c>
      <c r="E1" s="2">
        <v>10</v>
      </c>
      <c r="F1" s="2">
        <v>20</v>
      </c>
      <c r="G1" s="2">
        <v>30</v>
      </c>
      <c r="H1" s="2">
        <v>40</v>
      </c>
      <c r="I1" s="2">
        <v>50</v>
      </c>
      <c r="J1" s="2">
        <v>60</v>
      </c>
      <c r="K1" s="2">
        <v>70</v>
      </c>
      <c r="L1" s="2">
        <v>80</v>
      </c>
      <c r="M1" s="2">
        <v>90</v>
      </c>
      <c r="N1" s="2">
        <v>100</v>
      </c>
    </row>
    <row r="2" spans="1:14" x14ac:dyDescent="0.25">
      <c r="A2" t="s">
        <v>3</v>
      </c>
      <c r="B2" s="3">
        <v>0.2</v>
      </c>
      <c r="C2" s="4">
        <v>0.18477446197076761</v>
      </c>
      <c r="D2" s="5">
        <f t="shared" ref="D2:D10" si="0">D3*$C3</f>
        <v>3658.5649564683113</v>
      </c>
      <c r="E2" s="6">
        <f>D3*$C3</f>
        <v>3658.5649564683113</v>
      </c>
      <c r="F2" s="7">
        <f t="shared" ref="F2:N10" si="1">E3*$C3</f>
        <v>3658.5649564683113</v>
      </c>
      <c r="G2" s="7">
        <f t="shared" si="1"/>
        <v>3658.5649564683113</v>
      </c>
      <c r="H2" s="7">
        <f t="shared" si="1"/>
        <v>3658.5649564683113</v>
      </c>
      <c r="I2" s="7">
        <f t="shared" si="1"/>
        <v>3658.5649564683113</v>
      </c>
      <c r="J2" s="7">
        <f t="shared" si="1"/>
        <v>3658.5649564683113</v>
      </c>
      <c r="K2" s="7">
        <f t="shared" si="1"/>
        <v>3658.5649564683113</v>
      </c>
      <c r="L2" s="7">
        <f t="shared" si="1"/>
        <v>3658.5649564683113</v>
      </c>
      <c r="M2" s="7">
        <f t="shared" si="1"/>
        <v>3658.5649564683113</v>
      </c>
      <c r="N2" s="8">
        <f t="shared" si="1"/>
        <v>1781.3693709824793</v>
      </c>
    </row>
    <row r="3" spans="1:14" x14ac:dyDescent="0.25">
      <c r="A3" t="s">
        <v>4</v>
      </c>
      <c r="B3" s="3">
        <v>0.3</v>
      </c>
      <c r="C3" s="4">
        <v>0.31309465645209966</v>
      </c>
      <c r="D3" s="9">
        <f t="shared" si="0"/>
        <v>11685.172139078122</v>
      </c>
      <c r="E3" s="10">
        <f t="shared" ref="E3:E10" si="2">D4*$C4</f>
        <v>11685.172139078122</v>
      </c>
      <c r="F3" s="11">
        <f t="shared" si="1"/>
        <v>11685.172139078122</v>
      </c>
      <c r="G3" s="11">
        <f t="shared" si="1"/>
        <v>11685.172139078122</v>
      </c>
      <c r="H3" s="11">
        <f t="shared" si="1"/>
        <v>11685.172139078122</v>
      </c>
      <c r="I3" s="11">
        <f t="shared" si="1"/>
        <v>11685.172139078122</v>
      </c>
      <c r="J3" s="11">
        <f t="shared" si="1"/>
        <v>11685.172139078122</v>
      </c>
      <c r="K3" s="11">
        <f t="shared" si="1"/>
        <v>11685.172139078122</v>
      </c>
      <c r="L3" s="11">
        <f t="shared" si="1"/>
        <v>11685.172139078122</v>
      </c>
      <c r="M3" s="11">
        <f t="shared" si="1"/>
        <v>5689.5553286295417</v>
      </c>
      <c r="N3" s="12">
        <f t="shared" si="1"/>
        <v>17068.665985888623</v>
      </c>
    </row>
    <row r="4" spans="1:14" x14ac:dyDescent="0.25">
      <c r="A4" t="s">
        <v>5</v>
      </c>
      <c r="B4" s="3">
        <v>0.45</v>
      </c>
      <c r="C4" s="4">
        <v>0.46401370012902776</v>
      </c>
      <c r="D4" s="9">
        <f t="shared" si="0"/>
        <v>25182.817093178153</v>
      </c>
      <c r="E4" s="10">
        <f t="shared" si="2"/>
        <v>25182.817093178153</v>
      </c>
      <c r="F4" s="11">
        <f t="shared" si="1"/>
        <v>25182.817093178153</v>
      </c>
      <c r="G4" s="11">
        <f t="shared" si="1"/>
        <v>25182.817093178153</v>
      </c>
      <c r="H4" s="11">
        <f t="shared" si="1"/>
        <v>25182.817093178153</v>
      </c>
      <c r="I4" s="11">
        <f t="shared" si="1"/>
        <v>25182.817093178153</v>
      </c>
      <c r="J4" s="11">
        <f t="shared" si="1"/>
        <v>25182.817093178153</v>
      </c>
      <c r="K4" s="11">
        <f t="shared" si="1"/>
        <v>25182.817093178153</v>
      </c>
      <c r="L4" s="11">
        <f t="shared" si="1"/>
        <v>12261.610652977388</v>
      </c>
      <c r="M4" s="11">
        <f t="shared" si="1"/>
        <v>36784.831958932155</v>
      </c>
      <c r="N4" s="12">
        <f t="shared" si="1"/>
        <v>13204.811472437186</v>
      </c>
    </row>
    <row r="5" spans="1:14" x14ac:dyDescent="0.25">
      <c r="A5" t="s">
        <v>6</v>
      </c>
      <c r="B5" s="3">
        <v>0.6</v>
      </c>
      <c r="C5" s="4">
        <v>0.6256060171809994</v>
      </c>
      <c r="D5" s="9">
        <f t="shared" si="0"/>
        <v>40253.476471746115</v>
      </c>
      <c r="E5" s="10">
        <f t="shared" si="2"/>
        <v>40253.476471746115</v>
      </c>
      <c r="F5" s="11">
        <f t="shared" si="1"/>
        <v>40253.476471746115</v>
      </c>
      <c r="G5" s="11">
        <f t="shared" si="1"/>
        <v>40253.476471746115</v>
      </c>
      <c r="H5" s="11">
        <f t="shared" si="1"/>
        <v>40253.476471746115</v>
      </c>
      <c r="I5" s="11">
        <f t="shared" si="1"/>
        <v>40253.476471746115</v>
      </c>
      <c r="J5" s="11">
        <f t="shared" si="1"/>
        <v>40253.476471746115</v>
      </c>
      <c r="K5" s="11">
        <f t="shared" si="1"/>
        <v>19599.572760231105</v>
      </c>
      <c r="L5" s="11">
        <f t="shared" si="1"/>
        <v>58798.718280693298</v>
      </c>
      <c r="M5" s="11">
        <f t="shared" si="1"/>
        <v>21107.232203325802</v>
      </c>
      <c r="N5" s="12">
        <f t="shared" si="1"/>
        <v>39770.607328622798</v>
      </c>
    </row>
    <row r="6" spans="1:14" x14ac:dyDescent="0.25">
      <c r="A6" t="s">
        <v>7</v>
      </c>
      <c r="B6" s="3">
        <v>0.75</v>
      </c>
      <c r="C6" s="4">
        <v>0.73988797972077724</v>
      </c>
      <c r="D6" s="9">
        <f t="shared" si="0"/>
        <v>54404.825561481863</v>
      </c>
      <c r="E6" s="10">
        <f t="shared" si="2"/>
        <v>54404.825561481863</v>
      </c>
      <c r="F6" s="11">
        <f t="shared" si="1"/>
        <v>54404.825561481863</v>
      </c>
      <c r="G6" s="11">
        <f t="shared" si="1"/>
        <v>54404.825561481863</v>
      </c>
      <c r="H6" s="11">
        <f t="shared" si="1"/>
        <v>54404.825561481863</v>
      </c>
      <c r="I6" s="11">
        <f t="shared" si="1"/>
        <v>54404.825561481863</v>
      </c>
      <c r="J6" s="11">
        <f t="shared" si="1"/>
        <v>26489.919146446591</v>
      </c>
      <c r="K6" s="11">
        <f t="shared" si="1"/>
        <v>79469.757439339752</v>
      </c>
      <c r="L6" s="11">
        <f t="shared" si="1"/>
        <v>28527.605234634786</v>
      </c>
      <c r="M6" s="11">
        <f t="shared" si="1"/>
        <v>53752.200898886935</v>
      </c>
      <c r="N6" s="12">
        <f t="shared" si="1"/>
        <v>40660.874171933392</v>
      </c>
    </row>
    <row r="7" spans="1:14" x14ac:dyDescent="0.25">
      <c r="A7" t="s">
        <v>8</v>
      </c>
      <c r="B7" s="3">
        <v>0.8</v>
      </c>
      <c r="C7" s="4">
        <v>0.77194709676760365</v>
      </c>
      <c r="D7" s="9">
        <f t="shared" si="0"/>
        <v>70477.401611189111</v>
      </c>
      <c r="E7" s="10">
        <f t="shared" si="2"/>
        <v>70477.401611189111</v>
      </c>
      <c r="F7" s="11">
        <f t="shared" si="1"/>
        <v>70477.401611189111</v>
      </c>
      <c r="G7" s="11">
        <f t="shared" si="1"/>
        <v>70477.401611189111</v>
      </c>
      <c r="H7" s="11">
        <f t="shared" si="1"/>
        <v>70477.401611189111</v>
      </c>
      <c r="I7" s="11">
        <f t="shared" si="1"/>
        <v>34315.718340503634</v>
      </c>
      <c r="J7" s="11">
        <f t="shared" si="1"/>
        <v>102947.15502151089</v>
      </c>
      <c r="K7" s="11">
        <f t="shared" si="1"/>
        <v>36955.388982080833</v>
      </c>
      <c r="L7" s="11">
        <f t="shared" si="1"/>
        <v>69631.974942279179</v>
      </c>
      <c r="M7" s="11">
        <f t="shared" si="1"/>
        <v>52673.135687916751</v>
      </c>
      <c r="N7" s="12">
        <f t="shared" si="1"/>
        <v>65848.561335306644</v>
      </c>
    </row>
    <row r="8" spans="1:14" x14ac:dyDescent="0.25">
      <c r="A8" t="s">
        <v>9</v>
      </c>
      <c r="B8" s="3">
        <v>0.85</v>
      </c>
      <c r="C8" s="4">
        <v>0.8725308987332544</v>
      </c>
      <c r="D8" s="9">
        <f t="shared" si="0"/>
        <v>80773.531015931498</v>
      </c>
      <c r="E8" s="10">
        <f t="shared" si="2"/>
        <v>80773.531015931498</v>
      </c>
      <c r="F8" s="11">
        <f t="shared" si="1"/>
        <v>80773.531015931498</v>
      </c>
      <c r="G8" s="11">
        <f t="shared" si="1"/>
        <v>80773.531015931498</v>
      </c>
      <c r="H8" s="11">
        <f t="shared" si="1"/>
        <v>39328.943410856162</v>
      </c>
      <c r="I8" s="11">
        <f t="shared" si="1"/>
        <v>117986.83023256848</v>
      </c>
      <c r="J8" s="11">
        <f t="shared" si="1"/>
        <v>42354.246750152786</v>
      </c>
      <c r="K8" s="11">
        <f t="shared" si="1"/>
        <v>79804.594935688001</v>
      </c>
      <c r="L8" s="11">
        <f t="shared" si="1"/>
        <v>60368.218207960228</v>
      </c>
      <c r="M8" s="11">
        <f t="shared" si="1"/>
        <v>75468.457828721002</v>
      </c>
      <c r="N8" s="12">
        <f t="shared" si="1"/>
        <v>101499.5636100913</v>
      </c>
    </row>
    <row r="9" spans="1:14" x14ac:dyDescent="0.25">
      <c r="A9" t="s">
        <v>10</v>
      </c>
      <c r="B9" s="3">
        <v>0.9</v>
      </c>
      <c r="C9" s="4">
        <v>0.91678052309183933</v>
      </c>
      <c r="D9" s="9">
        <f t="shared" si="0"/>
        <v>88105.635952564771</v>
      </c>
      <c r="E9" s="10">
        <f t="shared" si="2"/>
        <v>88105.635952564771</v>
      </c>
      <c r="F9" s="11">
        <f t="shared" si="1"/>
        <v>88105.635952564771</v>
      </c>
      <c r="G9" s="11">
        <f t="shared" si="1"/>
        <v>42898.973549546434</v>
      </c>
      <c r="H9" s="11">
        <f t="shared" si="1"/>
        <v>128696.92064863931</v>
      </c>
      <c r="I9" s="11">
        <f t="shared" si="1"/>
        <v>46198.894591819233</v>
      </c>
      <c r="J9" s="11">
        <f t="shared" si="1"/>
        <v>87048.746047251596</v>
      </c>
      <c r="K9" s="11">
        <f t="shared" si="1"/>
        <v>65848.059254540669</v>
      </c>
      <c r="L9" s="11">
        <f t="shared" si="1"/>
        <v>82319.002125180268</v>
      </c>
      <c r="M9" s="11">
        <f t="shared" si="1"/>
        <v>110713.04532930559</v>
      </c>
      <c r="N9" s="12">
        <f t="shared" si="1"/>
        <v>56775.963888282422</v>
      </c>
    </row>
    <row r="10" spans="1:14" ht="15.75" thickBot="1" x14ac:dyDescent="0.3">
      <c r="A10" s="13" t="s">
        <v>11</v>
      </c>
      <c r="B10" s="3">
        <v>0.95</v>
      </c>
      <c r="C10" s="4">
        <v>0.95040549485943715</v>
      </c>
      <c r="D10" s="14">
        <f t="shared" si="0"/>
        <v>92703.205557113703</v>
      </c>
      <c r="E10" s="15">
        <f t="shared" si="2"/>
        <v>92703.205557113703</v>
      </c>
      <c r="F10" s="16">
        <f t="shared" si="1"/>
        <v>45137.547900952632</v>
      </c>
      <c r="G10" s="16">
        <f t="shared" si="1"/>
        <v>135412.64370285789</v>
      </c>
      <c r="H10" s="16">
        <f t="shared" si="1"/>
        <v>48609.66697025668</v>
      </c>
      <c r="I10" s="16">
        <f t="shared" si="1"/>
        <v>91591.164527227302</v>
      </c>
      <c r="J10" s="16">
        <f t="shared" si="1"/>
        <v>69284.173556129797</v>
      </c>
      <c r="K10" s="16">
        <f t="shared" si="1"/>
        <v>86614.610890223295</v>
      </c>
      <c r="L10" s="16">
        <f t="shared" si="1"/>
        <v>116490.32536967793</v>
      </c>
      <c r="M10" s="16">
        <f t="shared" si="1"/>
        <v>59738.673855920264</v>
      </c>
      <c r="N10" s="17">
        <f t="shared" si="1"/>
        <v>91591.164527227302</v>
      </c>
    </row>
    <row r="11" spans="1:14" ht="15.75" thickBot="1" x14ac:dyDescent="0.3">
      <c r="A11" t="s">
        <v>12</v>
      </c>
      <c r="B11" s="3">
        <v>0.95</v>
      </c>
      <c r="C11" s="4">
        <v>0.92703205557113699</v>
      </c>
      <c r="D11" s="15">
        <v>100000</v>
      </c>
      <c r="E11" s="18">
        <f t="shared" ref="E11:L11" si="3">SUM(D$2:D$9)*D$12</f>
        <v>48690.385224212936</v>
      </c>
      <c r="F11" s="19">
        <f t="shared" si="3"/>
        <v>146071.15567263879</v>
      </c>
      <c r="G11" s="19">
        <f t="shared" si="3"/>
        <v>52435.799472229315</v>
      </c>
      <c r="H11" s="19">
        <f t="shared" si="3"/>
        <v>98800.428719585878</v>
      </c>
      <c r="I11" s="19">
        <f t="shared" si="3"/>
        <v>74737.624378527427</v>
      </c>
      <c r="J11" s="19">
        <f t="shared" si="3"/>
        <v>93432.163828316305</v>
      </c>
      <c r="K11" s="19">
        <f t="shared" si="3"/>
        <v>125659.43612155804</v>
      </c>
      <c r="L11" s="19">
        <f t="shared" si="3"/>
        <v>64440.785512120987</v>
      </c>
      <c r="M11" s="19">
        <f>SUM(G$2:G$9)*G$12</f>
        <v>98800.428719585878</v>
      </c>
      <c r="N11" s="20">
        <f>SUM(M$2:M$9)*M$12</f>
        <v>133143.39895110886</v>
      </c>
    </row>
    <row r="12" spans="1:14" x14ac:dyDescent="0.25">
      <c r="A12" s="27" t="s">
        <v>15</v>
      </c>
      <c r="B12" s="27"/>
      <c r="C12" s="27"/>
      <c r="D12" s="21">
        <v>0.13</v>
      </c>
      <c r="E12" s="21">
        <v>0.39</v>
      </c>
      <c r="F12" s="21">
        <v>0.14000000000000001</v>
      </c>
      <c r="G12" s="21">
        <v>0.3</v>
      </c>
      <c r="H12" s="21">
        <v>0.2</v>
      </c>
      <c r="I12" s="21">
        <v>0.28000000000000003</v>
      </c>
      <c r="J12" s="21">
        <v>0.37</v>
      </c>
      <c r="K12" s="21">
        <v>0.2</v>
      </c>
      <c r="L12" s="21">
        <v>0.27</v>
      </c>
      <c r="M12" s="21">
        <v>0.37</v>
      </c>
      <c r="N12" s="21">
        <v>0.38</v>
      </c>
    </row>
    <row r="15" spans="1:14" ht="15.75" thickBot="1" x14ac:dyDescent="0.3">
      <c r="A15" s="22" t="s">
        <v>13</v>
      </c>
      <c r="B15" s="23">
        <v>100</v>
      </c>
      <c r="C15" s="2" t="s">
        <v>14</v>
      </c>
    </row>
    <row r="16" spans="1:14" x14ac:dyDescent="0.25">
      <c r="B16" s="6">
        <f t="shared" ref="B16:B25" si="4">HLOOKUP(100,$D$1:$N$11,ROW(A2),0)</f>
        <v>1781.3693709824793</v>
      </c>
      <c r="C16" s="24">
        <f>(MAX($B$16:$B$25)-B16)/2</f>
        <v>65681.014790063186</v>
      </c>
    </row>
    <row r="17" spans="2:3" x14ac:dyDescent="0.25">
      <c r="B17" s="10">
        <f t="shared" si="4"/>
        <v>17068.665985888623</v>
      </c>
      <c r="C17" s="25">
        <f t="shared" ref="C17:C25" si="5">(MAX($B$16:$B$25)-B17)/2</f>
        <v>58037.366482610116</v>
      </c>
    </row>
    <row r="18" spans="2:3" x14ac:dyDescent="0.25">
      <c r="B18" s="10">
        <f t="shared" si="4"/>
        <v>13204.811472437186</v>
      </c>
      <c r="C18" s="25">
        <f t="shared" si="5"/>
        <v>59969.293739335837</v>
      </c>
    </row>
    <row r="19" spans="2:3" x14ac:dyDescent="0.25">
      <c r="B19" s="10">
        <f t="shared" si="4"/>
        <v>39770.607328622798</v>
      </c>
      <c r="C19" s="25">
        <f t="shared" si="5"/>
        <v>46686.395811243026</v>
      </c>
    </row>
    <row r="20" spans="2:3" x14ac:dyDescent="0.25">
      <c r="B20" s="10">
        <f t="shared" si="4"/>
        <v>40660.874171933392</v>
      </c>
      <c r="C20" s="25">
        <f t="shared" si="5"/>
        <v>46241.262389587733</v>
      </c>
    </row>
    <row r="21" spans="2:3" x14ac:dyDescent="0.25">
      <c r="B21" s="10">
        <f t="shared" si="4"/>
        <v>65848.561335306644</v>
      </c>
      <c r="C21" s="25">
        <f t="shared" si="5"/>
        <v>33647.418807901107</v>
      </c>
    </row>
    <row r="22" spans="2:3" x14ac:dyDescent="0.25">
      <c r="B22" s="10">
        <f t="shared" si="4"/>
        <v>101499.5636100913</v>
      </c>
      <c r="C22" s="25">
        <f t="shared" si="5"/>
        <v>15821.917670508781</v>
      </c>
    </row>
    <row r="23" spans="2:3" x14ac:dyDescent="0.25">
      <c r="B23" s="10">
        <f t="shared" si="4"/>
        <v>56775.963888282422</v>
      </c>
      <c r="C23" s="25">
        <f t="shared" si="5"/>
        <v>38183.717531413218</v>
      </c>
    </row>
    <row r="24" spans="2:3" x14ac:dyDescent="0.25">
      <c r="B24" s="10">
        <f t="shared" si="4"/>
        <v>91591.164527227302</v>
      </c>
      <c r="C24" s="25">
        <f t="shared" si="5"/>
        <v>20776.117211940778</v>
      </c>
    </row>
    <row r="25" spans="2:3" ht="15.75" thickBot="1" x14ac:dyDescent="0.3">
      <c r="B25" s="15">
        <f t="shared" si="4"/>
        <v>133143.39895110886</v>
      </c>
      <c r="C25" s="26">
        <f t="shared" si="5"/>
        <v>0</v>
      </c>
    </row>
  </sheetData>
  <mergeCells count="1">
    <mergeCell ref="A12:C12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Pyramid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2012-12-16T18:29:43Z</dcterms:created>
  <dcterms:modified xsi:type="dcterms:W3CDTF">2016-11-14T12:18:10Z</dcterms:modified>
</cp:coreProperties>
</file>