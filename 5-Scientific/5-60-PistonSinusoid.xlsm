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Engine" sheetId="1" r:id="rId1"/>
    <sheet name="Formulas" sheetId="2" r:id="rId2"/>
  </sheets>
  <definedNames>
    <definedName name="AW">#REF!</definedName>
    <definedName name="CW">#REF!</definedName>
    <definedName name="V">#REF!,#REF!</definedName>
    <definedName name="W">#REF!</definedName>
    <definedName name="WW">Formulas!$A$10:$E$370</definedName>
    <definedName name="WWW">#REF!</definedName>
  </definedNames>
  <calcPr calcId="152511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0" i="2"/>
  <c r="C11" i="2"/>
  <c r="F11" i="2" s="1"/>
  <c r="C12" i="2"/>
  <c r="F12" i="2" s="1"/>
  <c r="C13" i="2"/>
  <c r="F13" i="2" s="1"/>
  <c r="C14" i="2"/>
  <c r="F14" i="2" s="1"/>
  <c r="C15" i="2"/>
  <c r="F15" i="2" s="1"/>
  <c r="C16" i="2"/>
  <c r="F16" i="2" s="1"/>
  <c r="C17" i="2"/>
  <c r="F17" i="2" s="1"/>
  <c r="C18" i="2"/>
  <c r="F18" i="2" s="1"/>
  <c r="C19" i="2"/>
  <c r="F19" i="2" s="1"/>
  <c r="C20" i="2"/>
  <c r="F20" i="2" s="1"/>
  <c r="C21" i="2"/>
  <c r="F21" i="2" s="1"/>
  <c r="C22" i="2"/>
  <c r="F22" i="2" s="1"/>
  <c r="C23" i="2"/>
  <c r="F23" i="2" s="1"/>
  <c r="C24" i="2"/>
  <c r="F24" i="2" s="1"/>
  <c r="C25" i="2"/>
  <c r="F25" i="2" s="1"/>
  <c r="C26" i="2"/>
  <c r="F26" i="2" s="1"/>
  <c r="C27" i="2"/>
  <c r="F27" i="2" s="1"/>
  <c r="C28" i="2"/>
  <c r="F28" i="2" s="1"/>
  <c r="C29" i="2"/>
  <c r="F29" i="2" s="1"/>
  <c r="C30" i="2"/>
  <c r="F30" i="2" s="1"/>
  <c r="C31" i="2"/>
  <c r="F31" i="2" s="1"/>
  <c r="C32" i="2"/>
  <c r="F32" i="2" s="1"/>
  <c r="C33" i="2"/>
  <c r="F33" i="2" s="1"/>
  <c r="C34" i="2"/>
  <c r="F34" i="2" s="1"/>
  <c r="C35" i="2"/>
  <c r="F35" i="2" s="1"/>
  <c r="C36" i="2"/>
  <c r="F36" i="2" s="1"/>
  <c r="C37" i="2"/>
  <c r="F37" i="2" s="1"/>
  <c r="C38" i="2"/>
  <c r="F38" i="2" s="1"/>
  <c r="C39" i="2"/>
  <c r="F39" i="2" s="1"/>
  <c r="C40" i="2"/>
  <c r="F40" i="2" s="1"/>
  <c r="C41" i="2"/>
  <c r="F41" i="2" s="1"/>
  <c r="C42" i="2"/>
  <c r="F42" i="2" s="1"/>
  <c r="C43" i="2"/>
  <c r="F43" i="2" s="1"/>
  <c r="C44" i="2"/>
  <c r="F44" i="2" s="1"/>
  <c r="C45" i="2"/>
  <c r="F45" i="2" s="1"/>
  <c r="C46" i="2"/>
  <c r="F46" i="2" s="1"/>
  <c r="C47" i="2"/>
  <c r="F47" i="2" s="1"/>
  <c r="C48" i="2"/>
  <c r="F48" i="2" s="1"/>
  <c r="C49" i="2"/>
  <c r="F49" i="2" s="1"/>
  <c r="C50" i="2"/>
  <c r="F50" i="2" s="1"/>
  <c r="C51" i="2"/>
  <c r="F51" i="2" s="1"/>
  <c r="C52" i="2"/>
  <c r="F52" i="2" s="1"/>
  <c r="C53" i="2"/>
  <c r="F53" i="2" s="1"/>
  <c r="C54" i="2"/>
  <c r="F54" i="2" s="1"/>
  <c r="C55" i="2"/>
  <c r="F55" i="2" s="1"/>
  <c r="C56" i="2"/>
  <c r="F56" i="2" s="1"/>
  <c r="C57" i="2"/>
  <c r="F57" i="2" s="1"/>
  <c r="C58" i="2"/>
  <c r="F58" i="2" s="1"/>
  <c r="C59" i="2"/>
  <c r="F59" i="2" s="1"/>
  <c r="C60" i="2"/>
  <c r="F60" i="2" s="1"/>
  <c r="C61" i="2"/>
  <c r="F61" i="2" s="1"/>
  <c r="C62" i="2"/>
  <c r="F62" i="2" s="1"/>
  <c r="C63" i="2"/>
  <c r="F63" i="2" s="1"/>
  <c r="C64" i="2"/>
  <c r="F64" i="2" s="1"/>
  <c r="C65" i="2"/>
  <c r="F65" i="2" s="1"/>
  <c r="C66" i="2"/>
  <c r="F66" i="2" s="1"/>
  <c r="C67" i="2"/>
  <c r="F67" i="2" s="1"/>
  <c r="C68" i="2"/>
  <c r="F68" i="2" s="1"/>
  <c r="C69" i="2"/>
  <c r="F69" i="2" s="1"/>
  <c r="C70" i="2"/>
  <c r="F70" i="2" s="1"/>
  <c r="C71" i="2"/>
  <c r="F71" i="2" s="1"/>
  <c r="C72" i="2"/>
  <c r="F72" i="2" s="1"/>
  <c r="C73" i="2"/>
  <c r="F73" i="2" s="1"/>
  <c r="C74" i="2"/>
  <c r="F74" i="2" s="1"/>
  <c r="C75" i="2"/>
  <c r="F75" i="2" s="1"/>
  <c r="C76" i="2"/>
  <c r="F76" i="2" s="1"/>
  <c r="C77" i="2"/>
  <c r="F77" i="2" s="1"/>
  <c r="C78" i="2"/>
  <c r="F78" i="2" s="1"/>
  <c r="C79" i="2"/>
  <c r="F79" i="2" s="1"/>
  <c r="C80" i="2"/>
  <c r="F80" i="2" s="1"/>
  <c r="C81" i="2"/>
  <c r="F81" i="2" s="1"/>
  <c r="C82" i="2"/>
  <c r="F82" i="2" s="1"/>
  <c r="C83" i="2"/>
  <c r="F83" i="2" s="1"/>
  <c r="C84" i="2"/>
  <c r="F84" i="2" s="1"/>
  <c r="C85" i="2"/>
  <c r="F85" i="2" s="1"/>
  <c r="C86" i="2"/>
  <c r="F86" i="2" s="1"/>
  <c r="C87" i="2"/>
  <c r="F87" i="2" s="1"/>
  <c r="C88" i="2"/>
  <c r="F88" i="2" s="1"/>
  <c r="C89" i="2"/>
  <c r="F89" i="2" s="1"/>
  <c r="C90" i="2"/>
  <c r="F90" i="2" s="1"/>
  <c r="C91" i="2"/>
  <c r="F91" i="2" s="1"/>
  <c r="C92" i="2"/>
  <c r="F92" i="2" s="1"/>
  <c r="C93" i="2"/>
  <c r="F93" i="2" s="1"/>
  <c r="C94" i="2"/>
  <c r="F94" i="2" s="1"/>
  <c r="C95" i="2"/>
  <c r="F95" i="2" s="1"/>
  <c r="C96" i="2"/>
  <c r="F96" i="2" s="1"/>
  <c r="C97" i="2"/>
  <c r="F97" i="2" s="1"/>
  <c r="C98" i="2"/>
  <c r="F98" i="2" s="1"/>
  <c r="C99" i="2"/>
  <c r="F99" i="2" s="1"/>
  <c r="C100" i="2"/>
  <c r="F100" i="2" s="1"/>
  <c r="C101" i="2"/>
  <c r="F101" i="2" s="1"/>
  <c r="C102" i="2"/>
  <c r="F102" i="2" s="1"/>
  <c r="C103" i="2"/>
  <c r="F103" i="2" s="1"/>
  <c r="C104" i="2"/>
  <c r="F104" i="2" s="1"/>
  <c r="C105" i="2"/>
  <c r="F105" i="2" s="1"/>
  <c r="C106" i="2"/>
  <c r="F106" i="2" s="1"/>
  <c r="C107" i="2"/>
  <c r="F107" i="2" s="1"/>
  <c r="C108" i="2"/>
  <c r="F108" i="2" s="1"/>
  <c r="C109" i="2"/>
  <c r="F109" i="2" s="1"/>
  <c r="C110" i="2"/>
  <c r="F110" i="2" s="1"/>
  <c r="C111" i="2"/>
  <c r="F111" i="2" s="1"/>
  <c r="C112" i="2"/>
  <c r="F112" i="2" s="1"/>
  <c r="C113" i="2"/>
  <c r="F113" i="2" s="1"/>
  <c r="C114" i="2"/>
  <c r="F114" i="2" s="1"/>
  <c r="C115" i="2"/>
  <c r="F115" i="2" s="1"/>
  <c r="C116" i="2"/>
  <c r="F116" i="2" s="1"/>
  <c r="C117" i="2"/>
  <c r="F117" i="2" s="1"/>
  <c r="C118" i="2"/>
  <c r="F118" i="2" s="1"/>
  <c r="C119" i="2"/>
  <c r="F119" i="2" s="1"/>
  <c r="C120" i="2"/>
  <c r="F120" i="2" s="1"/>
  <c r="C121" i="2"/>
  <c r="F121" i="2" s="1"/>
  <c r="C122" i="2"/>
  <c r="F122" i="2" s="1"/>
  <c r="C123" i="2"/>
  <c r="F123" i="2" s="1"/>
  <c r="C124" i="2"/>
  <c r="F124" i="2" s="1"/>
  <c r="C125" i="2"/>
  <c r="F125" i="2" s="1"/>
  <c r="C126" i="2"/>
  <c r="F126" i="2" s="1"/>
  <c r="C127" i="2"/>
  <c r="F127" i="2" s="1"/>
  <c r="C128" i="2"/>
  <c r="F128" i="2" s="1"/>
  <c r="C129" i="2"/>
  <c r="F129" i="2" s="1"/>
  <c r="C130" i="2"/>
  <c r="F130" i="2" s="1"/>
  <c r="C131" i="2"/>
  <c r="F131" i="2" s="1"/>
  <c r="C132" i="2"/>
  <c r="F132" i="2" s="1"/>
  <c r="C133" i="2"/>
  <c r="F133" i="2" s="1"/>
  <c r="C134" i="2"/>
  <c r="F134" i="2" s="1"/>
  <c r="C135" i="2"/>
  <c r="F135" i="2" s="1"/>
  <c r="C136" i="2"/>
  <c r="F136" i="2" s="1"/>
  <c r="C137" i="2"/>
  <c r="F137" i="2" s="1"/>
  <c r="C138" i="2"/>
  <c r="F138" i="2" s="1"/>
  <c r="C139" i="2"/>
  <c r="F139" i="2" s="1"/>
  <c r="C140" i="2"/>
  <c r="F140" i="2" s="1"/>
  <c r="C141" i="2"/>
  <c r="F141" i="2" s="1"/>
  <c r="C142" i="2"/>
  <c r="F142" i="2" s="1"/>
  <c r="C143" i="2"/>
  <c r="F143" i="2" s="1"/>
  <c r="C144" i="2"/>
  <c r="C145" i="2"/>
  <c r="F145" i="2" s="1"/>
  <c r="C146" i="2"/>
  <c r="F146" i="2" s="1"/>
  <c r="C147" i="2"/>
  <c r="F147" i="2" s="1"/>
  <c r="C148" i="2"/>
  <c r="F148" i="2" s="1"/>
  <c r="C149" i="2"/>
  <c r="F149" i="2" s="1"/>
  <c r="C150" i="2"/>
  <c r="F150" i="2" s="1"/>
  <c r="C151" i="2"/>
  <c r="F151" i="2" s="1"/>
  <c r="C152" i="2"/>
  <c r="F152" i="2" s="1"/>
  <c r="C153" i="2"/>
  <c r="F153" i="2" s="1"/>
  <c r="C154" i="2"/>
  <c r="F154" i="2" s="1"/>
  <c r="C155" i="2"/>
  <c r="F155" i="2" s="1"/>
  <c r="C156" i="2"/>
  <c r="F156" i="2" s="1"/>
  <c r="C157" i="2"/>
  <c r="F157" i="2" s="1"/>
  <c r="C158" i="2"/>
  <c r="F158" i="2" s="1"/>
  <c r="C159" i="2"/>
  <c r="F159" i="2" s="1"/>
  <c r="C160" i="2"/>
  <c r="F160" i="2" s="1"/>
  <c r="C161" i="2"/>
  <c r="F161" i="2" s="1"/>
  <c r="C162" i="2"/>
  <c r="F162" i="2" s="1"/>
  <c r="C163" i="2"/>
  <c r="F163" i="2" s="1"/>
  <c r="C164" i="2"/>
  <c r="F164" i="2" s="1"/>
  <c r="C165" i="2"/>
  <c r="F165" i="2" s="1"/>
  <c r="C166" i="2"/>
  <c r="F166" i="2" s="1"/>
  <c r="C167" i="2"/>
  <c r="F167" i="2" s="1"/>
  <c r="C168" i="2"/>
  <c r="F168" i="2" s="1"/>
  <c r="C169" i="2"/>
  <c r="F169" i="2" s="1"/>
  <c r="C170" i="2"/>
  <c r="F170" i="2" s="1"/>
  <c r="C171" i="2"/>
  <c r="F171" i="2" s="1"/>
  <c r="C172" i="2"/>
  <c r="F172" i="2" s="1"/>
  <c r="C173" i="2"/>
  <c r="F173" i="2" s="1"/>
  <c r="C174" i="2"/>
  <c r="F174" i="2" s="1"/>
  <c r="C175" i="2"/>
  <c r="F175" i="2" s="1"/>
  <c r="C176" i="2"/>
  <c r="F176" i="2" s="1"/>
  <c r="C177" i="2"/>
  <c r="F177" i="2" s="1"/>
  <c r="C178" i="2"/>
  <c r="F178" i="2" s="1"/>
  <c r="C179" i="2"/>
  <c r="F179" i="2" s="1"/>
  <c r="C180" i="2"/>
  <c r="F180" i="2" s="1"/>
  <c r="C181" i="2"/>
  <c r="F181" i="2" s="1"/>
  <c r="C182" i="2"/>
  <c r="F182" i="2" s="1"/>
  <c r="C183" i="2"/>
  <c r="F183" i="2" s="1"/>
  <c r="C184" i="2"/>
  <c r="F184" i="2" s="1"/>
  <c r="C185" i="2"/>
  <c r="F185" i="2" s="1"/>
  <c r="C186" i="2"/>
  <c r="F186" i="2" s="1"/>
  <c r="C187" i="2"/>
  <c r="F187" i="2" s="1"/>
  <c r="C188" i="2"/>
  <c r="F188" i="2" s="1"/>
  <c r="C189" i="2"/>
  <c r="F189" i="2" s="1"/>
  <c r="C190" i="2"/>
  <c r="F190" i="2" s="1"/>
  <c r="C191" i="2"/>
  <c r="F191" i="2" s="1"/>
  <c r="C192" i="2"/>
  <c r="F192" i="2" s="1"/>
  <c r="C193" i="2"/>
  <c r="F193" i="2" s="1"/>
  <c r="C194" i="2"/>
  <c r="F194" i="2" s="1"/>
  <c r="C195" i="2"/>
  <c r="F195" i="2" s="1"/>
  <c r="C196" i="2"/>
  <c r="F196" i="2" s="1"/>
  <c r="C197" i="2"/>
  <c r="F197" i="2" s="1"/>
  <c r="C198" i="2"/>
  <c r="F198" i="2" s="1"/>
  <c r="C199" i="2"/>
  <c r="F199" i="2" s="1"/>
  <c r="C200" i="2"/>
  <c r="F200" i="2" s="1"/>
  <c r="C201" i="2"/>
  <c r="F201" i="2" s="1"/>
  <c r="C202" i="2"/>
  <c r="F202" i="2" s="1"/>
  <c r="C203" i="2"/>
  <c r="F203" i="2" s="1"/>
  <c r="C204" i="2"/>
  <c r="C205" i="2"/>
  <c r="F205" i="2" s="1"/>
  <c r="C206" i="2"/>
  <c r="F206" i="2" s="1"/>
  <c r="C207" i="2"/>
  <c r="F207" i="2" s="1"/>
  <c r="C208" i="2"/>
  <c r="C209" i="2"/>
  <c r="F209" i="2" s="1"/>
  <c r="C210" i="2"/>
  <c r="F210" i="2" s="1"/>
  <c r="C211" i="2"/>
  <c r="F211" i="2" s="1"/>
  <c r="C212" i="2"/>
  <c r="F212" i="2" s="1"/>
  <c r="C213" i="2"/>
  <c r="F213" i="2" s="1"/>
  <c r="C214" i="2"/>
  <c r="F214" i="2" s="1"/>
  <c r="C215" i="2"/>
  <c r="F215" i="2" s="1"/>
  <c r="C216" i="2"/>
  <c r="F216" i="2" s="1"/>
  <c r="C217" i="2"/>
  <c r="F217" i="2" s="1"/>
  <c r="C218" i="2"/>
  <c r="F218" i="2" s="1"/>
  <c r="C219" i="2"/>
  <c r="F219" i="2" s="1"/>
  <c r="C220" i="2"/>
  <c r="C221" i="2"/>
  <c r="F221" i="2" s="1"/>
  <c r="C222" i="2"/>
  <c r="F222" i="2" s="1"/>
  <c r="C223" i="2"/>
  <c r="F223" i="2" s="1"/>
  <c r="C224" i="2"/>
  <c r="C225" i="2"/>
  <c r="F225" i="2" s="1"/>
  <c r="C226" i="2"/>
  <c r="F226" i="2" s="1"/>
  <c r="C227" i="2"/>
  <c r="F227" i="2" s="1"/>
  <c r="C228" i="2"/>
  <c r="F228" i="2" s="1"/>
  <c r="C229" i="2"/>
  <c r="F229" i="2" s="1"/>
  <c r="C230" i="2"/>
  <c r="F230" i="2" s="1"/>
  <c r="C231" i="2"/>
  <c r="F231" i="2" s="1"/>
  <c r="C232" i="2"/>
  <c r="F232" i="2" s="1"/>
  <c r="C233" i="2"/>
  <c r="F233" i="2" s="1"/>
  <c r="C234" i="2"/>
  <c r="F234" i="2" s="1"/>
  <c r="C235" i="2"/>
  <c r="F235" i="2" s="1"/>
  <c r="C236" i="2"/>
  <c r="C237" i="2"/>
  <c r="F237" i="2" s="1"/>
  <c r="C238" i="2"/>
  <c r="F238" i="2" s="1"/>
  <c r="C239" i="2"/>
  <c r="F239" i="2" s="1"/>
  <c r="C240" i="2"/>
  <c r="C241" i="2"/>
  <c r="F241" i="2" s="1"/>
  <c r="C242" i="2"/>
  <c r="F242" i="2" s="1"/>
  <c r="C243" i="2"/>
  <c r="F243" i="2" s="1"/>
  <c r="C244" i="2"/>
  <c r="F244" i="2" s="1"/>
  <c r="C245" i="2"/>
  <c r="F245" i="2" s="1"/>
  <c r="C246" i="2"/>
  <c r="F246" i="2" s="1"/>
  <c r="C247" i="2"/>
  <c r="F247" i="2" s="1"/>
  <c r="C248" i="2"/>
  <c r="F248" i="2" s="1"/>
  <c r="C249" i="2"/>
  <c r="F249" i="2" s="1"/>
  <c r="C250" i="2"/>
  <c r="F250" i="2" s="1"/>
  <c r="C251" i="2"/>
  <c r="F251" i="2" s="1"/>
  <c r="C252" i="2"/>
  <c r="C253" i="2"/>
  <c r="F253" i="2" s="1"/>
  <c r="C254" i="2"/>
  <c r="F254" i="2" s="1"/>
  <c r="C255" i="2"/>
  <c r="F255" i="2" s="1"/>
  <c r="C256" i="2"/>
  <c r="C257" i="2"/>
  <c r="F257" i="2" s="1"/>
  <c r="C258" i="2"/>
  <c r="F258" i="2" s="1"/>
  <c r="C259" i="2"/>
  <c r="F259" i="2" s="1"/>
  <c r="C260" i="2"/>
  <c r="F260" i="2" s="1"/>
  <c r="C261" i="2"/>
  <c r="F261" i="2" s="1"/>
  <c r="C262" i="2"/>
  <c r="F262" i="2" s="1"/>
  <c r="C263" i="2"/>
  <c r="F263" i="2" s="1"/>
  <c r="C264" i="2"/>
  <c r="F264" i="2" s="1"/>
  <c r="C265" i="2"/>
  <c r="F265" i="2" s="1"/>
  <c r="C266" i="2"/>
  <c r="F266" i="2" s="1"/>
  <c r="C267" i="2"/>
  <c r="F267" i="2" s="1"/>
  <c r="C268" i="2"/>
  <c r="C269" i="2"/>
  <c r="F269" i="2" s="1"/>
  <c r="C270" i="2"/>
  <c r="F270" i="2" s="1"/>
  <c r="C271" i="2"/>
  <c r="F271" i="2" s="1"/>
  <c r="C272" i="2"/>
  <c r="C273" i="2"/>
  <c r="F273" i="2" s="1"/>
  <c r="C274" i="2"/>
  <c r="F274" i="2" s="1"/>
  <c r="C275" i="2"/>
  <c r="F275" i="2" s="1"/>
  <c r="C276" i="2"/>
  <c r="F276" i="2" s="1"/>
  <c r="C277" i="2"/>
  <c r="F277" i="2" s="1"/>
  <c r="C278" i="2"/>
  <c r="F278" i="2" s="1"/>
  <c r="C279" i="2"/>
  <c r="F279" i="2" s="1"/>
  <c r="C280" i="2"/>
  <c r="F280" i="2" s="1"/>
  <c r="C281" i="2"/>
  <c r="F281" i="2" s="1"/>
  <c r="C282" i="2"/>
  <c r="F282" i="2" s="1"/>
  <c r="C283" i="2"/>
  <c r="F283" i="2" s="1"/>
  <c r="C284" i="2"/>
  <c r="C285" i="2"/>
  <c r="F285" i="2" s="1"/>
  <c r="C286" i="2"/>
  <c r="F286" i="2" s="1"/>
  <c r="C287" i="2"/>
  <c r="F287" i="2" s="1"/>
  <c r="C288" i="2"/>
  <c r="C289" i="2"/>
  <c r="F289" i="2" s="1"/>
  <c r="C290" i="2"/>
  <c r="F290" i="2" s="1"/>
  <c r="C291" i="2"/>
  <c r="F291" i="2" s="1"/>
  <c r="C292" i="2"/>
  <c r="F292" i="2" s="1"/>
  <c r="C293" i="2"/>
  <c r="F293" i="2" s="1"/>
  <c r="C294" i="2"/>
  <c r="F294" i="2" s="1"/>
  <c r="C295" i="2"/>
  <c r="F295" i="2" s="1"/>
  <c r="C296" i="2"/>
  <c r="F296" i="2" s="1"/>
  <c r="C297" i="2"/>
  <c r="F297" i="2" s="1"/>
  <c r="C298" i="2"/>
  <c r="F298" i="2" s="1"/>
  <c r="C299" i="2"/>
  <c r="F299" i="2" s="1"/>
  <c r="C300" i="2"/>
  <c r="C301" i="2"/>
  <c r="F301" i="2" s="1"/>
  <c r="C302" i="2"/>
  <c r="F302" i="2" s="1"/>
  <c r="C303" i="2"/>
  <c r="F303" i="2" s="1"/>
  <c r="C304" i="2"/>
  <c r="C305" i="2"/>
  <c r="F305" i="2" s="1"/>
  <c r="C306" i="2"/>
  <c r="F306" i="2" s="1"/>
  <c r="C307" i="2"/>
  <c r="F307" i="2" s="1"/>
  <c r="C308" i="2"/>
  <c r="F308" i="2" s="1"/>
  <c r="C309" i="2"/>
  <c r="F309" i="2" s="1"/>
  <c r="C310" i="2"/>
  <c r="F310" i="2" s="1"/>
  <c r="C311" i="2"/>
  <c r="F311" i="2" s="1"/>
  <c r="C312" i="2"/>
  <c r="F312" i="2" s="1"/>
  <c r="C313" i="2"/>
  <c r="F313" i="2" s="1"/>
  <c r="C314" i="2"/>
  <c r="F314" i="2" s="1"/>
  <c r="C315" i="2"/>
  <c r="F315" i="2" s="1"/>
  <c r="C316" i="2"/>
  <c r="C317" i="2"/>
  <c r="F317" i="2" s="1"/>
  <c r="C318" i="2"/>
  <c r="F318" i="2" s="1"/>
  <c r="C319" i="2"/>
  <c r="F319" i="2" s="1"/>
  <c r="C320" i="2"/>
  <c r="C321" i="2"/>
  <c r="F321" i="2" s="1"/>
  <c r="C322" i="2"/>
  <c r="F322" i="2" s="1"/>
  <c r="C323" i="2"/>
  <c r="F323" i="2" s="1"/>
  <c r="C324" i="2"/>
  <c r="F324" i="2" s="1"/>
  <c r="C325" i="2"/>
  <c r="F325" i="2" s="1"/>
  <c r="C326" i="2"/>
  <c r="F326" i="2" s="1"/>
  <c r="C327" i="2"/>
  <c r="F327" i="2" s="1"/>
  <c r="C328" i="2"/>
  <c r="F328" i="2" s="1"/>
  <c r="C329" i="2"/>
  <c r="F329" i="2" s="1"/>
  <c r="C330" i="2"/>
  <c r="F330" i="2" s="1"/>
  <c r="C331" i="2"/>
  <c r="F331" i="2" s="1"/>
  <c r="C332" i="2"/>
  <c r="C333" i="2"/>
  <c r="F333" i="2" s="1"/>
  <c r="C334" i="2"/>
  <c r="F334" i="2" s="1"/>
  <c r="C335" i="2"/>
  <c r="F335" i="2" s="1"/>
  <c r="C336" i="2"/>
  <c r="C337" i="2"/>
  <c r="F337" i="2" s="1"/>
  <c r="C338" i="2"/>
  <c r="F338" i="2" s="1"/>
  <c r="C339" i="2"/>
  <c r="F339" i="2" s="1"/>
  <c r="C340" i="2"/>
  <c r="F340" i="2" s="1"/>
  <c r="C341" i="2"/>
  <c r="F341" i="2" s="1"/>
  <c r="C342" i="2"/>
  <c r="F342" i="2" s="1"/>
  <c r="C343" i="2"/>
  <c r="F343" i="2" s="1"/>
  <c r="C344" i="2"/>
  <c r="F344" i="2" s="1"/>
  <c r="C345" i="2"/>
  <c r="F345" i="2" s="1"/>
  <c r="C346" i="2"/>
  <c r="F346" i="2" s="1"/>
  <c r="C347" i="2"/>
  <c r="F347" i="2" s="1"/>
  <c r="C348" i="2"/>
  <c r="C349" i="2"/>
  <c r="F349" i="2" s="1"/>
  <c r="C350" i="2"/>
  <c r="F350" i="2" s="1"/>
  <c r="C351" i="2"/>
  <c r="F351" i="2" s="1"/>
  <c r="C352" i="2"/>
  <c r="C353" i="2"/>
  <c r="F353" i="2" s="1"/>
  <c r="C354" i="2"/>
  <c r="F354" i="2" s="1"/>
  <c r="C355" i="2"/>
  <c r="F355" i="2" s="1"/>
  <c r="C356" i="2"/>
  <c r="F356" i="2" s="1"/>
  <c r="C357" i="2"/>
  <c r="F357" i="2" s="1"/>
  <c r="C358" i="2"/>
  <c r="C359" i="2"/>
  <c r="F359" i="2" s="1"/>
  <c r="C360" i="2"/>
  <c r="F360" i="2" s="1"/>
  <c r="C361" i="2"/>
  <c r="F361" i="2" s="1"/>
  <c r="C362" i="2"/>
  <c r="F362" i="2" s="1"/>
  <c r="C363" i="2"/>
  <c r="F363" i="2" s="1"/>
  <c r="C364" i="2"/>
  <c r="C365" i="2"/>
  <c r="F365" i="2" s="1"/>
  <c r="C366" i="2"/>
  <c r="F366" i="2" s="1"/>
  <c r="C367" i="2"/>
  <c r="F367" i="2" s="1"/>
  <c r="C368" i="2"/>
  <c r="C369" i="2"/>
  <c r="F369" i="2" s="1"/>
  <c r="C370" i="2"/>
  <c r="F370" i="2" s="1"/>
  <c r="C10" i="2"/>
  <c r="F10" i="2" s="1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10" i="2"/>
  <c r="E34" i="2" l="1"/>
  <c r="G34" i="2" s="1"/>
  <c r="E242" i="2"/>
  <c r="G242" i="2" s="1"/>
  <c r="E114" i="2"/>
  <c r="G114" i="2" s="1"/>
  <c r="E38" i="2"/>
  <c r="G38" i="2" s="1"/>
  <c r="E338" i="2"/>
  <c r="G338" i="2" s="1"/>
  <c r="E210" i="2"/>
  <c r="G210" i="2" s="1"/>
  <c r="E82" i="2"/>
  <c r="G82" i="2" s="1"/>
  <c r="E18" i="2"/>
  <c r="G18" i="2" s="1"/>
  <c r="E306" i="2"/>
  <c r="G306" i="2" s="1"/>
  <c r="E178" i="2"/>
  <c r="G178" i="2" s="1"/>
  <c r="E70" i="2"/>
  <c r="G70" i="2" s="1"/>
  <c r="E274" i="2"/>
  <c r="G274" i="2" s="1"/>
  <c r="E146" i="2"/>
  <c r="G146" i="2" s="1"/>
  <c r="E50" i="2"/>
  <c r="G50" i="2" s="1"/>
  <c r="F358" i="2"/>
  <c r="E358" i="2"/>
  <c r="G358" i="2" s="1"/>
  <c r="E370" i="2"/>
  <c r="G370" i="2" s="1"/>
  <c r="E326" i="2"/>
  <c r="G326" i="2" s="1"/>
  <c r="E294" i="2"/>
  <c r="G294" i="2" s="1"/>
  <c r="E262" i="2"/>
  <c r="G262" i="2" s="1"/>
  <c r="E230" i="2"/>
  <c r="G230" i="2" s="1"/>
  <c r="E198" i="2"/>
  <c r="G198" i="2" s="1"/>
  <c r="E166" i="2"/>
  <c r="G166" i="2" s="1"/>
  <c r="E134" i="2"/>
  <c r="G134" i="2" s="1"/>
  <c r="E102" i="2"/>
  <c r="G102" i="2" s="1"/>
  <c r="E354" i="2"/>
  <c r="G354" i="2" s="1"/>
  <c r="E322" i="2"/>
  <c r="G322" i="2" s="1"/>
  <c r="E290" i="2"/>
  <c r="G290" i="2" s="1"/>
  <c r="E258" i="2"/>
  <c r="G258" i="2" s="1"/>
  <c r="E226" i="2"/>
  <c r="G226" i="2" s="1"/>
  <c r="E194" i="2"/>
  <c r="G194" i="2" s="1"/>
  <c r="E162" i="2"/>
  <c r="G162" i="2" s="1"/>
  <c r="E130" i="2"/>
  <c r="G130" i="2" s="1"/>
  <c r="E98" i="2"/>
  <c r="G98" i="2" s="1"/>
  <c r="E66" i="2"/>
  <c r="G66" i="2" s="1"/>
  <c r="E10" i="2"/>
  <c r="G10" i="2" s="1"/>
  <c r="E27" i="2"/>
  <c r="G27" i="2" s="1"/>
  <c r="E43" i="2"/>
  <c r="G43" i="2" s="1"/>
  <c r="E59" i="2"/>
  <c r="G59" i="2" s="1"/>
  <c r="E75" i="2"/>
  <c r="G75" i="2" s="1"/>
  <c r="E91" i="2"/>
  <c r="G91" i="2" s="1"/>
  <c r="E107" i="2"/>
  <c r="G107" i="2" s="1"/>
  <c r="E123" i="2"/>
  <c r="G123" i="2" s="1"/>
  <c r="E139" i="2"/>
  <c r="G139" i="2" s="1"/>
  <c r="E155" i="2"/>
  <c r="G155" i="2" s="1"/>
  <c r="E171" i="2"/>
  <c r="G171" i="2" s="1"/>
  <c r="E187" i="2"/>
  <c r="G187" i="2" s="1"/>
  <c r="E203" i="2"/>
  <c r="G203" i="2" s="1"/>
  <c r="E219" i="2"/>
  <c r="G219" i="2" s="1"/>
  <c r="E235" i="2"/>
  <c r="G235" i="2" s="1"/>
  <c r="E251" i="2"/>
  <c r="G251" i="2" s="1"/>
  <c r="E267" i="2"/>
  <c r="G267" i="2" s="1"/>
  <c r="E283" i="2"/>
  <c r="G283" i="2" s="1"/>
  <c r="E299" i="2"/>
  <c r="G299" i="2" s="1"/>
  <c r="E315" i="2"/>
  <c r="G315" i="2" s="1"/>
  <c r="E331" i="2"/>
  <c r="G331" i="2" s="1"/>
  <c r="E347" i="2"/>
  <c r="G347" i="2" s="1"/>
  <c r="E363" i="2"/>
  <c r="G363" i="2" s="1"/>
  <c r="E23" i="2"/>
  <c r="G23" i="2" s="1"/>
  <c r="E39" i="2"/>
  <c r="G39" i="2" s="1"/>
  <c r="E55" i="2"/>
  <c r="G55" i="2" s="1"/>
  <c r="E71" i="2"/>
  <c r="G71" i="2" s="1"/>
  <c r="E87" i="2"/>
  <c r="G87" i="2" s="1"/>
  <c r="E103" i="2"/>
  <c r="G103" i="2" s="1"/>
  <c r="E119" i="2"/>
  <c r="G119" i="2" s="1"/>
  <c r="E135" i="2"/>
  <c r="G135" i="2" s="1"/>
  <c r="E151" i="2"/>
  <c r="G151" i="2" s="1"/>
  <c r="E167" i="2"/>
  <c r="G167" i="2" s="1"/>
  <c r="E183" i="2"/>
  <c r="G183" i="2" s="1"/>
  <c r="E199" i="2"/>
  <c r="G199" i="2" s="1"/>
  <c r="E215" i="2"/>
  <c r="G215" i="2" s="1"/>
  <c r="E231" i="2"/>
  <c r="G231" i="2" s="1"/>
  <c r="E247" i="2"/>
  <c r="G247" i="2" s="1"/>
  <c r="E263" i="2"/>
  <c r="G263" i="2" s="1"/>
  <c r="E279" i="2"/>
  <c r="G279" i="2" s="1"/>
  <c r="E295" i="2"/>
  <c r="G295" i="2" s="1"/>
  <c r="E311" i="2"/>
  <c r="G311" i="2" s="1"/>
  <c r="E327" i="2"/>
  <c r="G327" i="2" s="1"/>
  <c r="E343" i="2"/>
  <c r="G343" i="2" s="1"/>
  <c r="E359" i="2"/>
  <c r="G359" i="2" s="1"/>
  <c r="E342" i="2"/>
  <c r="G342" i="2" s="1"/>
  <c r="E310" i="2"/>
  <c r="G310" i="2" s="1"/>
  <c r="E278" i="2"/>
  <c r="G278" i="2" s="1"/>
  <c r="E246" i="2"/>
  <c r="G246" i="2" s="1"/>
  <c r="E214" i="2"/>
  <c r="G214" i="2" s="1"/>
  <c r="E182" i="2"/>
  <c r="G182" i="2" s="1"/>
  <c r="E150" i="2"/>
  <c r="G150" i="2" s="1"/>
  <c r="E118" i="2"/>
  <c r="G118" i="2" s="1"/>
  <c r="E86" i="2"/>
  <c r="G86" i="2" s="1"/>
  <c r="E54" i="2"/>
  <c r="G54" i="2" s="1"/>
  <c r="E22" i="2"/>
  <c r="G22" i="2" s="1"/>
  <c r="E368" i="2"/>
  <c r="G368" i="2" s="1"/>
  <c r="F368" i="2"/>
  <c r="E364" i="2"/>
  <c r="G364" i="2" s="1"/>
  <c r="F364" i="2"/>
  <c r="E352" i="2"/>
  <c r="G352" i="2" s="1"/>
  <c r="F352" i="2"/>
  <c r="E348" i="2"/>
  <c r="G348" i="2" s="1"/>
  <c r="F348" i="2"/>
  <c r="E336" i="2"/>
  <c r="G336" i="2" s="1"/>
  <c r="F336" i="2"/>
  <c r="E332" i="2"/>
  <c r="G332" i="2" s="1"/>
  <c r="F332" i="2"/>
  <c r="E320" i="2"/>
  <c r="G320" i="2" s="1"/>
  <c r="F320" i="2"/>
  <c r="E316" i="2"/>
  <c r="G316" i="2" s="1"/>
  <c r="F316" i="2"/>
  <c r="E304" i="2"/>
  <c r="G304" i="2" s="1"/>
  <c r="F304" i="2"/>
  <c r="E300" i="2"/>
  <c r="G300" i="2" s="1"/>
  <c r="F300" i="2"/>
  <c r="E288" i="2"/>
  <c r="G288" i="2" s="1"/>
  <c r="F288" i="2"/>
  <c r="E284" i="2"/>
  <c r="G284" i="2" s="1"/>
  <c r="F284" i="2"/>
  <c r="E272" i="2"/>
  <c r="G272" i="2" s="1"/>
  <c r="F272" i="2"/>
  <c r="E268" i="2"/>
  <c r="G268" i="2" s="1"/>
  <c r="F268" i="2"/>
  <c r="E256" i="2"/>
  <c r="G256" i="2" s="1"/>
  <c r="F256" i="2"/>
  <c r="E252" i="2"/>
  <c r="G252" i="2" s="1"/>
  <c r="F252" i="2"/>
  <c r="E240" i="2"/>
  <c r="G240" i="2" s="1"/>
  <c r="F240" i="2"/>
  <c r="E236" i="2"/>
  <c r="G236" i="2" s="1"/>
  <c r="F236" i="2"/>
  <c r="E224" i="2"/>
  <c r="G224" i="2" s="1"/>
  <c r="F224" i="2"/>
  <c r="E220" i="2"/>
  <c r="G220" i="2" s="1"/>
  <c r="F220" i="2"/>
  <c r="E208" i="2"/>
  <c r="G208" i="2" s="1"/>
  <c r="F208" i="2"/>
  <c r="E204" i="2"/>
  <c r="G204" i="2" s="1"/>
  <c r="F204" i="2"/>
  <c r="E144" i="2"/>
  <c r="G144" i="2" s="1"/>
  <c r="E188" i="2"/>
  <c r="G188" i="2" s="1"/>
  <c r="E172" i="2"/>
  <c r="G172" i="2" s="1"/>
  <c r="E156" i="2"/>
  <c r="G156" i="2" s="1"/>
  <c r="E140" i="2"/>
  <c r="G140" i="2" s="1"/>
  <c r="E124" i="2"/>
  <c r="G124" i="2" s="1"/>
  <c r="E108" i="2"/>
  <c r="G108" i="2" s="1"/>
  <c r="E92" i="2"/>
  <c r="G92" i="2" s="1"/>
  <c r="E76" i="2"/>
  <c r="G76" i="2" s="1"/>
  <c r="E60" i="2"/>
  <c r="G60" i="2" s="1"/>
  <c r="E44" i="2"/>
  <c r="G44" i="2" s="1"/>
  <c r="E28" i="2"/>
  <c r="G28" i="2" s="1"/>
  <c r="E12" i="2"/>
  <c r="G12" i="2" s="1"/>
  <c r="F144" i="2"/>
  <c r="E192" i="2"/>
  <c r="G192" i="2" s="1"/>
  <c r="E176" i="2"/>
  <c r="G176" i="2" s="1"/>
  <c r="E160" i="2"/>
  <c r="G160" i="2" s="1"/>
  <c r="E128" i="2"/>
  <c r="G128" i="2" s="1"/>
  <c r="E112" i="2"/>
  <c r="G112" i="2" s="1"/>
  <c r="E96" i="2"/>
  <c r="G96" i="2" s="1"/>
  <c r="E80" i="2"/>
  <c r="G80" i="2" s="1"/>
  <c r="E64" i="2"/>
  <c r="G64" i="2" s="1"/>
  <c r="E48" i="2"/>
  <c r="G48" i="2" s="1"/>
  <c r="E32" i="2"/>
  <c r="G32" i="2" s="1"/>
  <c r="E16" i="2"/>
  <c r="G16" i="2" s="1"/>
  <c r="E13" i="2"/>
  <c r="G13" i="2" s="1"/>
  <c r="E17" i="2"/>
  <c r="G17" i="2" s="1"/>
  <c r="E21" i="2"/>
  <c r="G21" i="2" s="1"/>
  <c r="E25" i="2"/>
  <c r="G25" i="2" s="1"/>
  <c r="E29" i="2"/>
  <c r="G29" i="2" s="1"/>
  <c r="E33" i="2"/>
  <c r="G33" i="2" s="1"/>
  <c r="E37" i="2"/>
  <c r="G37" i="2" s="1"/>
  <c r="E41" i="2"/>
  <c r="G41" i="2" s="1"/>
  <c r="E45" i="2"/>
  <c r="G45" i="2" s="1"/>
  <c r="E49" i="2"/>
  <c r="G49" i="2" s="1"/>
  <c r="E53" i="2"/>
  <c r="G53" i="2" s="1"/>
  <c r="E57" i="2"/>
  <c r="G57" i="2" s="1"/>
  <c r="E61" i="2"/>
  <c r="G61" i="2" s="1"/>
  <c r="E65" i="2"/>
  <c r="G65" i="2" s="1"/>
  <c r="E69" i="2"/>
  <c r="G69" i="2" s="1"/>
  <c r="E73" i="2"/>
  <c r="G73" i="2" s="1"/>
  <c r="E77" i="2"/>
  <c r="G77" i="2" s="1"/>
  <c r="E81" i="2"/>
  <c r="G81" i="2" s="1"/>
  <c r="E85" i="2"/>
  <c r="G85" i="2" s="1"/>
  <c r="E89" i="2"/>
  <c r="G89" i="2" s="1"/>
  <c r="E93" i="2"/>
  <c r="G93" i="2" s="1"/>
  <c r="E97" i="2"/>
  <c r="G97" i="2" s="1"/>
  <c r="E101" i="2"/>
  <c r="G101" i="2" s="1"/>
  <c r="E105" i="2"/>
  <c r="G105" i="2" s="1"/>
  <c r="E109" i="2"/>
  <c r="G109" i="2" s="1"/>
  <c r="E113" i="2"/>
  <c r="G113" i="2" s="1"/>
  <c r="E117" i="2"/>
  <c r="G117" i="2" s="1"/>
  <c r="E121" i="2"/>
  <c r="G121" i="2" s="1"/>
  <c r="E125" i="2"/>
  <c r="G125" i="2" s="1"/>
  <c r="E129" i="2"/>
  <c r="G129" i="2" s="1"/>
  <c r="E133" i="2"/>
  <c r="G133" i="2" s="1"/>
  <c r="E137" i="2"/>
  <c r="G137" i="2" s="1"/>
  <c r="E141" i="2"/>
  <c r="G141" i="2" s="1"/>
  <c r="E145" i="2"/>
  <c r="G145" i="2" s="1"/>
  <c r="E149" i="2"/>
  <c r="G149" i="2" s="1"/>
  <c r="E153" i="2"/>
  <c r="G153" i="2" s="1"/>
  <c r="E157" i="2"/>
  <c r="G157" i="2" s="1"/>
  <c r="E161" i="2"/>
  <c r="G161" i="2" s="1"/>
  <c r="E165" i="2"/>
  <c r="G165" i="2" s="1"/>
  <c r="E169" i="2"/>
  <c r="G169" i="2" s="1"/>
  <c r="E173" i="2"/>
  <c r="G173" i="2" s="1"/>
  <c r="E177" i="2"/>
  <c r="G177" i="2" s="1"/>
  <c r="E181" i="2"/>
  <c r="G181" i="2" s="1"/>
  <c r="E185" i="2"/>
  <c r="G185" i="2" s="1"/>
  <c r="E189" i="2"/>
  <c r="G189" i="2" s="1"/>
  <c r="E193" i="2"/>
  <c r="G193" i="2" s="1"/>
  <c r="E197" i="2"/>
  <c r="G197" i="2" s="1"/>
  <c r="E201" i="2"/>
  <c r="G201" i="2" s="1"/>
  <c r="E205" i="2"/>
  <c r="G205" i="2" s="1"/>
  <c r="E209" i="2"/>
  <c r="G209" i="2" s="1"/>
  <c r="E213" i="2"/>
  <c r="G213" i="2" s="1"/>
  <c r="E217" i="2"/>
  <c r="G217" i="2" s="1"/>
  <c r="E221" i="2"/>
  <c r="G221" i="2" s="1"/>
  <c r="E225" i="2"/>
  <c r="G225" i="2" s="1"/>
  <c r="E229" i="2"/>
  <c r="G229" i="2" s="1"/>
  <c r="E233" i="2"/>
  <c r="G233" i="2" s="1"/>
  <c r="E237" i="2"/>
  <c r="G237" i="2" s="1"/>
  <c r="E241" i="2"/>
  <c r="G241" i="2" s="1"/>
  <c r="E245" i="2"/>
  <c r="G245" i="2" s="1"/>
  <c r="E249" i="2"/>
  <c r="G249" i="2" s="1"/>
  <c r="E253" i="2"/>
  <c r="G253" i="2" s="1"/>
  <c r="E257" i="2"/>
  <c r="G257" i="2" s="1"/>
  <c r="E261" i="2"/>
  <c r="G261" i="2" s="1"/>
  <c r="E265" i="2"/>
  <c r="G265" i="2" s="1"/>
  <c r="E269" i="2"/>
  <c r="G269" i="2" s="1"/>
  <c r="E273" i="2"/>
  <c r="G273" i="2" s="1"/>
  <c r="E277" i="2"/>
  <c r="G277" i="2" s="1"/>
  <c r="E281" i="2"/>
  <c r="G281" i="2" s="1"/>
  <c r="E285" i="2"/>
  <c r="G285" i="2" s="1"/>
  <c r="E289" i="2"/>
  <c r="G289" i="2" s="1"/>
  <c r="E293" i="2"/>
  <c r="G293" i="2" s="1"/>
  <c r="E297" i="2"/>
  <c r="G297" i="2" s="1"/>
  <c r="E301" i="2"/>
  <c r="G301" i="2" s="1"/>
  <c r="E305" i="2"/>
  <c r="G305" i="2" s="1"/>
  <c r="E309" i="2"/>
  <c r="G309" i="2" s="1"/>
  <c r="E313" i="2"/>
  <c r="G313" i="2" s="1"/>
  <c r="E317" i="2"/>
  <c r="G317" i="2" s="1"/>
  <c r="E321" i="2"/>
  <c r="G321" i="2" s="1"/>
  <c r="E325" i="2"/>
  <c r="G325" i="2" s="1"/>
  <c r="E329" i="2"/>
  <c r="G329" i="2" s="1"/>
  <c r="E333" i="2"/>
  <c r="G333" i="2" s="1"/>
  <c r="E337" i="2"/>
  <c r="G337" i="2" s="1"/>
  <c r="E341" i="2"/>
  <c r="G341" i="2" s="1"/>
  <c r="E345" i="2"/>
  <c r="G345" i="2" s="1"/>
  <c r="E349" i="2"/>
  <c r="G349" i="2" s="1"/>
  <c r="E353" i="2"/>
  <c r="G353" i="2" s="1"/>
  <c r="E357" i="2"/>
  <c r="G357" i="2" s="1"/>
  <c r="E361" i="2"/>
  <c r="G361" i="2" s="1"/>
  <c r="E365" i="2"/>
  <c r="G365" i="2" s="1"/>
  <c r="E369" i="2"/>
  <c r="G369" i="2" s="1"/>
  <c r="E367" i="2"/>
  <c r="G367" i="2" s="1"/>
  <c r="E362" i="2"/>
  <c r="G362" i="2" s="1"/>
  <c r="E356" i="2"/>
  <c r="G356" i="2" s="1"/>
  <c r="E351" i="2"/>
  <c r="G351" i="2" s="1"/>
  <c r="E346" i="2"/>
  <c r="G346" i="2" s="1"/>
  <c r="E340" i="2"/>
  <c r="G340" i="2" s="1"/>
  <c r="E335" i="2"/>
  <c r="G335" i="2" s="1"/>
  <c r="E330" i="2"/>
  <c r="G330" i="2" s="1"/>
  <c r="E324" i="2"/>
  <c r="G324" i="2" s="1"/>
  <c r="E319" i="2"/>
  <c r="G319" i="2" s="1"/>
  <c r="E314" i="2"/>
  <c r="G314" i="2" s="1"/>
  <c r="E308" i="2"/>
  <c r="G308" i="2" s="1"/>
  <c r="E303" i="2"/>
  <c r="G303" i="2" s="1"/>
  <c r="E298" i="2"/>
  <c r="G298" i="2" s="1"/>
  <c r="E292" i="2"/>
  <c r="G292" i="2" s="1"/>
  <c r="E287" i="2"/>
  <c r="G287" i="2" s="1"/>
  <c r="E282" i="2"/>
  <c r="G282" i="2" s="1"/>
  <c r="E276" i="2"/>
  <c r="G276" i="2" s="1"/>
  <c r="E271" i="2"/>
  <c r="G271" i="2" s="1"/>
  <c r="E266" i="2"/>
  <c r="G266" i="2" s="1"/>
  <c r="E260" i="2"/>
  <c r="G260" i="2" s="1"/>
  <c r="E255" i="2"/>
  <c r="G255" i="2" s="1"/>
  <c r="E250" i="2"/>
  <c r="G250" i="2" s="1"/>
  <c r="E244" i="2"/>
  <c r="G244" i="2" s="1"/>
  <c r="E239" i="2"/>
  <c r="G239" i="2" s="1"/>
  <c r="E234" i="2"/>
  <c r="G234" i="2" s="1"/>
  <c r="E228" i="2"/>
  <c r="G228" i="2" s="1"/>
  <c r="E223" i="2"/>
  <c r="G223" i="2" s="1"/>
  <c r="E218" i="2"/>
  <c r="G218" i="2" s="1"/>
  <c r="E212" i="2"/>
  <c r="G212" i="2" s="1"/>
  <c r="E207" i="2"/>
  <c r="G207" i="2" s="1"/>
  <c r="E202" i="2"/>
  <c r="G202" i="2" s="1"/>
  <c r="E196" i="2"/>
  <c r="G196" i="2" s="1"/>
  <c r="E191" i="2"/>
  <c r="G191" i="2" s="1"/>
  <c r="E186" i="2"/>
  <c r="G186" i="2" s="1"/>
  <c r="E180" i="2"/>
  <c r="G180" i="2" s="1"/>
  <c r="E175" i="2"/>
  <c r="G175" i="2" s="1"/>
  <c r="E170" i="2"/>
  <c r="G170" i="2" s="1"/>
  <c r="E164" i="2"/>
  <c r="G164" i="2" s="1"/>
  <c r="E159" i="2"/>
  <c r="G159" i="2" s="1"/>
  <c r="E154" i="2"/>
  <c r="G154" i="2" s="1"/>
  <c r="E148" i="2"/>
  <c r="G148" i="2" s="1"/>
  <c r="E143" i="2"/>
  <c r="G143" i="2" s="1"/>
  <c r="E138" i="2"/>
  <c r="G138" i="2" s="1"/>
  <c r="E132" i="2"/>
  <c r="G132" i="2" s="1"/>
  <c r="E127" i="2"/>
  <c r="G127" i="2" s="1"/>
  <c r="E122" i="2"/>
  <c r="G122" i="2" s="1"/>
  <c r="E116" i="2"/>
  <c r="G116" i="2" s="1"/>
  <c r="E111" i="2"/>
  <c r="G111" i="2" s="1"/>
  <c r="E106" i="2"/>
  <c r="G106" i="2" s="1"/>
  <c r="E100" i="2"/>
  <c r="G100" i="2" s="1"/>
  <c r="E95" i="2"/>
  <c r="G95" i="2" s="1"/>
  <c r="E90" i="2"/>
  <c r="G90" i="2" s="1"/>
  <c r="E84" i="2"/>
  <c r="G84" i="2" s="1"/>
  <c r="E79" i="2"/>
  <c r="G79" i="2" s="1"/>
  <c r="E74" i="2"/>
  <c r="G74" i="2" s="1"/>
  <c r="E68" i="2"/>
  <c r="G68" i="2" s="1"/>
  <c r="E63" i="2"/>
  <c r="G63" i="2" s="1"/>
  <c r="E58" i="2"/>
  <c r="G58" i="2" s="1"/>
  <c r="E52" i="2"/>
  <c r="G52" i="2" s="1"/>
  <c r="E47" i="2"/>
  <c r="G47" i="2" s="1"/>
  <c r="E42" i="2"/>
  <c r="G42" i="2" s="1"/>
  <c r="E36" i="2"/>
  <c r="G36" i="2" s="1"/>
  <c r="E31" i="2"/>
  <c r="G31" i="2" s="1"/>
  <c r="E26" i="2"/>
  <c r="G26" i="2" s="1"/>
  <c r="E20" i="2"/>
  <c r="G20" i="2" s="1"/>
  <c r="E15" i="2"/>
  <c r="G15" i="2" s="1"/>
  <c r="E11" i="2"/>
  <c r="G11" i="2" s="1"/>
  <c r="E366" i="2"/>
  <c r="G366" i="2" s="1"/>
  <c r="E360" i="2"/>
  <c r="G360" i="2" s="1"/>
  <c r="E355" i="2"/>
  <c r="G355" i="2" s="1"/>
  <c r="E350" i="2"/>
  <c r="G350" i="2" s="1"/>
  <c r="E344" i="2"/>
  <c r="G344" i="2" s="1"/>
  <c r="E339" i="2"/>
  <c r="G339" i="2" s="1"/>
  <c r="E334" i="2"/>
  <c r="G334" i="2" s="1"/>
  <c r="E328" i="2"/>
  <c r="G328" i="2" s="1"/>
  <c r="E323" i="2"/>
  <c r="G323" i="2" s="1"/>
  <c r="E318" i="2"/>
  <c r="G318" i="2" s="1"/>
  <c r="E312" i="2"/>
  <c r="G312" i="2" s="1"/>
  <c r="E307" i="2"/>
  <c r="G307" i="2" s="1"/>
  <c r="E302" i="2"/>
  <c r="G302" i="2" s="1"/>
  <c r="E296" i="2"/>
  <c r="G296" i="2" s="1"/>
  <c r="E291" i="2"/>
  <c r="G291" i="2" s="1"/>
  <c r="E286" i="2"/>
  <c r="G286" i="2" s="1"/>
  <c r="E280" i="2"/>
  <c r="G280" i="2" s="1"/>
  <c r="E275" i="2"/>
  <c r="G275" i="2" s="1"/>
  <c r="E270" i="2"/>
  <c r="G270" i="2" s="1"/>
  <c r="E264" i="2"/>
  <c r="G264" i="2" s="1"/>
  <c r="E259" i="2"/>
  <c r="G259" i="2" s="1"/>
  <c r="E254" i="2"/>
  <c r="G254" i="2" s="1"/>
  <c r="E248" i="2"/>
  <c r="G248" i="2" s="1"/>
  <c r="E243" i="2"/>
  <c r="G243" i="2" s="1"/>
  <c r="E238" i="2"/>
  <c r="G238" i="2" s="1"/>
  <c r="E232" i="2"/>
  <c r="G232" i="2" s="1"/>
  <c r="E227" i="2"/>
  <c r="G227" i="2" s="1"/>
  <c r="E222" i="2"/>
  <c r="G222" i="2" s="1"/>
  <c r="E216" i="2"/>
  <c r="G216" i="2" s="1"/>
  <c r="E211" i="2"/>
  <c r="G211" i="2" s="1"/>
  <c r="E206" i="2"/>
  <c r="G206" i="2" s="1"/>
  <c r="E200" i="2"/>
  <c r="G200" i="2" s="1"/>
  <c r="E195" i="2"/>
  <c r="G195" i="2" s="1"/>
  <c r="E190" i="2"/>
  <c r="G190" i="2" s="1"/>
  <c r="E184" i="2"/>
  <c r="G184" i="2" s="1"/>
  <c r="E179" i="2"/>
  <c r="G179" i="2" s="1"/>
  <c r="E174" i="2"/>
  <c r="G174" i="2" s="1"/>
  <c r="E168" i="2"/>
  <c r="G168" i="2" s="1"/>
  <c r="E163" i="2"/>
  <c r="G163" i="2" s="1"/>
  <c r="E158" i="2"/>
  <c r="G158" i="2" s="1"/>
  <c r="E152" i="2"/>
  <c r="G152" i="2" s="1"/>
  <c r="E147" i="2"/>
  <c r="G147" i="2" s="1"/>
  <c r="E142" i="2"/>
  <c r="G142" i="2" s="1"/>
  <c r="E136" i="2"/>
  <c r="G136" i="2" s="1"/>
  <c r="E131" i="2"/>
  <c r="G131" i="2" s="1"/>
  <c r="E126" i="2"/>
  <c r="G126" i="2" s="1"/>
  <c r="E120" i="2"/>
  <c r="G120" i="2" s="1"/>
  <c r="E115" i="2"/>
  <c r="G115" i="2" s="1"/>
  <c r="E110" i="2"/>
  <c r="G110" i="2" s="1"/>
  <c r="E104" i="2"/>
  <c r="G104" i="2" s="1"/>
  <c r="E99" i="2"/>
  <c r="G99" i="2" s="1"/>
  <c r="E94" i="2"/>
  <c r="G94" i="2" s="1"/>
  <c r="E88" i="2"/>
  <c r="G88" i="2" s="1"/>
  <c r="E83" i="2"/>
  <c r="G83" i="2" s="1"/>
  <c r="E78" i="2"/>
  <c r="G78" i="2" s="1"/>
  <c r="E72" i="2"/>
  <c r="G72" i="2" s="1"/>
  <c r="E67" i="2"/>
  <c r="G67" i="2" s="1"/>
  <c r="E62" i="2"/>
  <c r="G62" i="2" s="1"/>
  <c r="E56" i="2"/>
  <c r="G56" i="2" s="1"/>
  <c r="E51" i="2"/>
  <c r="G51" i="2" s="1"/>
  <c r="E46" i="2"/>
  <c r="G46" i="2" s="1"/>
  <c r="E40" i="2"/>
  <c r="G40" i="2" s="1"/>
  <c r="E35" i="2"/>
  <c r="G35" i="2" s="1"/>
  <c r="E30" i="2"/>
  <c r="G30" i="2" s="1"/>
  <c r="E24" i="2"/>
  <c r="G24" i="2" s="1"/>
  <c r="E19" i="2"/>
  <c r="G19" i="2" s="1"/>
  <c r="E14" i="2"/>
  <c r="G14" i="2" s="1"/>
  <c r="K25" i="1"/>
  <c r="I25" i="1"/>
  <c r="F3" i="2" l="1"/>
  <c r="H3" i="2" s="1"/>
  <c r="F4" i="2"/>
  <c r="I3" i="2" l="1"/>
  <c r="I2" i="2"/>
</calcChain>
</file>

<file path=xl/comments1.xml><?xml version="1.0" encoding="utf-8"?>
<comments xmlns="http://schemas.openxmlformats.org/spreadsheetml/2006/main">
  <authors>
    <author>Gerry</author>
  </authors>
  <commentList>
    <comment ref="I2" authorId="0" shapeId="0">
      <text>
        <r>
          <rPr>
            <b/>
            <sz val="10"/>
            <color indexed="81"/>
            <rFont val="Tahoma"/>
            <family val="2"/>
          </rPr>
          <t>=F4+SQRT((C4+2*C6)^2-(F3)^2)</t>
        </r>
      </text>
    </comment>
    <comment ref="F3" authorId="0" shapeId="0">
      <text>
        <r>
          <rPr>
            <b/>
            <sz val="10"/>
            <color indexed="81"/>
            <rFont val="Tahoma"/>
            <family val="2"/>
          </rPr>
          <t>=VLOOKUP(E1,WW,3)</t>
        </r>
      </text>
    </comment>
    <comment ref="I3" authorId="0" shapeId="0">
      <text>
        <r>
          <rPr>
            <b/>
            <sz val="10"/>
            <color indexed="81"/>
            <rFont val="Tahoma"/>
            <family val="2"/>
          </rPr>
          <t>=F4</t>
        </r>
      </text>
    </comment>
    <comment ref="F4" authorId="0" shapeId="0">
      <text>
        <r>
          <rPr>
            <b/>
            <sz val="10"/>
            <color indexed="81"/>
            <rFont val="Tahoma"/>
            <family val="2"/>
          </rPr>
          <t>=VLOOKUP(E1,WW,4)</t>
        </r>
      </text>
    </comment>
    <comment ref="B10" authorId="0" shapeId="0">
      <text>
        <r>
          <rPr>
            <b/>
            <sz val="10"/>
            <color indexed="81"/>
            <rFont val="Tahoma"/>
            <family val="2"/>
          </rPr>
          <t>=-RADIANS(A10)</t>
        </r>
      </text>
    </comment>
    <comment ref="C10" authorId="0" shapeId="0">
      <text>
        <r>
          <rPr>
            <b/>
            <sz val="10"/>
            <color indexed="81"/>
            <rFont val="Tahoma"/>
            <family val="2"/>
          </rPr>
          <t>=(C$6)*COS(B10)</t>
        </r>
      </text>
    </comment>
    <comment ref="D10" authorId="0" shapeId="0">
      <text>
        <r>
          <rPr>
            <b/>
            <sz val="10"/>
            <color indexed="81"/>
            <rFont val="Tahoma"/>
            <family val="2"/>
          </rPr>
          <t>=(C$6)*SIN(B10)</t>
        </r>
      </text>
    </comment>
    <comment ref="E10" authorId="0" shapeId="0">
      <text>
        <r>
          <rPr>
            <b/>
            <sz val="10"/>
            <color indexed="81"/>
            <rFont val="Tahoma"/>
            <family val="2"/>
          </rPr>
          <t>=D$10+(2*C$6+C$4)*COS(ASIN(C10/(2*C$6+C$4)))</t>
        </r>
      </text>
    </comment>
    <comment ref="F10" authorId="0" shapeId="0">
      <text>
        <r>
          <rPr>
            <b/>
            <sz val="10"/>
            <color indexed="81"/>
            <rFont val="Tahoma"/>
            <family val="2"/>
          </rPr>
          <t>=IF(A10&lt;=$E$1,C10,NA())</t>
        </r>
      </text>
    </comment>
    <comment ref="G10" authorId="0" shapeId="0">
      <text>
        <r>
          <rPr>
            <b/>
            <sz val="10"/>
            <color indexed="81"/>
            <rFont val="Tahoma"/>
            <family val="2"/>
          </rPr>
          <t>=IF(A10&lt;=$E$1,E10,NA())</t>
        </r>
      </text>
    </comment>
    <comment ref="I10" authorId="0" shapeId="0">
      <text>
        <r>
          <rPr>
            <b/>
            <sz val="10"/>
            <color indexed="81"/>
            <rFont val="Tahoma"/>
            <family val="2"/>
          </rPr>
          <t>=RADIANS(A10)</t>
        </r>
      </text>
    </comment>
  </commentList>
</comments>
</file>

<file path=xl/sharedStrings.xml><?xml version="1.0" encoding="utf-8"?>
<sst xmlns="http://schemas.openxmlformats.org/spreadsheetml/2006/main" count="36" uniqueCount="34">
  <si>
    <t>degrees</t>
  </si>
  <si>
    <t>x</t>
  </si>
  <si>
    <t>y</t>
  </si>
  <si>
    <t>D</t>
  </si>
  <si>
    <t>radius=</t>
  </si>
  <si>
    <t xml:space="preserve">a = </t>
  </si>
  <si>
    <t>linked cell</t>
  </si>
  <si>
    <t>trace circ</t>
  </si>
  <si>
    <t>trace wave</t>
  </si>
  <si>
    <t>xval=</t>
  </si>
  <si>
    <t>yval=</t>
  </si>
  <si>
    <t>shaft x</t>
  </si>
  <si>
    <t>shaft y</t>
  </si>
  <si>
    <t>top</t>
  </si>
  <si>
    <t>bot</t>
  </si>
  <si>
    <t>r*cos</t>
  </si>
  <si>
    <t>r*sin</t>
  </si>
  <si>
    <t>radians +</t>
  </si>
  <si>
    <t>Figure 1.</t>
  </si>
  <si>
    <t>Plot of the angle of rotation of the</t>
  </si>
  <si>
    <t>crankshaft vs distance from piston</t>
  </si>
  <si>
    <t>to the center of the circle.</t>
  </si>
  <si>
    <t>A simple engine and periodic functions.</t>
  </si>
  <si>
    <t>radius is a linked cell</t>
  </si>
  <si>
    <t xml:space="preserve">a is the minimum distance from </t>
  </si>
  <si>
    <t>the piston to the top of the circle</t>
  </si>
  <si>
    <t>radians -</t>
  </si>
  <si>
    <t>angle=</t>
  </si>
  <si>
    <t>no</t>
  </si>
  <si>
    <t>from 0 to 360</t>
  </si>
  <si>
    <t>from 1 to 7</t>
  </si>
  <si>
    <t>Stop? Set to yes:</t>
  </si>
  <si>
    <r>
      <rPr>
        <sz val="10"/>
        <rFont val="Calibri"/>
        <family val="2"/>
      </rPr>
      <t>©</t>
    </r>
    <r>
      <rPr>
        <sz val="12"/>
        <rFont val="Arial"/>
        <family val="2"/>
      </rPr>
      <t xml:space="preserve"> David Hill</t>
    </r>
  </si>
  <si>
    <t>copy these columns down to row 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</si>
</sst>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5" fillId="2" borderId="0" xfId="0" applyFont="1" applyFill="1"/>
    <xf numFmtId="0" fontId="2" fillId="2" borderId="0" xfId="0" applyFont="1" applyFill="1" applyAlignment="1">
      <alignment horizontal="left"/>
    </xf>
    <xf numFmtId="0" fontId="0" fillId="2" borderId="2" xfId="0" applyFill="1" applyBorder="1"/>
    <xf numFmtId="0" fontId="2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" fillId="2" borderId="6" xfId="0" applyFont="1" applyFill="1" applyBorder="1"/>
    <xf numFmtId="0" fontId="0" fillId="2" borderId="7" xfId="0" applyFill="1" applyBorder="1"/>
    <xf numFmtId="0" fontId="2" fillId="0" borderId="0" xfId="0" applyFont="1"/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012431640033038E-2"/>
          <c:y val="6.8065002281701273E-2"/>
          <c:w val="0.86858421010350506"/>
          <c:h val="0.8665198367401200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Formulas!$F$10:$F$370</c:f>
              <c:numCache>
                <c:formatCode>General</c:formatCode>
                <c:ptCount val="361"/>
                <c:pt idx="0">
                  <c:v>3</c:v>
                </c:pt>
                <c:pt idx="1">
                  <c:v>2.999543085469174</c:v>
                </c:pt>
                <c:pt idx="2">
                  <c:v>2.9981724810572872</c:v>
                </c:pt>
                <c:pt idx="3">
                  <c:v>2.9958886042637216</c:v>
                </c:pt>
                <c:pt idx="4">
                  <c:v>2.9926921507794724</c:v>
                </c:pt>
                <c:pt idx="5">
                  <c:v>2.9885840942752369</c:v>
                </c:pt>
                <c:pt idx="6">
                  <c:v>2.9835656861048196</c:v>
                </c:pt>
                <c:pt idx="7">
                  <c:v>2.9776384549239658</c:v>
                </c:pt>
                <c:pt idx="8">
                  <c:v>2.9708042062247113</c:v>
                </c:pt>
                <c:pt idx="9">
                  <c:v>2.9630650217854133</c:v>
                </c:pt>
                <c:pt idx="10">
                  <c:v>2.9544232590366239</c:v>
                </c:pt>
                <c:pt idx="11">
                  <c:v>2.9448815503429921</c:v>
                </c:pt>
                <c:pt idx="12">
                  <c:v>2.9344428022014171</c:v>
                </c:pt>
                <c:pt idx="13">
                  <c:v>2.9231101943557056</c:v>
                </c:pt>
                <c:pt idx="14">
                  <c:v>2.9108871788279895</c:v>
                </c:pt>
                <c:pt idx="15">
                  <c:v>2.897777478867205</c:v>
                </c:pt>
                <c:pt idx="16">
                  <c:v>2.8837850878149567</c:v>
                </c:pt>
                <c:pt idx="17">
                  <c:v>2.8689142678891062</c:v>
                </c:pt>
                <c:pt idx="18">
                  <c:v>2.8531695488854605</c:v>
                </c:pt>
                <c:pt idx="19">
                  <c:v>2.8365557267979504</c:v>
                </c:pt>
                <c:pt idx="20">
                  <c:v>2.8190778623577253</c:v>
                </c:pt>
                <c:pt idx="21">
                  <c:v>2.8007412794916053</c:v>
                </c:pt>
                <c:pt idx="22">
                  <c:v>2.7815515637003623</c:v>
                </c:pt>
                <c:pt idx="23">
                  <c:v>2.761514560357321</c:v>
                </c:pt>
                <c:pt idx="24">
                  <c:v>2.7406363729278027</c:v>
                </c:pt>
                <c:pt idx="25">
                  <c:v>2.7189233611099497</c:v>
                </c:pt>
                <c:pt idx="26">
                  <c:v>2.6963821388975013</c:v>
                </c:pt>
                <c:pt idx="27">
                  <c:v>2.6730195725651038</c:v>
                </c:pt>
                <c:pt idx="28">
                  <c:v>2.648842778576781</c:v>
                </c:pt>
                <c:pt idx="29">
                  <c:v>2.623859121418187</c:v>
                </c:pt>
                <c:pt idx="30">
                  <c:v>2.598076211353316</c:v>
                </c:pt>
                <c:pt idx="31">
                  <c:v>2.5715019021063368</c:v>
                </c:pt>
                <c:pt idx="32">
                  <c:v>2.544144288469278</c:v>
                </c:pt>
                <c:pt idx="33">
                  <c:v>2.5160117038362722</c:v>
                </c:pt>
                <c:pt idx="34">
                  <c:v>2.4871127176651249</c:v>
                </c:pt>
                <c:pt idx="35">
                  <c:v>2.4574561328669753</c:v>
                </c:pt>
                <c:pt idx="36">
                  <c:v>2.4270509831248424</c:v>
                </c:pt>
                <c:pt idx="37">
                  <c:v>2.3959065301418785</c:v>
                </c:pt>
                <c:pt idx="38">
                  <c:v>2.3640322608201658</c:v>
                </c:pt>
                <c:pt idx="39">
                  <c:v>2.3314378843709127</c:v>
                </c:pt>
                <c:pt idx="40">
                  <c:v>2.2981333293569342</c:v>
                </c:pt>
                <c:pt idx="41">
                  <c:v>2.2641287406683159</c:v>
                </c:pt>
                <c:pt idx="42">
                  <c:v>2.229434476432183</c:v>
                </c:pt>
                <c:pt idx="43">
                  <c:v>2.1940611048575116</c:v>
                </c:pt>
                <c:pt idx="44">
                  <c:v>2.1580194010159537</c:v>
                </c:pt>
                <c:pt idx="45">
                  <c:v>2.1213203435596428</c:v>
                </c:pt>
                <c:pt idx="46">
                  <c:v>2.0839751113769918</c:v>
                </c:pt>
                <c:pt idx="47">
                  <c:v>2.0459950801874953</c:v>
                </c:pt>
                <c:pt idx="48">
                  <c:v>2.0073918190765747</c:v>
                </c:pt>
                <c:pt idx="49">
                  <c:v>1.9681770869715218</c:v>
                </c:pt>
                <c:pt idx="50">
                  <c:v>1.9283628290596182</c:v>
                </c:pt>
                <c:pt idx="51">
                  <c:v>1.8879611731495125</c:v>
                </c:pt>
                <c:pt idx="52">
                  <c:v>1.846984425976975</c:v>
                </c:pt>
                <c:pt idx="53">
                  <c:v>1.805445069456145</c:v>
                </c:pt>
                <c:pt idx="54">
                  <c:v>1.7633557568774194</c:v>
                </c:pt>
                <c:pt idx="55">
                  <c:v>1.7207293090531386</c:v>
                </c:pt>
                <c:pt idx="56">
                  <c:v>1.6775787104122404</c:v>
                </c:pt>
                <c:pt idx="57">
                  <c:v>1.6339171050450814</c:v>
                </c:pt>
                <c:pt idx="58">
                  <c:v>1.5897577926996147</c:v>
                </c:pt>
                <c:pt idx="59">
                  <c:v>1.5451142247301624</c:v>
                </c:pt>
                <c:pt idx="60">
                  <c:v>1.5000000000000004</c:v>
                </c:pt>
                <c:pt idx="61">
                  <c:v>1.4544288607390112</c:v>
                </c:pt>
                <c:pt idx="62">
                  <c:v>1.4084146883576727</c:v>
                </c:pt>
                <c:pt idx="63">
                  <c:v>1.3619714992186405</c:v>
                </c:pt>
                <c:pt idx="64">
                  <c:v>1.3151134403672324</c:v>
                </c:pt>
                <c:pt idx="65">
                  <c:v>1.2678547852220983</c:v>
                </c:pt>
                <c:pt idx="66">
                  <c:v>1.2202099292274007</c:v>
                </c:pt>
                <c:pt idx="67">
                  <c:v>1.1721933854678213</c:v>
                </c:pt>
                <c:pt idx="68">
                  <c:v>1.1238197802477359</c:v>
                </c:pt>
                <c:pt idx="69">
                  <c:v>1.075103848635901</c:v>
                </c:pt>
                <c:pt idx="70">
                  <c:v>1.0260604299770064</c:v>
                </c:pt>
                <c:pt idx="71">
                  <c:v>0.97670446337147032</c:v>
                </c:pt>
                <c:pt idx="72">
                  <c:v>0.92705098312484235</c:v>
                </c:pt>
                <c:pt idx="73">
                  <c:v>0.87711511416821031</c:v>
                </c:pt>
                <c:pt idx="74">
                  <c:v>0.82691206745099755</c:v>
                </c:pt>
                <c:pt idx="75">
                  <c:v>0.77645713530756222</c:v>
                </c:pt>
                <c:pt idx="76">
                  <c:v>0.725765686799003</c:v>
                </c:pt>
                <c:pt idx="77">
                  <c:v>0.67485316303159482</c:v>
                </c:pt>
                <c:pt idx="78">
                  <c:v>0.62373507245327842</c:v>
                </c:pt>
                <c:pt idx="79">
                  <c:v>0.57242698612963472</c:v>
                </c:pt>
                <c:pt idx="80">
                  <c:v>0.52094453300079124</c:v>
                </c:pt>
                <c:pt idx="81">
                  <c:v>0.46930339512069275</c:v>
                </c:pt>
                <c:pt idx="82">
                  <c:v>0.4175193028801964</c:v>
                </c:pt>
                <c:pt idx="83">
                  <c:v>0.36560803021544247</c:v>
                </c:pt>
                <c:pt idx="84">
                  <c:v>0.31358538980296036</c:v>
                </c:pt>
                <c:pt idx="85">
                  <c:v>0.26146722824297441</c:v>
                </c:pt>
                <c:pt idx="86">
                  <c:v>0.20926942123237569</c:v>
                </c:pt>
                <c:pt idx="87">
                  <c:v>0.15700786872883191</c:v>
                </c:pt>
                <c:pt idx="88">
                  <c:v>0.10469849010750323</c:v>
                </c:pt>
                <c:pt idx="89">
                  <c:v>5.2357219311850792E-2</c:v>
                </c:pt>
                <c:pt idx="90">
                  <c:v>1.83772268236293E-16</c:v>
                </c:pt>
                <c:pt idx="91">
                  <c:v>-5.2357219311850431E-2</c:v>
                </c:pt>
                <c:pt idx="92">
                  <c:v>-0.10469849010750287</c:v>
                </c:pt>
                <c:pt idx="93">
                  <c:v>-0.15700786872883152</c:v>
                </c:pt>
                <c:pt idx="94">
                  <c:v>-0.20926942123237599</c:v>
                </c:pt>
                <c:pt idx="95">
                  <c:v>-0.26146722824297469</c:v>
                </c:pt>
                <c:pt idx="96">
                  <c:v>-0.31358538980296069</c:v>
                </c:pt>
                <c:pt idx="97">
                  <c:v>-0.36560803021544208</c:v>
                </c:pt>
                <c:pt idx="98">
                  <c:v>-0.41751930288019606</c:v>
                </c:pt>
                <c:pt idx="99">
                  <c:v>-0.46930339512069241</c:v>
                </c:pt>
                <c:pt idx="100">
                  <c:v>-0.52094453300079091</c:v>
                </c:pt>
                <c:pt idx="101">
                  <c:v>-0.57242698612963439</c:v>
                </c:pt>
                <c:pt idx="102">
                  <c:v>-0.62373507245327797</c:v>
                </c:pt>
                <c:pt idx="103">
                  <c:v>-0.67485316303159504</c:v>
                </c:pt>
                <c:pt idx="104">
                  <c:v>-0.72576568679900333</c:v>
                </c:pt>
                <c:pt idx="105">
                  <c:v>-0.77645713530756255</c:v>
                </c:pt>
                <c:pt idx="106">
                  <c:v>-0.8269120674509971</c:v>
                </c:pt>
                <c:pt idx="107">
                  <c:v>-0.87711511416820997</c:v>
                </c:pt>
                <c:pt idx="108">
                  <c:v>-0.92705098312484202</c:v>
                </c:pt>
                <c:pt idx="109">
                  <c:v>-0.97670446337146988</c:v>
                </c:pt>
                <c:pt idx="110">
                  <c:v>-1.0260604299770062</c:v>
                </c:pt>
                <c:pt idx="111">
                  <c:v>-1.0751038486359008</c:v>
                </c:pt>
                <c:pt idx="112">
                  <c:v>-1.1238197802477363</c:v>
                </c:pt>
                <c:pt idx="113">
                  <c:v>-1.1721933854678213</c:v>
                </c:pt>
                <c:pt idx="114">
                  <c:v>-1.2202099292274009</c:v>
                </c:pt>
                <c:pt idx="115">
                  <c:v>-1.267854785222098</c:v>
                </c:pt>
                <c:pt idx="116">
                  <c:v>-1.3151134403672327</c:v>
                </c:pt>
                <c:pt idx="117">
                  <c:v>-1.36197149921864</c:v>
                </c:pt>
                <c:pt idx="118">
                  <c:v>-1.4084146883576727</c:v>
                </c:pt>
                <c:pt idx="119">
                  <c:v>-1.454428860739011</c:v>
                </c:pt>
                <c:pt idx="120">
                  <c:v>-1.4999999999999993</c:v>
                </c:pt>
                <c:pt idx="121">
                  <c:v>-1.5451142247301628</c:v>
                </c:pt>
                <c:pt idx="122">
                  <c:v>-1.5897577926996145</c:v>
                </c:pt>
                <c:pt idx="123">
                  <c:v>-1.6339171050450814</c:v>
                </c:pt>
                <c:pt idx="124">
                  <c:v>-1.6775787104122402</c:v>
                </c:pt>
                <c:pt idx="125">
                  <c:v>-1.7207293090531386</c:v>
                </c:pt>
                <c:pt idx="126">
                  <c:v>-1.7633557568774192</c:v>
                </c:pt>
                <c:pt idx="127">
                  <c:v>-1.805445069456145</c:v>
                </c:pt>
                <c:pt idx="128">
                  <c:v>-1.846984425976975</c:v>
                </c:pt>
                <c:pt idx="129">
                  <c:v>-1.8879611731495118</c:v>
                </c:pt>
                <c:pt idx="130">
                  <c:v>-1.9283628290596182</c:v>
                </c:pt>
                <c:pt idx="131">
                  <c:v>-1.9681770869715214</c:v>
                </c:pt>
                <c:pt idx="132">
                  <c:v>-2.0073918190765747</c:v>
                </c:pt>
                <c:pt idx="133">
                  <c:v>-2.0459950801874953</c:v>
                </c:pt>
                <c:pt idx="134">
                  <c:v>-2.0839751113769922</c:v>
                </c:pt>
                <c:pt idx="135">
                  <c:v>-2.1213203435596424</c:v>
                </c:pt>
                <c:pt idx="136">
                  <c:v>-2.1580194010159537</c:v>
                </c:pt>
                <c:pt idx="137">
                  <c:v>-2.1940611048575116</c:v>
                </c:pt>
                <c:pt idx="138">
                  <c:v>-2.2294344764321821</c:v>
                </c:pt>
                <c:pt idx="139">
                  <c:v>-2.2641287406683159</c:v>
                </c:pt>
                <c:pt idx="140">
                  <c:v>-2.2981333293569337</c:v>
                </c:pt>
                <c:pt idx="141">
                  <c:v>-2.3314378843709127</c:v>
                </c:pt>
                <c:pt idx="142">
                  <c:v>-2.3640322608201658</c:v>
                </c:pt>
                <c:pt idx="143">
                  <c:v>-2.3959065301418789</c:v>
                </c:pt>
                <c:pt idx="144">
                  <c:v>-2.4270509831248419</c:v>
                </c:pt>
                <c:pt idx="145">
                  <c:v>-2.4574561328669757</c:v>
                </c:pt>
                <c:pt idx="146">
                  <c:v>-2.4871127176651249</c:v>
                </c:pt>
                <c:pt idx="147">
                  <c:v>-2.5160117038362717</c:v>
                </c:pt>
                <c:pt idx="148">
                  <c:v>-2.544144288469278</c:v>
                </c:pt>
                <c:pt idx="149">
                  <c:v>-2.5715019021063368</c:v>
                </c:pt>
                <c:pt idx="150">
                  <c:v>-2.598076211353316</c:v>
                </c:pt>
                <c:pt idx="151">
                  <c:v>-2.623859121418187</c:v>
                </c:pt>
                <c:pt idx="152">
                  <c:v>-2.648842778576781</c:v>
                </c:pt>
                <c:pt idx="153">
                  <c:v>-2.6730195725651034</c:v>
                </c:pt>
                <c:pt idx="154">
                  <c:v>-2.6963821388975013</c:v>
                </c:pt>
                <c:pt idx="155">
                  <c:v>-2.7189233611099497</c:v>
                </c:pt>
                <c:pt idx="156">
                  <c:v>-2.7406363729278023</c:v>
                </c:pt>
                <c:pt idx="157">
                  <c:v>-2.761514560357321</c:v>
                </c:pt>
                <c:pt idx="158">
                  <c:v>-2.7815515637003618</c:v>
                </c:pt>
                <c:pt idx="159">
                  <c:v>-2.8007412794916053</c:v>
                </c:pt>
                <c:pt idx="160">
                  <c:v>-2.8190778623577248</c:v>
                </c:pt>
                <c:pt idx="161">
                  <c:v>-2.8365557267979504</c:v>
                </c:pt>
                <c:pt idx="162">
                  <c:v>-2.8531695488854605</c:v>
                </c:pt>
                <c:pt idx="163">
                  <c:v>-2.8689142678891066</c:v>
                </c:pt>
                <c:pt idx="164">
                  <c:v>-2.8837850878149567</c:v>
                </c:pt>
                <c:pt idx="165">
                  <c:v>-2.8977774788672046</c:v>
                </c:pt>
                <c:pt idx="166">
                  <c:v>-2.9108871788279895</c:v>
                </c:pt>
                <c:pt idx="167">
                  <c:v>-2.9231101943557052</c:v>
                </c:pt>
                <c:pt idx="168">
                  <c:v>-2.9344428022014171</c:v>
                </c:pt>
                <c:pt idx="169">
                  <c:v>-2.9448815503429921</c:v>
                </c:pt>
                <c:pt idx="170">
                  <c:v>-2.9544232590366239</c:v>
                </c:pt>
                <c:pt idx="171">
                  <c:v>-2.9630650217854129</c:v>
                </c:pt>
                <c:pt idx="172">
                  <c:v>-2.9708042062247113</c:v>
                </c:pt>
                <c:pt idx="173">
                  <c:v>-2.9776384549239658</c:v>
                </c:pt>
                <c:pt idx="174">
                  <c:v>-2.9835656861048196</c:v>
                </c:pt>
                <c:pt idx="175">
                  <c:v>-2.9885840942752369</c:v>
                </c:pt>
                <c:pt idx="176">
                  <c:v>-2.9926921507794724</c:v>
                </c:pt>
                <c:pt idx="177">
                  <c:v>-2.9958886042637216</c:v>
                </c:pt>
                <c:pt idx="178">
                  <c:v>-2.9981724810572872</c:v>
                </c:pt>
                <c:pt idx="179">
                  <c:v>-2.999543085469174</c:v>
                </c:pt>
                <c:pt idx="180">
                  <c:v>-3</c:v>
                </c:pt>
                <c:pt idx="181">
                  <c:v>-2.999543085469174</c:v>
                </c:pt>
                <c:pt idx="182">
                  <c:v>-2.9981724810572872</c:v>
                </c:pt>
                <c:pt idx="183">
                  <c:v>-2.9958886042637216</c:v>
                </c:pt>
                <c:pt idx="184">
                  <c:v>-2.9926921507794724</c:v>
                </c:pt>
                <c:pt idx="185">
                  <c:v>-2.9885840942752369</c:v>
                </c:pt>
                <c:pt idx="186">
                  <c:v>-2.9835656861048196</c:v>
                </c:pt>
                <c:pt idx="187">
                  <c:v>-2.9776384549239663</c:v>
                </c:pt>
                <c:pt idx="188">
                  <c:v>-2.9708042062247109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Formulas!$D$10:$D$370</c:f>
              <c:numCache>
                <c:formatCode>General</c:formatCode>
                <c:ptCount val="361"/>
                <c:pt idx="0">
                  <c:v>0</c:v>
                </c:pt>
                <c:pt idx="1">
                  <c:v>-5.2357219311850535E-2</c:v>
                </c:pt>
                <c:pt idx="2">
                  <c:v>-0.1046984901075029</c:v>
                </c:pt>
                <c:pt idx="3">
                  <c:v>-0.15700786872883149</c:v>
                </c:pt>
                <c:pt idx="4">
                  <c:v>-0.20926942123237591</c:v>
                </c:pt>
                <c:pt idx="5">
                  <c:v>-0.26146722824297453</c:v>
                </c:pt>
                <c:pt idx="6">
                  <c:v>-0.31358538980296041</c:v>
                </c:pt>
                <c:pt idx="7">
                  <c:v>-0.36560803021544241</c:v>
                </c:pt>
                <c:pt idx="8">
                  <c:v>-0.41751930288019634</c:v>
                </c:pt>
                <c:pt idx="9">
                  <c:v>-0.46930339512069263</c:v>
                </c:pt>
                <c:pt idx="10">
                  <c:v>-0.52094453300079102</c:v>
                </c:pt>
                <c:pt idx="11">
                  <c:v>-0.57242698612963439</c:v>
                </c:pt>
                <c:pt idx="12">
                  <c:v>-0.62373507245327797</c:v>
                </c:pt>
                <c:pt idx="13">
                  <c:v>-0.67485316303159504</c:v>
                </c:pt>
                <c:pt idx="14">
                  <c:v>-0.72576568679900322</c:v>
                </c:pt>
                <c:pt idx="15">
                  <c:v>-0.77645713530756222</c:v>
                </c:pt>
                <c:pt idx="16">
                  <c:v>-0.82691206745099755</c:v>
                </c:pt>
                <c:pt idx="17">
                  <c:v>-0.87711511416821031</c:v>
                </c:pt>
                <c:pt idx="18">
                  <c:v>-0.92705098312484213</c:v>
                </c:pt>
                <c:pt idx="19">
                  <c:v>-0.9767044633714701</c:v>
                </c:pt>
                <c:pt idx="20">
                  <c:v>-1.0260604299770062</c:v>
                </c:pt>
                <c:pt idx="21">
                  <c:v>-1.0751038486359008</c:v>
                </c:pt>
                <c:pt idx="22">
                  <c:v>-1.1238197802477361</c:v>
                </c:pt>
                <c:pt idx="23">
                  <c:v>-1.1721933854678213</c:v>
                </c:pt>
                <c:pt idx="24">
                  <c:v>-1.2202099292274007</c:v>
                </c:pt>
                <c:pt idx="25">
                  <c:v>-1.2678547852220983</c:v>
                </c:pt>
                <c:pt idx="26">
                  <c:v>-1.3151134403672322</c:v>
                </c:pt>
                <c:pt idx="27">
                  <c:v>-1.3619714992186402</c:v>
                </c:pt>
                <c:pt idx="28">
                  <c:v>-1.4084146883576725</c:v>
                </c:pt>
                <c:pt idx="29">
                  <c:v>-1.4544288607390112</c:v>
                </c:pt>
                <c:pt idx="30">
                  <c:v>-1.4999999999999998</c:v>
                </c:pt>
                <c:pt idx="31">
                  <c:v>-1.5451142247301624</c:v>
                </c:pt>
                <c:pt idx="32">
                  <c:v>-1.5897577926996147</c:v>
                </c:pt>
                <c:pt idx="33">
                  <c:v>-1.6339171050450814</c:v>
                </c:pt>
                <c:pt idx="34">
                  <c:v>-1.6775787104122406</c:v>
                </c:pt>
                <c:pt idx="35">
                  <c:v>-1.7207293090531381</c:v>
                </c:pt>
                <c:pt idx="36">
                  <c:v>-1.7633557568774194</c:v>
                </c:pt>
                <c:pt idx="37">
                  <c:v>-1.8054450694561448</c:v>
                </c:pt>
                <c:pt idx="38">
                  <c:v>-1.846984425976975</c:v>
                </c:pt>
                <c:pt idx="39">
                  <c:v>-1.8879611731495123</c:v>
                </c:pt>
                <c:pt idx="40">
                  <c:v>-1.9283628290596178</c:v>
                </c:pt>
                <c:pt idx="41">
                  <c:v>-1.9681770869715218</c:v>
                </c:pt>
                <c:pt idx="42">
                  <c:v>-2.0073918190765747</c:v>
                </c:pt>
                <c:pt idx="43">
                  <c:v>-2.0459950801874953</c:v>
                </c:pt>
                <c:pt idx="44">
                  <c:v>-2.0839751113769918</c:v>
                </c:pt>
                <c:pt idx="45">
                  <c:v>-2.1213203435596424</c:v>
                </c:pt>
                <c:pt idx="46">
                  <c:v>-2.1580194010159532</c:v>
                </c:pt>
                <c:pt idx="47">
                  <c:v>-2.1940611048575116</c:v>
                </c:pt>
                <c:pt idx="48">
                  <c:v>-2.229434476432183</c:v>
                </c:pt>
                <c:pt idx="49">
                  <c:v>-2.2641287406683159</c:v>
                </c:pt>
                <c:pt idx="50">
                  <c:v>-2.2981333293569342</c:v>
                </c:pt>
                <c:pt idx="51">
                  <c:v>-2.3314378843709127</c:v>
                </c:pt>
                <c:pt idx="52">
                  <c:v>-2.3640322608201663</c:v>
                </c:pt>
                <c:pt idx="53">
                  <c:v>-2.3959065301418785</c:v>
                </c:pt>
                <c:pt idx="54">
                  <c:v>-2.4270509831248424</c:v>
                </c:pt>
                <c:pt idx="55">
                  <c:v>-2.4574561328669753</c:v>
                </c:pt>
                <c:pt idx="56">
                  <c:v>-2.4871127176651253</c:v>
                </c:pt>
                <c:pt idx="57">
                  <c:v>-2.5160117038362722</c:v>
                </c:pt>
                <c:pt idx="58">
                  <c:v>-2.544144288469278</c:v>
                </c:pt>
                <c:pt idx="59">
                  <c:v>-2.5715019021063368</c:v>
                </c:pt>
                <c:pt idx="60">
                  <c:v>-2.598076211353316</c:v>
                </c:pt>
                <c:pt idx="61">
                  <c:v>-2.623859121418187</c:v>
                </c:pt>
                <c:pt idx="62">
                  <c:v>-2.6488427785767805</c:v>
                </c:pt>
                <c:pt idx="63">
                  <c:v>-2.6730195725651034</c:v>
                </c:pt>
                <c:pt idx="64">
                  <c:v>-2.6963821388975013</c:v>
                </c:pt>
                <c:pt idx="65">
                  <c:v>-2.7189233611099497</c:v>
                </c:pt>
                <c:pt idx="66">
                  <c:v>-2.7406363729278027</c:v>
                </c:pt>
                <c:pt idx="67">
                  <c:v>-2.761514560357321</c:v>
                </c:pt>
                <c:pt idx="68">
                  <c:v>-2.7815515637003623</c:v>
                </c:pt>
                <c:pt idx="69">
                  <c:v>-2.8007412794916053</c:v>
                </c:pt>
                <c:pt idx="70">
                  <c:v>-2.8190778623577248</c:v>
                </c:pt>
                <c:pt idx="71">
                  <c:v>-2.8365557267979504</c:v>
                </c:pt>
                <c:pt idx="72">
                  <c:v>-2.8531695488854605</c:v>
                </c:pt>
                <c:pt idx="73">
                  <c:v>-2.8689142678891062</c:v>
                </c:pt>
                <c:pt idx="74">
                  <c:v>-2.8837850878149567</c:v>
                </c:pt>
                <c:pt idx="75">
                  <c:v>-2.897777478867205</c:v>
                </c:pt>
                <c:pt idx="76">
                  <c:v>-2.9108871788279895</c:v>
                </c:pt>
                <c:pt idx="77">
                  <c:v>-2.9231101943557056</c:v>
                </c:pt>
                <c:pt idx="78">
                  <c:v>-2.9344428022014166</c:v>
                </c:pt>
                <c:pt idx="79">
                  <c:v>-2.9448815503429921</c:v>
                </c:pt>
                <c:pt idx="80">
                  <c:v>-2.9544232590366239</c:v>
                </c:pt>
                <c:pt idx="81">
                  <c:v>-2.9630650217854133</c:v>
                </c:pt>
                <c:pt idx="82">
                  <c:v>-2.9708042062247113</c:v>
                </c:pt>
                <c:pt idx="83">
                  <c:v>-2.9776384549239658</c:v>
                </c:pt>
                <c:pt idx="84">
                  <c:v>-2.9835656861048196</c:v>
                </c:pt>
                <c:pt idx="85">
                  <c:v>-2.9885840942752369</c:v>
                </c:pt>
                <c:pt idx="86">
                  <c:v>-2.9926921507794724</c:v>
                </c:pt>
                <c:pt idx="87">
                  <c:v>-2.9958886042637216</c:v>
                </c:pt>
                <c:pt idx="88">
                  <c:v>-2.9981724810572872</c:v>
                </c:pt>
                <c:pt idx="89">
                  <c:v>-2.999543085469174</c:v>
                </c:pt>
                <c:pt idx="90">
                  <c:v>-3</c:v>
                </c:pt>
                <c:pt idx="91">
                  <c:v>-2.999543085469174</c:v>
                </c:pt>
                <c:pt idx="92">
                  <c:v>-2.9981724810572872</c:v>
                </c:pt>
                <c:pt idx="93">
                  <c:v>-2.9958886042637216</c:v>
                </c:pt>
                <c:pt idx="94">
                  <c:v>-2.9926921507794724</c:v>
                </c:pt>
                <c:pt idx="95">
                  <c:v>-2.9885840942752369</c:v>
                </c:pt>
                <c:pt idx="96">
                  <c:v>-2.9835656861048196</c:v>
                </c:pt>
                <c:pt idx="97">
                  <c:v>-2.9776384549239663</c:v>
                </c:pt>
                <c:pt idx="98">
                  <c:v>-2.9708042062247113</c:v>
                </c:pt>
                <c:pt idx="99">
                  <c:v>-2.9630650217854133</c:v>
                </c:pt>
                <c:pt idx="100">
                  <c:v>-2.9544232590366239</c:v>
                </c:pt>
                <c:pt idx="101">
                  <c:v>-2.9448815503429921</c:v>
                </c:pt>
                <c:pt idx="102">
                  <c:v>-2.9344428022014171</c:v>
                </c:pt>
                <c:pt idx="103">
                  <c:v>-2.9231101943557056</c:v>
                </c:pt>
                <c:pt idx="104">
                  <c:v>-2.9108871788279895</c:v>
                </c:pt>
                <c:pt idx="105">
                  <c:v>-2.897777478867205</c:v>
                </c:pt>
                <c:pt idx="106">
                  <c:v>-2.8837850878149567</c:v>
                </c:pt>
                <c:pt idx="107">
                  <c:v>-2.8689142678891066</c:v>
                </c:pt>
                <c:pt idx="108">
                  <c:v>-2.8531695488854609</c:v>
                </c:pt>
                <c:pt idx="109">
                  <c:v>-2.8365557267979504</c:v>
                </c:pt>
                <c:pt idx="110">
                  <c:v>-2.8190778623577253</c:v>
                </c:pt>
                <c:pt idx="111">
                  <c:v>-2.8007412794916053</c:v>
                </c:pt>
                <c:pt idx="112">
                  <c:v>-2.7815515637003623</c:v>
                </c:pt>
                <c:pt idx="113">
                  <c:v>-2.7615145603573206</c:v>
                </c:pt>
                <c:pt idx="114">
                  <c:v>-2.7406363729278027</c:v>
                </c:pt>
                <c:pt idx="115">
                  <c:v>-2.7189233611099501</c:v>
                </c:pt>
                <c:pt idx="116">
                  <c:v>-2.6963821388975009</c:v>
                </c:pt>
                <c:pt idx="117">
                  <c:v>-2.6730195725651038</c:v>
                </c:pt>
                <c:pt idx="118">
                  <c:v>-2.6488427785767805</c:v>
                </c:pt>
                <c:pt idx="119">
                  <c:v>-2.6238591214181874</c:v>
                </c:pt>
                <c:pt idx="120">
                  <c:v>-2.598076211353316</c:v>
                </c:pt>
                <c:pt idx="121">
                  <c:v>-2.5715019021063368</c:v>
                </c:pt>
                <c:pt idx="122">
                  <c:v>-2.544144288469278</c:v>
                </c:pt>
                <c:pt idx="123">
                  <c:v>-2.5160117038362717</c:v>
                </c:pt>
                <c:pt idx="124">
                  <c:v>-2.4871127176651253</c:v>
                </c:pt>
                <c:pt idx="125">
                  <c:v>-2.4574561328669748</c:v>
                </c:pt>
                <c:pt idx="126">
                  <c:v>-2.4270509831248424</c:v>
                </c:pt>
                <c:pt idx="127">
                  <c:v>-2.395906530141878</c:v>
                </c:pt>
                <c:pt idx="128">
                  <c:v>-2.3640322608201663</c:v>
                </c:pt>
                <c:pt idx="129">
                  <c:v>-2.3314378843709131</c:v>
                </c:pt>
                <c:pt idx="130">
                  <c:v>-2.2981333293569342</c:v>
                </c:pt>
                <c:pt idx="131">
                  <c:v>-2.2641287406683164</c:v>
                </c:pt>
                <c:pt idx="132">
                  <c:v>-2.229434476432183</c:v>
                </c:pt>
                <c:pt idx="133">
                  <c:v>-2.1940611048575116</c:v>
                </c:pt>
                <c:pt idx="134">
                  <c:v>-2.1580194010159532</c:v>
                </c:pt>
                <c:pt idx="135">
                  <c:v>-2.1213203435596428</c:v>
                </c:pt>
                <c:pt idx="136">
                  <c:v>-2.0839751113769913</c:v>
                </c:pt>
                <c:pt idx="137">
                  <c:v>-2.0459950801874958</c:v>
                </c:pt>
                <c:pt idx="138">
                  <c:v>-2.0073918190765752</c:v>
                </c:pt>
                <c:pt idx="139">
                  <c:v>-1.9681770869715218</c:v>
                </c:pt>
                <c:pt idx="140">
                  <c:v>-1.9283628290596184</c:v>
                </c:pt>
                <c:pt idx="141">
                  <c:v>-1.8879611731495123</c:v>
                </c:pt>
                <c:pt idx="142">
                  <c:v>-1.8469844259769752</c:v>
                </c:pt>
                <c:pt idx="143">
                  <c:v>-1.8054450694561446</c:v>
                </c:pt>
                <c:pt idx="144">
                  <c:v>-1.7633557568774196</c:v>
                </c:pt>
                <c:pt idx="145">
                  <c:v>-1.7207293090531377</c:v>
                </c:pt>
                <c:pt idx="146">
                  <c:v>-1.6775787104122406</c:v>
                </c:pt>
                <c:pt idx="147">
                  <c:v>-1.6339171050450818</c:v>
                </c:pt>
                <c:pt idx="148">
                  <c:v>-1.5897577926996147</c:v>
                </c:pt>
                <c:pt idx="149">
                  <c:v>-1.5451142247301632</c:v>
                </c:pt>
                <c:pt idx="150">
                  <c:v>-1.4999999999999998</c:v>
                </c:pt>
                <c:pt idx="151">
                  <c:v>-1.4544288607390115</c:v>
                </c:pt>
                <c:pt idx="152">
                  <c:v>-1.408414688357672</c:v>
                </c:pt>
                <c:pt idx="153">
                  <c:v>-1.3619714992186407</c:v>
                </c:pt>
                <c:pt idx="154">
                  <c:v>-1.3151134403672318</c:v>
                </c:pt>
                <c:pt idx="155">
                  <c:v>-1.2678547852220985</c:v>
                </c:pt>
                <c:pt idx="156">
                  <c:v>-1.2202099292274013</c:v>
                </c:pt>
                <c:pt idx="157">
                  <c:v>-1.1721933854678213</c:v>
                </c:pt>
                <c:pt idx="158">
                  <c:v>-1.1238197802477368</c:v>
                </c:pt>
                <c:pt idx="159">
                  <c:v>-1.0751038486359006</c:v>
                </c:pt>
                <c:pt idx="160">
                  <c:v>-1.0260604299770066</c:v>
                </c:pt>
                <c:pt idx="161">
                  <c:v>-0.97670446337146977</c:v>
                </c:pt>
                <c:pt idx="162">
                  <c:v>-0.92705098312484258</c:v>
                </c:pt>
                <c:pt idx="163">
                  <c:v>-0.87711511416820986</c:v>
                </c:pt>
                <c:pt idx="164">
                  <c:v>-0.82691206745099766</c:v>
                </c:pt>
                <c:pt idx="165">
                  <c:v>-0.77645713530756311</c:v>
                </c:pt>
                <c:pt idx="166">
                  <c:v>-0.72576568679900322</c:v>
                </c:pt>
                <c:pt idx="167">
                  <c:v>-0.67485316303159559</c:v>
                </c:pt>
                <c:pt idx="168">
                  <c:v>-0.62373507245327797</c:v>
                </c:pt>
                <c:pt idx="169">
                  <c:v>-0.57242698612963494</c:v>
                </c:pt>
                <c:pt idx="170">
                  <c:v>-0.5209445330007908</c:v>
                </c:pt>
                <c:pt idx="171">
                  <c:v>-0.46930339512069297</c:v>
                </c:pt>
                <c:pt idx="172">
                  <c:v>-0.41751930288019601</c:v>
                </c:pt>
                <c:pt idx="173">
                  <c:v>-0.36560803021544264</c:v>
                </c:pt>
                <c:pt idx="174">
                  <c:v>-0.31358538980296119</c:v>
                </c:pt>
                <c:pt idx="175">
                  <c:v>-0.26146722824297458</c:v>
                </c:pt>
                <c:pt idx="176">
                  <c:v>-0.20926942123237657</c:v>
                </c:pt>
                <c:pt idx="177">
                  <c:v>-0.15700786872883143</c:v>
                </c:pt>
                <c:pt idx="178">
                  <c:v>-0.10469849010750343</c:v>
                </c:pt>
                <c:pt idx="179">
                  <c:v>-5.235721931185032E-2</c:v>
                </c:pt>
                <c:pt idx="180">
                  <c:v>-3.67544536472586E-16</c:v>
                </c:pt>
                <c:pt idx="181">
                  <c:v>5.235721931185091E-2</c:v>
                </c:pt>
                <c:pt idx="182">
                  <c:v>0.10469849010750271</c:v>
                </c:pt>
                <c:pt idx="183">
                  <c:v>0.15700786872883066</c:v>
                </c:pt>
                <c:pt idx="184">
                  <c:v>0.20926942123237582</c:v>
                </c:pt>
                <c:pt idx="185">
                  <c:v>0.26146722824297386</c:v>
                </c:pt>
                <c:pt idx="186">
                  <c:v>0.31358538980296047</c:v>
                </c:pt>
                <c:pt idx="187">
                  <c:v>0.36560803021544191</c:v>
                </c:pt>
                <c:pt idx="188">
                  <c:v>0.41751930288019656</c:v>
                </c:pt>
                <c:pt idx="189">
                  <c:v>0.46930339512069219</c:v>
                </c:pt>
                <c:pt idx="190">
                  <c:v>0.52094453300079135</c:v>
                </c:pt>
                <c:pt idx="191">
                  <c:v>0.57242698612963416</c:v>
                </c:pt>
                <c:pt idx="192">
                  <c:v>0.62373507245327853</c:v>
                </c:pt>
                <c:pt idx="193">
                  <c:v>0.67485316303159493</c:v>
                </c:pt>
                <c:pt idx="194">
                  <c:v>0.72576568679900255</c:v>
                </c:pt>
                <c:pt idx="195">
                  <c:v>0.77645713530756244</c:v>
                </c:pt>
                <c:pt idx="196">
                  <c:v>0.82691206745099699</c:v>
                </c:pt>
                <c:pt idx="197">
                  <c:v>0.87711511416821031</c:v>
                </c:pt>
                <c:pt idx="198">
                  <c:v>0.92705098312484191</c:v>
                </c:pt>
                <c:pt idx="199">
                  <c:v>0.97670446337147032</c:v>
                </c:pt>
                <c:pt idx="200">
                  <c:v>1.026060429977006</c:v>
                </c:pt>
                <c:pt idx="201">
                  <c:v>1.0751038486359012</c:v>
                </c:pt>
                <c:pt idx="202">
                  <c:v>1.1238197802477361</c:v>
                </c:pt>
                <c:pt idx="203">
                  <c:v>1.1721933854678206</c:v>
                </c:pt>
                <c:pt idx="204">
                  <c:v>1.2202099292274007</c:v>
                </c:pt>
                <c:pt idx="205">
                  <c:v>1.2678547852220978</c:v>
                </c:pt>
                <c:pt idx="206">
                  <c:v>1.3151134403672324</c:v>
                </c:pt>
                <c:pt idx="207">
                  <c:v>1.36197149921864</c:v>
                </c:pt>
                <c:pt idx="208">
                  <c:v>1.4084146883576727</c:v>
                </c:pt>
                <c:pt idx="209">
                  <c:v>1.4544288607390108</c:v>
                </c:pt>
                <c:pt idx="210">
                  <c:v>1.5000000000000004</c:v>
                </c:pt>
                <c:pt idx="211">
                  <c:v>1.5451142247301624</c:v>
                </c:pt>
                <c:pt idx="212">
                  <c:v>1.5897577926996145</c:v>
                </c:pt>
                <c:pt idx="213">
                  <c:v>1.6339171050450814</c:v>
                </c:pt>
                <c:pt idx="214">
                  <c:v>1.6775787104122402</c:v>
                </c:pt>
                <c:pt idx="215">
                  <c:v>1.7207293090531386</c:v>
                </c:pt>
                <c:pt idx="216">
                  <c:v>1.7633557568774192</c:v>
                </c:pt>
                <c:pt idx="217">
                  <c:v>1.805445069456145</c:v>
                </c:pt>
                <c:pt idx="218">
                  <c:v>1.8469844259769745</c:v>
                </c:pt>
                <c:pt idx="219">
                  <c:v>1.8879611731495127</c:v>
                </c:pt>
                <c:pt idx="220">
                  <c:v>1.9283628290596178</c:v>
                </c:pt>
                <c:pt idx="221">
                  <c:v>1.9681770869715212</c:v>
                </c:pt>
                <c:pt idx="222">
                  <c:v>2.0073918190765747</c:v>
                </c:pt>
                <c:pt idx="223">
                  <c:v>2.0459950801874953</c:v>
                </c:pt>
                <c:pt idx="224">
                  <c:v>2.0839751113769922</c:v>
                </c:pt>
                <c:pt idx="225">
                  <c:v>2.1213203435596424</c:v>
                </c:pt>
                <c:pt idx="226">
                  <c:v>2.1580194010159537</c:v>
                </c:pt>
                <c:pt idx="227">
                  <c:v>2.1940611048575116</c:v>
                </c:pt>
                <c:pt idx="228">
                  <c:v>2.229434476432183</c:v>
                </c:pt>
                <c:pt idx="229">
                  <c:v>2.2641287406683159</c:v>
                </c:pt>
                <c:pt idx="230">
                  <c:v>2.2981333293569337</c:v>
                </c:pt>
                <c:pt idx="231">
                  <c:v>2.3314378843709118</c:v>
                </c:pt>
                <c:pt idx="232">
                  <c:v>2.3640322608201663</c:v>
                </c:pt>
                <c:pt idx="233">
                  <c:v>2.3959065301418785</c:v>
                </c:pt>
                <c:pt idx="234">
                  <c:v>2.4270509831248419</c:v>
                </c:pt>
                <c:pt idx="235">
                  <c:v>2.4574561328669748</c:v>
                </c:pt>
                <c:pt idx="236">
                  <c:v>2.4871127176651253</c:v>
                </c:pt>
                <c:pt idx="237">
                  <c:v>2.5160117038362722</c:v>
                </c:pt>
                <c:pt idx="238">
                  <c:v>2.544144288469278</c:v>
                </c:pt>
                <c:pt idx="239">
                  <c:v>2.5715019021063363</c:v>
                </c:pt>
                <c:pt idx="240">
                  <c:v>2.5980762113533151</c:v>
                </c:pt>
                <c:pt idx="241">
                  <c:v>2.6238591214181879</c:v>
                </c:pt>
                <c:pt idx="242">
                  <c:v>2.648842778576781</c:v>
                </c:pt>
                <c:pt idx="243">
                  <c:v>2.6730195725651034</c:v>
                </c:pt>
                <c:pt idx="244">
                  <c:v>2.6963821388975004</c:v>
                </c:pt>
                <c:pt idx="245">
                  <c:v>2.7189233611099501</c:v>
                </c:pt>
                <c:pt idx="246">
                  <c:v>2.7406363729278027</c:v>
                </c:pt>
                <c:pt idx="247">
                  <c:v>2.7615145603573206</c:v>
                </c:pt>
                <c:pt idx="248">
                  <c:v>2.7815515637003618</c:v>
                </c:pt>
                <c:pt idx="249">
                  <c:v>2.8007412794916049</c:v>
                </c:pt>
                <c:pt idx="250">
                  <c:v>2.8190778623577253</c:v>
                </c:pt>
                <c:pt idx="251">
                  <c:v>2.8365557267979504</c:v>
                </c:pt>
                <c:pt idx="252">
                  <c:v>2.8531695488854605</c:v>
                </c:pt>
                <c:pt idx="253">
                  <c:v>2.8689142678891058</c:v>
                </c:pt>
                <c:pt idx="254">
                  <c:v>2.8837850878149571</c:v>
                </c:pt>
                <c:pt idx="255">
                  <c:v>2.897777478867205</c:v>
                </c:pt>
                <c:pt idx="256">
                  <c:v>2.9108871788279895</c:v>
                </c:pt>
                <c:pt idx="257">
                  <c:v>2.9231101943557052</c:v>
                </c:pt>
                <c:pt idx="258">
                  <c:v>2.9344428022014166</c:v>
                </c:pt>
                <c:pt idx="259">
                  <c:v>2.9448815503429921</c:v>
                </c:pt>
                <c:pt idx="260">
                  <c:v>2.9544232590366239</c:v>
                </c:pt>
                <c:pt idx="261">
                  <c:v>2.9630650217854129</c:v>
                </c:pt>
                <c:pt idx="262">
                  <c:v>2.9708042062247109</c:v>
                </c:pt>
                <c:pt idx="263">
                  <c:v>2.9776384549239663</c:v>
                </c:pt>
                <c:pt idx="264">
                  <c:v>2.9835656861048201</c:v>
                </c:pt>
                <c:pt idx="265">
                  <c:v>2.9885840942752369</c:v>
                </c:pt>
                <c:pt idx="266">
                  <c:v>2.9926921507794724</c:v>
                </c:pt>
                <c:pt idx="267">
                  <c:v>2.9958886042637216</c:v>
                </c:pt>
                <c:pt idx="268">
                  <c:v>2.9981724810572872</c:v>
                </c:pt>
                <c:pt idx="269">
                  <c:v>2.999543085469174</c:v>
                </c:pt>
                <c:pt idx="270">
                  <c:v>3</c:v>
                </c:pt>
                <c:pt idx="271">
                  <c:v>2.999543085469174</c:v>
                </c:pt>
                <c:pt idx="272">
                  <c:v>2.9981724810572872</c:v>
                </c:pt>
                <c:pt idx="273">
                  <c:v>2.9958886042637216</c:v>
                </c:pt>
                <c:pt idx="274">
                  <c:v>2.9926921507794728</c:v>
                </c:pt>
                <c:pt idx="275">
                  <c:v>2.9885840942752369</c:v>
                </c:pt>
                <c:pt idx="276">
                  <c:v>2.9835656861048201</c:v>
                </c:pt>
                <c:pt idx="277">
                  <c:v>2.9776384549239658</c:v>
                </c:pt>
                <c:pt idx="278">
                  <c:v>2.9708042062247113</c:v>
                </c:pt>
                <c:pt idx="279">
                  <c:v>2.9630650217854133</c:v>
                </c:pt>
                <c:pt idx="280">
                  <c:v>2.9544232590366244</c:v>
                </c:pt>
                <c:pt idx="281">
                  <c:v>2.9448815503429917</c:v>
                </c:pt>
                <c:pt idx="282">
                  <c:v>2.9344428022014166</c:v>
                </c:pt>
                <c:pt idx="283">
                  <c:v>2.9231101943557056</c:v>
                </c:pt>
                <c:pt idx="284">
                  <c:v>2.9108871788279895</c:v>
                </c:pt>
                <c:pt idx="285">
                  <c:v>2.897777478867205</c:v>
                </c:pt>
                <c:pt idx="286">
                  <c:v>2.8837850878149562</c:v>
                </c:pt>
                <c:pt idx="287">
                  <c:v>2.8689142678891062</c:v>
                </c:pt>
                <c:pt idx="288">
                  <c:v>2.8531695488854609</c:v>
                </c:pt>
                <c:pt idx="289">
                  <c:v>2.8365557267979509</c:v>
                </c:pt>
                <c:pt idx="290">
                  <c:v>2.8190778623577248</c:v>
                </c:pt>
                <c:pt idx="291">
                  <c:v>2.8007412794916053</c:v>
                </c:pt>
                <c:pt idx="292">
                  <c:v>2.7815515637003623</c:v>
                </c:pt>
                <c:pt idx="293">
                  <c:v>2.7615145603573215</c:v>
                </c:pt>
                <c:pt idx="294">
                  <c:v>2.7406363729278032</c:v>
                </c:pt>
                <c:pt idx="295">
                  <c:v>2.7189233611099497</c:v>
                </c:pt>
                <c:pt idx="296">
                  <c:v>2.6963821388975013</c:v>
                </c:pt>
                <c:pt idx="297">
                  <c:v>2.6730195725651038</c:v>
                </c:pt>
                <c:pt idx="298">
                  <c:v>2.6488427785767814</c:v>
                </c:pt>
                <c:pt idx="299">
                  <c:v>2.623859121418187</c:v>
                </c:pt>
                <c:pt idx="300">
                  <c:v>2.598076211353316</c:v>
                </c:pt>
                <c:pt idx="301">
                  <c:v>2.5715019021063368</c:v>
                </c:pt>
                <c:pt idx="302">
                  <c:v>2.5441442884692784</c:v>
                </c:pt>
                <c:pt idx="303">
                  <c:v>2.5160117038362726</c:v>
                </c:pt>
                <c:pt idx="304">
                  <c:v>2.4871127176651249</c:v>
                </c:pt>
                <c:pt idx="305">
                  <c:v>2.4574561328669753</c:v>
                </c:pt>
                <c:pt idx="306">
                  <c:v>2.4270509831248428</c:v>
                </c:pt>
                <c:pt idx="307">
                  <c:v>2.3959065301418789</c:v>
                </c:pt>
                <c:pt idx="308">
                  <c:v>2.3640322608201654</c:v>
                </c:pt>
                <c:pt idx="309">
                  <c:v>2.3314378843709123</c:v>
                </c:pt>
                <c:pt idx="310">
                  <c:v>2.2981333293569346</c:v>
                </c:pt>
                <c:pt idx="311">
                  <c:v>2.2641287406683168</c:v>
                </c:pt>
                <c:pt idx="312">
                  <c:v>2.2294344764321838</c:v>
                </c:pt>
                <c:pt idx="313">
                  <c:v>2.1940611048575112</c:v>
                </c:pt>
                <c:pt idx="314">
                  <c:v>2.1580194010159537</c:v>
                </c:pt>
                <c:pt idx="315">
                  <c:v>2.1213203435596428</c:v>
                </c:pt>
                <c:pt idx="316">
                  <c:v>2.0839751113769927</c:v>
                </c:pt>
                <c:pt idx="317">
                  <c:v>2.0459950801874949</c:v>
                </c:pt>
                <c:pt idx="318">
                  <c:v>2.0073918190765743</c:v>
                </c:pt>
                <c:pt idx="319">
                  <c:v>1.9681770869715223</c:v>
                </c:pt>
                <c:pt idx="320">
                  <c:v>1.9283628290596186</c:v>
                </c:pt>
                <c:pt idx="321">
                  <c:v>1.8879611731495136</c:v>
                </c:pt>
                <c:pt idx="322">
                  <c:v>1.8469844259769745</c:v>
                </c:pt>
                <c:pt idx="323">
                  <c:v>1.8054450694561448</c:v>
                </c:pt>
                <c:pt idx="324">
                  <c:v>1.7633557568774201</c:v>
                </c:pt>
                <c:pt idx="325">
                  <c:v>1.7207293090531395</c:v>
                </c:pt>
                <c:pt idx="326">
                  <c:v>1.6775787104122397</c:v>
                </c:pt>
                <c:pt idx="327">
                  <c:v>1.6339171050450809</c:v>
                </c:pt>
                <c:pt idx="328">
                  <c:v>1.5897577926996149</c:v>
                </c:pt>
                <c:pt idx="329">
                  <c:v>1.5451142247301635</c:v>
                </c:pt>
                <c:pt idx="330">
                  <c:v>1.5000000000000013</c:v>
                </c:pt>
                <c:pt idx="331">
                  <c:v>1.4544288607390108</c:v>
                </c:pt>
                <c:pt idx="332">
                  <c:v>1.4084146883576725</c:v>
                </c:pt>
                <c:pt idx="333">
                  <c:v>1.3619714992186409</c:v>
                </c:pt>
                <c:pt idx="334">
                  <c:v>1.3151134403672333</c:v>
                </c:pt>
                <c:pt idx="335">
                  <c:v>1.2678547852220976</c:v>
                </c:pt>
                <c:pt idx="336">
                  <c:v>1.2202099292274005</c:v>
                </c:pt>
                <c:pt idx="337">
                  <c:v>1.1721933854678217</c:v>
                </c:pt>
                <c:pt idx="338">
                  <c:v>1.123819780247737</c:v>
                </c:pt>
                <c:pt idx="339">
                  <c:v>1.0751038486359024</c:v>
                </c:pt>
                <c:pt idx="340">
                  <c:v>1.0260604299770058</c:v>
                </c:pt>
                <c:pt idx="341">
                  <c:v>0.9767044633714701</c:v>
                </c:pt>
                <c:pt idx="342">
                  <c:v>0.9270509831248428</c:v>
                </c:pt>
                <c:pt idx="343">
                  <c:v>0.87711511416821142</c:v>
                </c:pt>
                <c:pt idx="344">
                  <c:v>0.82691206745099688</c:v>
                </c:pt>
                <c:pt idx="345">
                  <c:v>0.776457135307562</c:v>
                </c:pt>
                <c:pt idx="346">
                  <c:v>0.72576568679900366</c:v>
                </c:pt>
                <c:pt idx="347">
                  <c:v>0.67485316303159604</c:v>
                </c:pt>
                <c:pt idx="348">
                  <c:v>0.62373507245327964</c:v>
                </c:pt>
                <c:pt idx="349">
                  <c:v>0.57242698612963405</c:v>
                </c:pt>
                <c:pt idx="350">
                  <c:v>0.52094453300079113</c:v>
                </c:pt>
                <c:pt idx="351">
                  <c:v>0.46930339512069336</c:v>
                </c:pt>
                <c:pt idx="352">
                  <c:v>0.41751930288019767</c:v>
                </c:pt>
                <c:pt idx="353">
                  <c:v>0.36560803021544169</c:v>
                </c:pt>
                <c:pt idx="354">
                  <c:v>0.31358538980296025</c:v>
                </c:pt>
                <c:pt idx="355">
                  <c:v>0.26146722824297497</c:v>
                </c:pt>
                <c:pt idx="356">
                  <c:v>0.20926942123237691</c:v>
                </c:pt>
                <c:pt idx="357">
                  <c:v>0.1570078687288331</c:v>
                </c:pt>
                <c:pt idx="358">
                  <c:v>0.10469849010750247</c:v>
                </c:pt>
                <c:pt idx="359">
                  <c:v>5.2357219311850681E-2</c:v>
                </c:pt>
                <c:pt idx="360">
                  <c:v>7.3508907294517201E-16</c:v>
                </c:pt>
              </c:numCache>
            </c:numRef>
          </c:yVal>
          <c:smooth val="0"/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Formulas!$H$2:$H$3</c:f>
              <c:numCache>
                <c:formatCode>General</c:formatCode>
                <c:ptCount val="2"/>
                <c:pt idx="0">
                  <c:v>0</c:v>
                </c:pt>
                <c:pt idx="1">
                  <c:v>-2.9708042062247109</c:v>
                </c:pt>
              </c:numCache>
            </c:numRef>
          </c:xVal>
          <c:yVal>
            <c:numRef>
              <c:f>Formulas!$I$2:$I$3</c:f>
              <c:numCache>
                <c:formatCode>General</c:formatCode>
                <c:ptCount val="2"/>
                <c:pt idx="0">
                  <c:v>7.8454613037494525</c:v>
                </c:pt>
                <c:pt idx="1">
                  <c:v>0.41751930288019656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29728"/>
        <c:axId val="290830288"/>
      </c:scatterChart>
      <c:valAx>
        <c:axId val="290829728"/>
        <c:scaling>
          <c:orientation val="minMax"/>
          <c:max val="24"/>
          <c:min val="-2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830288"/>
        <c:crosses val="autoZero"/>
        <c:crossBetween val="midCat"/>
        <c:majorUnit val="4"/>
        <c:minorUnit val="0.4"/>
      </c:valAx>
      <c:valAx>
        <c:axId val="290830288"/>
        <c:scaling>
          <c:orientation val="minMax"/>
          <c:max val="24"/>
          <c:min val="-24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829728"/>
        <c:crosses val="autoZero"/>
        <c:crossBetween val="midCat"/>
        <c:majorUnit val="4"/>
        <c:minorUnit val="0.4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0413272533525"/>
          <c:y val="9.542309285440384E-2"/>
          <c:w val="0.79841349289085106"/>
          <c:h val="0.74811704797852607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Formulas!$I$10:$I$370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0.10471975511965978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0.20943951023931956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0.33161255787892263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0.4014257279586958</c:v>
                </c:pt>
                <c:pt idx="24">
                  <c:v>0.41887902047863912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0.66322511575784526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0.71558499331767511</c:v>
                </c:pt>
                <c:pt idx="42">
                  <c:v>0.73303828583761843</c:v>
                </c:pt>
                <c:pt idx="43">
                  <c:v>0.75049157835756175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0.8028514559173916</c:v>
                </c:pt>
                <c:pt idx="47">
                  <c:v>0.82030474843733492</c:v>
                </c:pt>
                <c:pt idx="48">
                  <c:v>0.83775804095727824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0.89011791851710809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0.99483767363676789</c:v>
                </c:pt>
                <c:pt idx="58">
                  <c:v>1.0122909661567112</c:v>
                </c:pt>
                <c:pt idx="59">
                  <c:v>1.0297442586766545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1.1693705988362009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1.3264502315156905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1.4311699866353502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1.5009831567151235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1.5533430342749532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1.6057029118347832</c:v>
                </c:pt>
                <c:pt idx="93">
                  <c:v>1.6231562043547265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1.6755160819145565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1.7278759594743862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1.7802358370342162</c:v>
                </c:pt>
                <c:pt idx="103">
                  <c:v>1.7976891295541595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1.9024088846738192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1.9722220547535925</c:v>
                </c:pt>
                <c:pt idx="114">
                  <c:v>1.9896753472735358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2.0594885173533091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2.2863813201125716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2.3387411976724017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2.4609142453120048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2.530727415391778</c:v>
                </c:pt>
                <c:pt idx="146">
                  <c:v>2.5481807079117211</c:v>
                </c:pt>
                <c:pt idx="147">
                  <c:v>2.5656340004316642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2.6529004630313811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2.7401669256310974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2.8099800957108707</c:v>
                </c:pt>
                <c:pt idx="162">
                  <c:v>2.8274333882308138</c:v>
                </c:pt>
                <c:pt idx="163">
                  <c:v>2.8448866807507573</c:v>
                </c:pt>
                <c:pt idx="164">
                  <c:v>2.8623399732707004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2.9146998508305302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3.001966313430247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3.0543261909900767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3.1066860685499065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3.1590459461097367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3.2114058236695664</c:v>
                </c:pt>
                <c:pt idx="185">
                  <c:v>3.2288591161895095</c:v>
                </c:pt>
                <c:pt idx="186">
                  <c:v>3.246312408709453</c:v>
                </c:pt>
                <c:pt idx="187">
                  <c:v>3.2637657012293961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3.351032163829113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3.4033920413889427</c:v>
                </c:pt>
                <c:pt idx="196">
                  <c:v>3.4208453339088858</c:v>
                </c:pt>
                <c:pt idx="197">
                  <c:v>3.4382986264288293</c:v>
                </c:pt>
                <c:pt idx="198">
                  <c:v>3.4557519189487724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3.5604716740684323</c:v>
                </c:pt>
                <c:pt idx="205">
                  <c:v>3.5779249665883754</c:v>
                </c:pt>
                <c:pt idx="206">
                  <c:v>3.595378259108319</c:v>
                </c:pt>
                <c:pt idx="207">
                  <c:v>3.6128315516282621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3.7524578917878086</c:v>
                </c:pt>
                <c:pt idx="216">
                  <c:v>3.7699111843077517</c:v>
                </c:pt>
                <c:pt idx="217">
                  <c:v>3.7873644768276953</c:v>
                </c:pt>
                <c:pt idx="218">
                  <c:v>3.8048177693476384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3.8571776469074681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3.9444441095071849</c:v>
                </c:pt>
                <c:pt idx="227">
                  <c:v>3.961897402027128</c:v>
                </c:pt>
                <c:pt idx="228">
                  <c:v>3.9793506945470716</c:v>
                </c:pt>
                <c:pt idx="229">
                  <c:v>3.9968039870670147</c:v>
                </c:pt>
                <c:pt idx="230">
                  <c:v>4.0142572795869578</c:v>
                </c:pt>
                <c:pt idx="231">
                  <c:v>4.0317105721069009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4.1189770347066181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4.2760566673861078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4.3633231299858242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4.5204027626653138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4.5727626402251431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4.6774823953448035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4.9043751981040664</c:v>
                </c:pt>
                <c:pt idx="282">
                  <c:v>4.9218284906240095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4.9741883681838388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5.0614548307835561</c:v>
                </c:pt>
                <c:pt idx="291">
                  <c:v>5.0789081233034992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5.1312680008633285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5.2185344634630457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5.3058009260627621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5.4628805587422518</c:v>
                </c:pt>
                <c:pt idx="314">
                  <c:v>5.4803338512621949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5.6199601914217414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5.6897733615015147</c:v>
                </c:pt>
                <c:pt idx="327">
                  <c:v>5.7072266540214578</c:v>
                </c:pt>
                <c:pt idx="328">
                  <c:v>5.7246799465414009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5.8293997016610604</c:v>
                </c:pt>
                <c:pt idx="335">
                  <c:v>5.8468529941810043</c:v>
                </c:pt>
                <c:pt idx="336">
                  <c:v>5.8643062867009474</c:v>
                </c:pt>
                <c:pt idx="337">
                  <c:v>5.8817595792208905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5.9515727493006638</c:v>
                </c:pt>
                <c:pt idx="342">
                  <c:v>5.9690260418206069</c:v>
                </c:pt>
                <c:pt idx="343">
                  <c:v>5.98647933434055</c:v>
                </c:pt>
                <c:pt idx="344">
                  <c:v>6.003932626860494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6.1086523819801535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6.1610122595399837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6.2657320146596431</c:v>
                </c:pt>
                <c:pt idx="360">
                  <c:v>6.2831853071795862</c:v>
                </c:pt>
              </c:numCache>
            </c:numRef>
          </c:xVal>
          <c:yVal>
            <c:numRef>
              <c:f>Formulas!$G$10:$G$370</c:f>
              <c:numCache>
                <c:formatCode>General</c:formatCode>
                <c:ptCount val="361"/>
                <c:pt idx="0">
                  <c:v>7.416198487095663</c:v>
                </c:pt>
                <c:pt idx="1">
                  <c:v>7.4163833017458094</c:v>
                </c:pt>
                <c:pt idx="2">
                  <c:v>7.4169374929165199</c:v>
                </c:pt>
                <c:pt idx="3">
                  <c:v>7.4178603027316958</c:v>
                </c:pt>
                <c:pt idx="4">
                  <c:v>7.4191504696065396</c:v>
                </c:pt>
                <c:pt idx="5">
                  <c:v>7.4208062305550779</c:v>
                </c:pt>
                <c:pt idx="6">
                  <c:v>7.4228253244096942</c:v>
                </c:pt>
                <c:pt idx="7">
                  <c:v>7.425204995941729</c:v>
                </c:pt>
                <c:pt idx="8">
                  <c:v>7.4279420008692556</c:v>
                </c:pt>
                <c:pt idx="9">
                  <c:v>7.4310326117351826</c:v>
                </c:pt>
                <c:pt idx="10">
                  <c:v>7.434472624636089</c:v>
                </c:pt>
                <c:pt idx="11">
                  <c:v>7.4382573667794967</c:v>
                </c:pt>
                <c:pt idx="12">
                  <c:v>7.44238170484478</c:v>
                </c:pt>
                <c:pt idx="13">
                  <c:v>7.4468400541205231</c:v>
                </c:pt>
                <c:pt idx="14">
                  <c:v>7.4516263883889691</c:v>
                </c:pt>
                <c:pt idx="15">
                  <c:v>7.456734250526166</c:v>
                </c:pt>
                <c:pt idx="16">
                  <c:v>7.4621567637845887</c:v>
                </c:pt>
                <c:pt idx="17">
                  <c:v>7.4678866437233973</c:v>
                </c:pt>
                <c:pt idx="18">
                  <c:v>7.4739162107500734</c:v>
                </c:pt>
                <c:pt idx="19">
                  <c:v>7.4802374032359262</c:v>
                </c:pt>
                <c:pt idx="20">
                  <c:v>7.4868417911669933</c:v>
                </c:pt>
                <c:pt idx="21">
                  <c:v>7.4937205902910291</c:v>
                </c:pt>
                <c:pt idx="22">
                  <c:v>7.5008646767206821</c:v>
                </c:pt>
                <c:pt idx="23">
                  <c:v>7.5082646019526047</c:v>
                </c:pt>
                <c:pt idx="24">
                  <c:v>7.5159106082619918</c:v>
                </c:pt>
                <c:pt idx="25">
                  <c:v>7.5237926444320999</c:v>
                </c:pt>
                <c:pt idx="26">
                  <c:v>7.5319003817784616</c:v>
                </c:pt>
                <c:pt idx="27">
                  <c:v>7.5402232304278547</c:v>
                </c:pt>
                <c:pt idx="28">
                  <c:v>7.5487503558126523</c:v>
                </c:pt>
                <c:pt idx="29">
                  <c:v>7.5574706953418334</c:v>
                </c:pt>
                <c:pt idx="30">
                  <c:v>7.5663729752107782</c:v>
                </c:pt>
                <c:pt idx="31">
                  <c:v>7.5754457273129141</c:v>
                </c:pt>
                <c:pt idx="32">
                  <c:v>7.5846773062173947</c:v>
                </c:pt>
                <c:pt idx="33">
                  <c:v>7.5940559061781272</c:v>
                </c:pt>
                <c:pt idx="34">
                  <c:v>7.6035695781408084</c:v>
                </c:pt>
                <c:pt idx="35">
                  <c:v>7.613206246715932</c:v>
                </c:pt>
                <c:pt idx="36">
                  <c:v>7.6229537270872072</c:v>
                </c:pt>
                <c:pt idx="37">
                  <c:v>7.6327997418262914</c:v>
                </c:pt>
                <c:pt idx="38">
                  <c:v>7.6427319375862908</c:v>
                </c:pt>
                <c:pt idx="39">
                  <c:v>7.6527379016480159</c:v>
                </c:pt>
                <c:pt idx="40">
                  <c:v>7.6628051782946178</c:v>
                </c:pt>
                <c:pt idx="41">
                  <c:v>7.6729212849917667</c:v>
                </c:pt>
                <c:pt idx="42">
                  <c:v>7.6830737283521859</c:v>
                </c:pt>
                <c:pt idx="43">
                  <c:v>7.6932500198649096</c:v>
                </c:pt>
                <c:pt idx="44">
                  <c:v>7.703437691371219</c:v>
                </c:pt>
                <c:pt idx="45">
                  <c:v>7.713624310270756</c:v>
                </c:pt>
                <c:pt idx="46">
                  <c:v>7.7237974944428247</c:v>
                </c:pt>
                <c:pt idx="47">
                  <c:v>7.733944926869377</c:v>
                </c:pt>
                <c:pt idx="48">
                  <c:v>7.7440543699475946</c:v>
                </c:pt>
                <c:pt idx="49">
                  <c:v>7.7541136794813816</c:v>
                </c:pt>
                <c:pt idx="50">
                  <c:v>7.7641108183423801</c:v>
                </c:pt>
                <c:pt idx="51">
                  <c:v>7.7740338697924338</c:v>
                </c:pt>
                <c:pt idx="52">
                  <c:v>7.7838710504605935</c:v>
                </c:pt>
                <c:pt idx="53">
                  <c:v>7.7936107229689435</c:v>
                </c:pt>
                <c:pt idx="54">
                  <c:v>7.8032414082025721</c:v>
                </c:pt>
                <c:pt idx="55">
                  <c:v>7.8127517972200744</c:v>
                </c:pt>
                <c:pt idx="56">
                  <c:v>7.8221307628018852</c:v>
                </c:pt>
                <c:pt idx="57">
                  <c:v>7.831367370634652</c:v>
                </c:pt>
                <c:pt idx="58">
                  <c:v>7.840450890130672</c:v>
                </c:pt>
                <c:pt idx="59">
                  <c:v>7.8493708048821667</c:v>
                </c:pt>
                <c:pt idx="60">
                  <c:v>7.8581168227508558</c:v>
                </c:pt>
                <c:pt idx="61">
                  <c:v>7.8666788855939345</c:v>
                </c:pt>
                <c:pt idx="62">
                  <c:v>7.8750471786280976</c:v>
                </c:pt>
                <c:pt idx="63">
                  <c:v>7.8832121394337813</c:v>
                </c:pt>
                <c:pt idx="64">
                  <c:v>7.891164466602218</c:v>
                </c:pt>
                <c:pt idx="65">
                  <c:v>7.8988951280283137</c:v>
                </c:pt>
                <c:pt idx="66">
                  <c:v>7.9063953688526647</c:v>
                </c:pt>
                <c:pt idx="67">
                  <c:v>7.9136567190563358</c:v>
                </c:pt>
                <c:pt idx="68">
                  <c:v>7.9206710007122458</c:v>
                </c:pt>
                <c:pt idx="69">
                  <c:v>7.9274303348971964</c:v>
                </c:pt>
                <c:pt idx="70">
                  <c:v>7.9339271482687188</c:v>
                </c:pt>
                <c:pt idx="71">
                  <c:v>7.9401541793110191</c:v>
                </c:pt>
                <c:pt idx="72">
                  <c:v>7.9461044842543611</c:v>
                </c:pt>
                <c:pt idx="73">
                  <c:v>7.9517714426722357</c:v>
                </c:pt>
                <c:pt idx="74">
                  <c:v>7.9571487627606858</c:v>
                </c:pt>
                <c:pt idx="75">
                  <c:v>7.9622304863040716</c:v>
                </c:pt>
                <c:pt idx="76">
                  <c:v>7.9670109933315123</c:v>
                </c:pt>
                <c:pt idx="77">
                  <c:v>7.9714850064681331</c:v>
                </c:pt>
                <c:pt idx="78">
                  <c:v>7.975647594985106</c:v>
                </c:pt>
                <c:pt idx="79">
                  <c:v>7.979494178552331</c:v>
                </c:pt>
                <c:pt idx="80">
                  <c:v>7.9830205306974245</c:v>
                </c:pt>
                <c:pt idx="81">
                  <c:v>7.9862227819744795</c:v>
                </c:pt>
                <c:pt idx="82">
                  <c:v>7.9890974228458642</c:v>
                </c:pt>
                <c:pt idx="83">
                  <c:v>7.99164130628008</c:v>
                </c:pt>
                <c:pt idx="84">
                  <c:v>7.9938516500684527</c:v>
                </c:pt>
                <c:pt idx="85">
                  <c:v>7.9957260388631957</c:v>
                </c:pt>
                <c:pt idx="86">
                  <c:v>7.9972624259390832</c:v>
                </c:pt>
                <c:pt idx="87">
                  <c:v>7.9984591346807061</c:v>
                </c:pt>
                <c:pt idx="88">
                  <c:v>7.999314859797007</c:v>
                </c:pt>
                <c:pt idx="89">
                  <c:v>7.9998286682644606</c:v>
                </c:pt>
                <c:pt idx="90">
                  <c:v>8</c:v>
                </c:pt>
                <c:pt idx="91">
                  <c:v>7.9998286682644606</c:v>
                </c:pt>
                <c:pt idx="92">
                  <c:v>7.999314859797007</c:v>
                </c:pt>
                <c:pt idx="93">
                  <c:v>7.9984591346807061</c:v>
                </c:pt>
                <c:pt idx="94">
                  <c:v>7.9972624259390832</c:v>
                </c:pt>
                <c:pt idx="95">
                  <c:v>7.9957260388631957</c:v>
                </c:pt>
                <c:pt idx="96">
                  <c:v>7.9938516500684527</c:v>
                </c:pt>
                <c:pt idx="97">
                  <c:v>7.99164130628008</c:v>
                </c:pt>
                <c:pt idx="98">
                  <c:v>7.9890974228458642</c:v>
                </c:pt>
                <c:pt idx="99">
                  <c:v>7.9862227819744795</c:v>
                </c:pt>
                <c:pt idx="100">
                  <c:v>7.9830205306974245</c:v>
                </c:pt>
                <c:pt idx="101">
                  <c:v>7.979494178552331</c:v>
                </c:pt>
                <c:pt idx="102">
                  <c:v>7.975647594985106</c:v>
                </c:pt>
                <c:pt idx="103">
                  <c:v>7.9714850064681331</c:v>
                </c:pt>
                <c:pt idx="104">
                  <c:v>7.9670109933315123</c:v>
                </c:pt>
                <c:pt idx="105">
                  <c:v>7.9622304863040716</c:v>
                </c:pt>
                <c:pt idx="106">
                  <c:v>7.9571487627606858</c:v>
                </c:pt>
                <c:pt idx="107">
                  <c:v>7.9517714426722357</c:v>
                </c:pt>
                <c:pt idx="108">
                  <c:v>7.9461044842543611</c:v>
                </c:pt>
                <c:pt idx="109">
                  <c:v>7.9401541793110191</c:v>
                </c:pt>
                <c:pt idx="110">
                  <c:v>7.9339271482687188</c:v>
                </c:pt>
                <c:pt idx="111">
                  <c:v>7.9274303348971964</c:v>
                </c:pt>
                <c:pt idx="112">
                  <c:v>7.9206710007122458</c:v>
                </c:pt>
                <c:pt idx="113">
                  <c:v>7.9136567190563358</c:v>
                </c:pt>
                <c:pt idx="114">
                  <c:v>7.9063953688526647</c:v>
                </c:pt>
                <c:pt idx="115">
                  <c:v>7.8988951280283137</c:v>
                </c:pt>
                <c:pt idx="116">
                  <c:v>7.891164466602218</c:v>
                </c:pt>
                <c:pt idx="117">
                  <c:v>7.8832121394337813</c:v>
                </c:pt>
                <c:pt idx="118">
                  <c:v>7.8750471786280976</c:v>
                </c:pt>
                <c:pt idx="119">
                  <c:v>7.8666788855939345</c:v>
                </c:pt>
                <c:pt idx="120">
                  <c:v>7.8581168227508558</c:v>
                </c:pt>
                <c:pt idx="121">
                  <c:v>7.8493708048821667</c:v>
                </c:pt>
                <c:pt idx="122">
                  <c:v>7.840450890130672</c:v>
                </c:pt>
                <c:pt idx="123">
                  <c:v>7.831367370634652</c:v>
                </c:pt>
                <c:pt idx="124">
                  <c:v>7.8221307628018852</c:v>
                </c:pt>
                <c:pt idx="125">
                  <c:v>7.8127517972200744</c:v>
                </c:pt>
                <c:pt idx="126">
                  <c:v>7.8032414082025721</c:v>
                </c:pt>
                <c:pt idx="127">
                  <c:v>7.7936107229689435</c:v>
                </c:pt>
                <c:pt idx="128">
                  <c:v>7.7838710504605935</c:v>
                </c:pt>
                <c:pt idx="129">
                  <c:v>7.7740338697924338</c:v>
                </c:pt>
                <c:pt idx="130">
                  <c:v>7.7641108183423801</c:v>
                </c:pt>
                <c:pt idx="131">
                  <c:v>7.7541136794813816</c:v>
                </c:pt>
                <c:pt idx="132">
                  <c:v>7.7440543699475946</c:v>
                </c:pt>
                <c:pt idx="133">
                  <c:v>7.733944926869377</c:v>
                </c:pt>
                <c:pt idx="134">
                  <c:v>7.7237974944428247</c:v>
                </c:pt>
                <c:pt idx="135">
                  <c:v>7.713624310270756</c:v>
                </c:pt>
                <c:pt idx="136">
                  <c:v>7.703437691371219</c:v>
                </c:pt>
                <c:pt idx="137">
                  <c:v>7.6932500198649096</c:v>
                </c:pt>
                <c:pt idx="138">
                  <c:v>7.6830737283521859</c:v>
                </c:pt>
                <c:pt idx="139">
                  <c:v>7.6729212849917667</c:v>
                </c:pt>
                <c:pt idx="140">
                  <c:v>7.6628051782946178</c:v>
                </c:pt>
                <c:pt idx="141">
                  <c:v>7.6527379016480159</c:v>
                </c:pt>
                <c:pt idx="142">
                  <c:v>7.6427319375862908</c:v>
                </c:pt>
                <c:pt idx="143">
                  <c:v>7.6327997418262914</c:v>
                </c:pt>
                <c:pt idx="144">
                  <c:v>7.6229537270872072</c:v>
                </c:pt>
                <c:pt idx="145">
                  <c:v>7.613206246715932</c:v>
                </c:pt>
                <c:pt idx="146">
                  <c:v>7.6035695781408084</c:v>
                </c:pt>
                <c:pt idx="147">
                  <c:v>7.5940559061781272</c:v>
                </c:pt>
                <c:pt idx="148">
                  <c:v>7.5846773062173947</c:v>
                </c:pt>
                <c:pt idx="149">
                  <c:v>7.5754457273129141</c:v>
                </c:pt>
                <c:pt idx="150">
                  <c:v>7.5663729752107782</c:v>
                </c:pt>
                <c:pt idx="151">
                  <c:v>7.5574706953418334</c:v>
                </c:pt>
                <c:pt idx="152">
                  <c:v>7.5487503558126523</c:v>
                </c:pt>
                <c:pt idx="153">
                  <c:v>7.5402232304278547</c:v>
                </c:pt>
                <c:pt idx="154">
                  <c:v>7.5319003817784616</c:v>
                </c:pt>
                <c:pt idx="155">
                  <c:v>7.5237926444320999</c:v>
                </c:pt>
                <c:pt idx="156">
                  <c:v>7.5159106082619918</c:v>
                </c:pt>
                <c:pt idx="157">
                  <c:v>7.5082646019526047</c:v>
                </c:pt>
                <c:pt idx="158">
                  <c:v>7.500864676720683</c:v>
                </c:pt>
                <c:pt idx="159">
                  <c:v>7.4937205902910291</c:v>
                </c:pt>
                <c:pt idx="160">
                  <c:v>7.4868417911669933</c:v>
                </c:pt>
                <c:pt idx="161">
                  <c:v>7.4802374032359262</c:v>
                </c:pt>
                <c:pt idx="162">
                  <c:v>7.4739162107500734</c:v>
                </c:pt>
                <c:pt idx="163">
                  <c:v>7.4678866437233973</c:v>
                </c:pt>
                <c:pt idx="164">
                  <c:v>7.4621567637845887</c:v>
                </c:pt>
                <c:pt idx="165">
                  <c:v>7.456734250526166</c:v>
                </c:pt>
                <c:pt idx="166">
                  <c:v>7.4516263883889691</c:v>
                </c:pt>
                <c:pt idx="167">
                  <c:v>7.4468400541205231</c:v>
                </c:pt>
                <c:pt idx="168">
                  <c:v>7.44238170484478</c:v>
                </c:pt>
                <c:pt idx="169">
                  <c:v>7.4382573667794967</c:v>
                </c:pt>
                <c:pt idx="170">
                  <c:v>7.434472624636089</c:v>
                </c:pt>
                <c:pt idx="171">
                  <c:v>7.4310326117351826</c:v>
                </c:pt>
                <c:pt idx="172">
                  <c:v>7.4279420008692556</c:v>
                </c:pt>
                <c:pt idx="173">
                  <c:v>7.425204995941729</c:v>
                </c:pt>
                <c:pt idx="174">
                  <c:v>7.4228253244096942</c:v>
                </c:pt>
                <c:pt idx="175">
                  <c:v>7.4208062305550779</c:v>
                </c:pt>
                <c:pt idx="176">
                  <c:v>7.4191504696065396</c:v>
                </c:pt>
                <c:pt idx="177">
                  <c:v>7.4178603027316958</c:v>
                </c:pt>
                <c:pt idx="178">
                  <c:v>7.4169374929165199</c:v>
                </c:pt>
                <c:pt idx="179">
                  <c:v>7.4163833017458094</c:v>
                </c:pt>
                <c:pt idx="180">
                  <c:v>7.416198487095663</c:v>
                </c:pt>
                <c:pt idx="181">
                  <c:v>7.4163833017458094</c:v>
                </c:pt>
                <c:pt idx="182">
                  <c:v>7.4169374929165199</c:v>
                </c:pt>
                <c:pt idx="183">
                  <c:v>7.4178603027316958</c:v>
                </c:pt>
                <c:pt idx="184">
                  <c:v>7.4191504696065396</c:v>
                </c:pt>
                <c:pt idx="185">
                  <c:v>7.4208062305550779</c:v>
                </c:pt>
                <c:pt idx="186">
                  <c:v>7.4228253244096942</c:v>
                </c:pt>
                <c:pt idx="187">
                  <c:v>7.425204995941729</c:v>
                </c:pt>
                <c:pt idx="188">
                  <c:v>7.4279420008692556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8800"/>
        <c:axId val="292539360"/>
      </c:scatterChart>
      <c:valAx>
        <c:axId val="29253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539360"/>
        <c:crosses val="autoZero"/>
        <c:crossBetween val="midCat"/>
      </c:valAx>
      <c:valAx>
        <c:axId val="29253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538800"/>
        <c:crosses val="autoZero"/>
        <c:crossBetween val="midCat"/>
      </c:valAx>
      <c:spPr>
        <a:solidFill>
          <a:srgbClr val="FF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2</xdr:row>
      <xdr:rowOff>19050</xdr:rowOff>
    </xdr:from>
    <xdr:to>
      <xdr:col>6</xdr:col>
      <xdr:colOff>323850</xdr:colOff>
      <xdr:row>24</xdr:row>
      <xdr:rowOff>95250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390525</xdr:colOff>
      <xdr:row>6</xdr:row>
      <xdr:rowOff>66675</xdr:rowOff>
    </xdr:from>
    <xdr:to>
      <xdr:col>10</xdr:col>
      <xdr:colOff>314325</xdr:colOff>
      <xdr:row>21</xdr:row>
      <xdr:rowOff>133350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552450</xdr:colOff>
      <xdr:row>1</xdr:row>
      <xdr:rowOff>28575</xdr:rowOff>
    </xdr:from>
    <xdr:to>
      <xdr:col>12</xdr:col>
      <xdr:colOff>104775</xdr:colOff>
      <xdr:row>13</xdr:row>
      <xdr:rowOff>57150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90500"/>
          <a:ext cx="771525" cy="20383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590550</xdr:colOff>
      <xdr:row>17</xdr:row>
      <xdr:rowOff>95250</xdr:rowOff>
    </xdr:from>
    <xdr:to>
      <xdr:col>14</xdr:col>
      <xdr:colOff>238125</xdr:colOff>
      <xdr:row>20</xdr:row>
      <xdr:rowOff>9525</xdr:rowOff>
    </xdr:to>
    <xdr:pic>
      <xdr:nvPicPr>
        <xdr:cNvPr id="2054" name="Picture 6" descr="demoslogo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6550" y="2914650"/>
          <a:ext cx="208597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571500</xdr:colOff>
      <xdr:row>19</xdr:row>
      <xdr:rowOff>142875</xdr:rowOff>
    </xdr:from>
    <xdr:to>
      <xdr:col>14</xdr:col>
      <xdr:colOff>209550</xdr:colOff>
      <xdr:row>22</xdr:row>
      <xdr:rowOff>57150</xdr:rowOff>
    </xdr:to>
    <xdr:pic>
      <xdr:nvPicPr>
        <xdr:cNvPr id="2055" name="Picture 7" descr="demosurl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3286125"/>
          <a:ext cx="20764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182564</xdr:colOff>
      <xdr:row>23</xdr:row>
      <xdr:rowOff>166687</xdr:rowOff>
    </xdr:from>
    <xdr:to>
      <xdr:col>14</xdr:col>
      <xdr:colOff>190502</xdr:colOff>
      <xdr:row>26</xdr:row>
      <xdr:rowOff>127000</xdr:rowOff>
    </xdr:to>
    <xdr:sp macro="" textlink="">
      <xdr:nvSpPr>
        <xdr:cNvPr id="2" name="Rounded Rectangle 1"/>
        <xdr:cNvSpPr/>
      </xdr:nvSpPr>
      <xdr:spPr>
        <a:xfrm>
          <a:off x="6905627" y="3921125"/>
          <a:ext cx="1841500" cy="452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147204</xdr:colOff>
      <xdr:row>13</xdr:row>
      <xdr:rowOff>103910</xdr:rowOff>
    </xdr:from>
    <xdr:to>
      <xdr:col>10</xdr:col>
      <xdr:colOff>476250</xdr:colOff>
      <xdr:row>16</xdr:row>
      <xdr:rowOff>129886</xdr:rowOff>
    </xdr:to>
    <xdr:sp macro="" textlink="">
      <xdr:nvSpPr>
        <xdr:cNvPr id="2" name="Down Arrow 1"/>
        <xdr:cNvSpPr/>
      </xdr:nvSpPr>
      <xdr:spPr>
        <a:xfrm>
          <a:off x="6208568" y="2242705"/>
          <a:ext cx="329046" cy="51954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abSelected="1" zoomScale="120" zoomScaleNormal="120" workbookViewId="0">
      <selection activeCell="J27" sqref="J27:K27"/>
    </sheetView>
  </sheetViews>
  <sheetFormatPr defaultRowHeight="12.75" x14ac:dyDescent="0.2"/>
  <sheetData>
    <row r="1" spans="1:18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8" x14ac:dyDescent="0.25">
      <c r="A2" s="3"/>
      <c r="B2" s="4" t="s">
        <v>22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2">
      <c r="A4" s="3"/>
      <c r="B4" s="3"/>
      <c r="C4" s="3"/>
      <c r="D4" s="3"/>
      <c r="E4" s="3"/>
      <c r="F4" s="3"/>
      <c r="G4" s="3"/>
      <c r="H4" s="5" t="s">
        <v>19</v>
      </c>
      <c r="I4" s="5"/>
      <c r="J4" s="5"/>
      <c r="K4" s="3"/>
      <c r="L4" s="3"/>
      <c r="M4" s="3"/>
      <c r="N4" s="3"/>
      <c r="O4" s="3"/>
      <c r="P4" s="3"/>
      <c r="Q4" s="3"/>
      <c r="R4" s="3"/>
    </row>
    <row r="5" spans="1:18" x14ac:dyDescent="0.2">
      <c r="A5" s="3"/>
      <c r="B5" s="3"/>
      <c r="C5" s="3"/>
      <c r="D5" s="3"/>
      <c r="E5" s="3"/>
      <c r="F5" s="3"/>
      <c r="G5" s="3"/>
      <c r="H5" s="5" t="s">
        <v>20</v>
      </c>
      <c r="I5" s="5"/>
      <c r="J5" s="5"/>
      <c r="K5" s="3"/>
      <c r="L5" s="3"/>
      <c r="M5" s="3"/>
      <c r="N5" s="3"/>
      <c r="O5" s="3"/>
      <c r="P5" s="3"/>
      <c r="Q5" s="3"/>
      <c r="R5" s="3"/>
    </row>
    <row r="6" spans="1:18" x14ac:dyDescent="0.2">
      <c r="A6" s="3"/>
      <c r="B6" s="3"/>
      <c r="C6" s="3"/>
      <c r="D6" s="3"/>
      <c r="E6" s="3"/>
      <c r="F6" s="3"/>
      <c r="G6" s="3"/>
      <c r="H6" s="5" t="s">
        <v>21</v>
      </c>
      <c r="I6" s="5"/>
      <c r="J6" s="5"/>
      <c r="K6" s="3"/>
      <c r="L6" s="3"/>
      <c r="M6" s="3"/>
      <c r="N6" s="3"/>
      <c r="O6" s="3"/>
      <c r="P6" s="3"/>
      <c r="Q6" s="3"/>
      <c r="R6" s="3"/>
    </row>
    <row r="7" spans="1:18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x14ac:dyDescent="0.2">
      <c r="A11" s="3"/>
      <c r="B11" s="3"/>
      <c r="C11" s="3"/>
      <c r="D11" s="3"/>
      <c r="E11" s="3"/>
      <c r="F11" s="3"/>
      <c r="G11" s="3"/>
      <c r="H11" s="5"/>
      <c r="I11" s="5"/>
      <c r="J11" s="5"/>
      <c r="K11" s="3"/>
      <c r="L11" s="3"/>
      <c r="M11" s="3"/>
      <c r="N11" s="3"/>
      <c r="O11" s="3"/>
      <c r="P11" s="3"/>
      <c r="Q11" s="3"/>
      <c r="R11" s="3"/>
    </row>
    <row r="12" spans="1:18" x14ac:dyDescent="0.2">
      <c r="A12" s="3"/>
      <c r="B12" s="3"/>
      <c r="C12" s="3"/>
      <c r="D12" s="3"/>
      <c r="E12" s="3"/>
      <c r="F12" s="3"/>
      <c r="G12" s="3"/>
      <c r="H12" s="5"/>
      <c r="I12" s="5"/>
      <c r="J12" s="5"/>
      <c r="K12" s="3"/>
      <c r="L12" s="3"/>
      <c r="M12" s="3"/>
      <c r="N12" s="3"/>
      <c r="O12" s="3"/>
      <c r="P12" s="3"/>
      <c r="Q12" s="3"/>
      <c r="R12" s="3"/>
    </row>
    <row r="13" spans="1:18" x14ac:dyDescent="0.2">
      <c r="A13" s="3"/>
      <c r="B13" s="3"/>
      <c r="C13" s="3"/>
      <c r="D13" s="3"/>
      <c r="E13" s="3"/>
      <c r="F13" s="3"/>
      <c r="G13" s="3"/>
      <c r="H13" s="5"/>
      <c r="I13" s="5"/>
      <c r="J13" s="5"/>
      <c r="K13" s="3"/>
      <c r="L13" s="3"/>
      <c r="M13" s="3"/>
      <c r="N13" s="3"/>
      <c r="O13" s="3"/>
      <c r="P13" s="3"/>
      <c r="Q13" s="3"/>
      <c r="R13" s="3"/>
    </row>
    <row r="14" spans="1:18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5" t="s">
        <v>18</v>
      </c>
      <c r="M15" s="3"/>
      <c r="N15" s="3"/>
      <c r="O15" s="3"/>
      <c r="P15" s="3"/>
      <c r="Q15" s="3"/>
      <c r="R15" s="3"/>
    </row>
    <row r="16" spans="1:18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5"/>
      <c r="M16" s="3"/>
      <c r="N16" s="3"/>
      <c r="O16" s="3"/>
      <c r="P16" s="3"/>
      <c r="Q16" s="3"/>
      <c r="R16" s="3"/>
    </row>
    <row r="17" spans="1:18" ht="15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7" t="s">
        <v>32</v>
      </c>
      <c r="M17" s="3"/>
      <c r="N17" s="3"/>
      <c r="O17" s="3"/>
      <c r="P17" s="3"/>
      <c r="Q17" s="3"/>
      <c r="R17" s="3"/>
    </row>
    <row r="18" spans="1:18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ht="13.5" thickBot="1" x14ac:dyDescent="0.25">
      <c r="A24" s="3"/>
      <c r="B24" s="3"/>
      <c r="C24" s="3"/>
      <c r="D24" s="3"/>
      <c r="E24" s="3"/>
      <c r="F24" s="3"/>
      <c r="G24" s="3"/>
      <c r="H24" s="21" t="s">
        <v>29</v>
      </c>
      <c r="I24" s="22"/>
      <c r="J24" s="21" t="s">
        <v>30</v>
      </c>
      <c r="K24" s="22"/>
      <c r="L24" s="3"/>
      <c r="M24" s="3"/>
      <c r="N24" s="3"/>
      <c r="O24" s="3"/>
      <c r="P24" s="3"/>
      <c r="Q24" s="3"/>
      <c r="R24" s="3"/>
    </row>
    <row r="25" spans="1:18" x14ac:dyDescent="0.2">
      <c r="A25" s="3"/>
      <c r="B25" s="3"/>
      <c r="C25" s="3"/>
      <c r="D25" s="3"/>
      <c r="E25" s="3"/>
      <c r="F25" s="3"/>
      <c r="G25" s="3"/>
      <c r="H25" s="10" t="s">
        <v>27</v>
      </c>
      <c r="I25" s="11">
        <f>Formulas!E1</f>
        <v>188</v>
      </c>
      <c r="J25" s="12" t="s">
        <v>4</v>
      </c>
      <c r="K25" s="13">
        <f>Formulas!C6</f>
        <v>3</v>
      </c>
      <c r="L25" s="3"/>
      <c r="M25" s="3"/>
      <c r="N25" s="3"/>
      <c r="O25" s="3"/>
      <c r="P25" s="3"/>
      <c r="Q25" s="3"/>
      <c r="R25" s="3"/>
    </row>
    <row r="26" spans="1:18" x14ac:dyDescent="0.2">
      <c r="A26" s="3"/>
      <c r="B26" s="3"/>
      <c r="C26" s="3"/>
      <c r="D26" s="3"/>
      <c r="E26" s="3"/>
      <c r="F26" s="3"/>
      <c r="G26" s="3"/>
      <c r="H26" s="14"/>
      <c r="I26" s="9"/>
      <c r="J26" s="9"/>
      <c r="K26" s="15"/>
      <c r="L26" s="3"/>
      <c r="M26" s="3"/>
      <c r="N26" s="3"/>
      <c r="O26" s="3"/>
      <c r="P26" s="3"/>
      <c r="Q26" s="3"/>
      <c r="R26" s="3"/>
    </row>
    <row r="27" spans="1:18" ht="13.5" thickBot="1" x14ac:dyDescent="0.25">
      <c r="A27" s="3"/>
      <c r="B27" s="3"/>
      <c r="C27" s="3"/>
      <c r="D27" s="3"/>
      <c r="E27" s="3"/>
      <c r="F27" s="3"/>
      <c r="G27" s="3"/>
      <c r="H27" s="17" t="s">
        <v>31</v>
      </c>
      <c r="I27" s="18"/>
      <c r="J27" s="19" t="s">
        <v>28</v>
      </c>
      <c r="K27" s="20"/>
      <c r="L27" s="3"/>
      <c r="M27" s="3"/>
      <c r="N27" s="3"/>
      <c r="O27" s="3"/>
      <c r="P27" s="3"/>
      <c r="Q27" s="3"/>
      <c r="R27" s="3"/>
    </row>
    <row r="28" spans="1:18" x14ac:dyDescent="0.2">
      <c r="A28" s="3"/>
      <c r="B28" s="5"/>
      <c r="C28" s="5"/>
      <c r="D28" s="5"/>
      <c r="E28" s="5"/>
      <c r="F28" s="3"/>
      <c r="G28" s="3"/>
      <c r="H28" s="3"/>
      <c r="I28" s="5"/>
      <c r="J28" s="5"/>
      <c r="K28" s="3"/>
      <c r="L28" s="3"/>
      <c r="M28" s="3"/>
      <c r="N28" s="3"/>
      <c r="O28" s="3"/>
      <c r="P28" s="3"/>
      <c r="Q28" s="3"/>
      <c r="R28" s="3"/>
    </row>
    <row r="29" spans="1:18" x14ac:dyDescent="0.2">
      <c r="A29" s="3"/>
      <c r="B29" s="5"/>
      <c r="C29" s="5"/>
      <c r="D29" s="5"/>
      <c r="E29" s="5"/>
      <c r="F29" s="3"/>
      <c r="G29" s="3"/>
      <c r="H29" s="3"/>
      <c r="I29" s="5"/>
      <c r="J29" s="5"/>
      <c r="K29" s="3"/>
      <c r="L29" s="3"/>
      <c r="M29" s="3"/>
      <c r="N29" s="3"/>
      <c r="O29" s="3"/>
      <c r="P29" s="3"/>
      <c r="Q29" s="3"/>
      <c r="R29" s="3"/>
    </row>
    <row r="30" spans="1:18" x14ac:dyDescent="0.2">
      <c r="A30" s="3"/>
      <c r="B30" s="5"/>
      <c r="C30" s="5"/>
      <c r="D30" s="5"/>
      <c r="E30" s="5"/>
      <c r="F30" s="7"/>
      <c r="G30" s="3"/>
      <c r="H30" s="3"/>
      <c r="I30" s="5"/>
      <c r="J30" s="5"/>
      <c r="K30" s="3"/>
      <c r="L30" s="3"/>
      <c r="M30" s="3"/>
      <c r="N30" s="3"/>
      <c r="O30" s="3"/>
      <c r="P30" s="3"/>
      <c r="Q30" s="3"/>
      <c r="R30" s="3"/>
    </row>
    <row r="31" spans="1:18" x14ac:dyDescent="0.2">
      <c r="A31" s="3"/>
      <c r="B31" s="5"/>
      <c r="C31" s="5"/>
      <c r="D31" s="5"/>
      <c r="E31" s="5"/>
      <c r="F31" s="8"/>
      <c r="G31" s="3"/>
      <c r="H31" s="3"/>
      <c r="I31" s="5"/>
      <c r="J31" s="5"/>
      <c r="K31" s="3"/>
      <c r="L31" s="3"/>
      <c r="M31" s="3"/>
      <c r="N31" s="3"/>
      <c r="O31" s="3"/>
      <c r="P31" s="3"/>
      <c r="Q31" s="3"/>
      <c r="R31" s="3"/>
    </row>
    <row r="32" spans="1:18" x14ac:dyDescent="0.2">
      <c r="A32" s="3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5"/>
      <c r="N32" s="5"/>
      <c r="O32" s="3"/>
      <c r="P32" s="3"/>
      <c r="Q32" s="3"/>
      <c r="R32" s="3"/>
    </row>
    <row r="33" spans="1:18" ht="15.75" x14ac:dyDescent="0.25">
      <c r="A33" s="3"/>
      <c r="B33" s="6"/>
      <c r="C33" s="6"/>
      <c r="D33" s="6"/>
      <c r="E33" s="5"/>
      <c r="F33" s="8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x14ac:dyDescent="0.2">
      <c r="A34" s="3"/>
      <c r="B34" s="5"/>
      <c r="C34" s="5"/>
      <c r="D34" s="5"/>
      <c r="E34" s="5"/>
      <c r="F34" s="7"/>
      <c r="G34" s="3"/>
      <c r="H34" s="3"/>
      <c r="I34" s="3"/>
      <c r="J34" s="3"/>
      <c r="K34" s="3"/>
      <c r="L34" s="5"/>
      <c r="M34" s="5"/>
      <c r="N34" s="3"/>
      <c r="O34" s="3"/>
      <c r="P34" s="3"/>
      <c r="Q34" s="3"/>
      <c r="R34" s="3"/>
    </row>
    <row r="35" spans="1:18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</sheetData>
  <mergeCells count="4">
    <mergeCell ref="H27:I27"/>
    <mergeCell ref="J27:K27"/>
    <mergeCell ref="H24:I24"/>
    <mergeCell ref="J24:K24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70"/>
  <sheetViews>
    <sheetView zoomScale="110" zoomScaleNormal="110" workbookViewId="0">
      <selection activeCell="E1" sqref="E1"/>
    </sheetView>
  </sheetViews>
  <sheetFormatPr defaultRowHeight="12.75" x14ac:dyDescent="0.2"/>
  <cols>
    <col min="1" max="16384" width="9.140625" style="16"/>
  </cols>
  <sheetData>
    <row r="1" spans="1:11" x14ac:dyDescent="0.2">
      <c r="E1" s="16">
        <v>188</v>
      </c>
      <c r="H1" s="16" t="s">
        <v>11</v>
      </c>
      <c r="I1" s="16" t="s">
        <v>12</v>
      </c>
    </row>
    <row r="2" spans="1:11" x14ac:dyDescent="0.2">
      <c r="A2" s="16" t="s">
        <v>24</v>
      </c>
      <c r="E2" s="16" t="s">
        <v>6</v>
      </c>
      <c r="G2" s="1" t="s">
        <v>13</v>
      </c>
      <c r="H2" s="16">
        <v>0</v>
      </c>
      <c r="I2" s="16">
        <f>F4+SQRT((C4+2*C6)^2-(F3)^2)</f>
        <v>7.8454613037494525</v>
      </c>
    </row>
    <row r="3" spans="1:11" x14ac:dyDescent="0.2">
      <c r="A3" s="16" t="s">
        <v>25</v>
      </c>
      <c r="E3" s="16" t="s">
        <v>9</v>
      </c>
      <c r="F3" s="16">
        <f>VLOOKUP(E1,WW,3)</f>
        <v>-2.9708042062247109</v>
      </c>
      <c r="G3" s="1" t="s">
        <v>14</v>
      </c>
      <c r="H3" s="16">
        <f>F3</f>
        <v>-2.9708042062247109</v>
      </c>
      <c r="I3" s="16">
        <f>F4</f>
        <v>0.41751930288019656</v>
      </c>
    </row>
    <row r="4" spans="1:11" x14ac:dyDescent="0.2">
      <c r="B4" s="1" t="s">
        <v>5</v>
      </c>
      <c r="C4" s="2">
        <v>2</v>
      </c>
      <c r="E4" s="16" t="s">
        <v>10</v>
      </c>
      <c r="F4" s="16">
        <f>VLOOKUP(E1,WW,4)</f>
        <v>0.41751930288019656</v>
      </c>
    </row>
    <row r="5" spans="1:11" x14ac:dyDescent="0.2">
      <c r="B5" s="16" t="s">
        <v>23</v>
      </c>
      <c r="C5" s="16" t="s">
        <v>6</v>
      </c>
    </row>
    <row r="6" spans="1:11" x14ac:dyDescent="0.2">
      <c r="B6" s="1" t="s">
        <v>4</v>
      </c>
      <c r="C6" s="2">
        <v>3</v>
      </c>
    </row>
    <row r="8" spans="1:11" x14ac:dyDescent="0.2">
      <c r="C8" s="16" t="s">
        <v>15</v>
      </c>
      <c r="D8" s="16" t="s">
        <v>16</v>
      </c>
    </row>
    <row r="9" spans="1:11" ht="12.75" customHeight="1" x14ac:dyDescent="0.2">
      <c r="A9" s="16" t="s">
        <v>0</v>
      </c>
      <c r="B9" s="16" t="s">
        <v>26</v>
      </c>
      <c r="C9" s="16" t="s">
        <v>1</v>
      </c>
      <c r="D9" s="16" t="s">
        <v>2</v>
      </c>
      <c r="E9" s="16" t="s">
        <v>3</v>
      </c>
      <c r="F9" s="16" t="s">
        <v>7</v>
      </c>
      <c r="G9" s="16" t="s">
        <v>8</v>
      </c>
      <c r="I9" s="16" t="s">
        <v>17</v>
      </c>
      <c r="K9" s="23" t="s">
        <v>33</v>
      </c>
    </row>
    <row r="10" spans="1:11" x14ac:dyDescent="0.2">
      <c r="A10" s="16">
        <v>0</v>
      </c>
      <c r="B10" s="16">
        <f>-RADIANS(A10)</f>
        <v>0</v>
      </c>
      <c r="C10" s="16">
        <f>(C$6)*COS(B10)</f>
        <v>3</v>
      </c>
      <c r="D10" s="16">
        <f>(C$6)*SIN(B10)</f>
        <v>0</v>
      </c>
      <c r="E10" s="16">
        <f>D$10+(2*C$6+C$4)*COS(ASIN(C10/(2*C$6+C$4)))</f>
        <v>7.416198487095663</v>
      </c>
      <c r="F10" s="16">
        <f>IF(A10&lt;=$E$1,C10,NA())</f>
        <v>3</v>
      </c>
      <c r="G10" s="16">
        <f>IF(A10&lt;=$E$1,E10,NA())</f>
        <v>7.416198487095663</v>
      </c>
      <c r="I10" s="16">
        <f>RADIANS(A10)</f>
        <v>0</v>
      </c>
      <c r="K10" s="23"/>
    </row>
    <row r="11" spans="1:11" x14ac:dyDescent="0.2">
      <c r="A11" s="16">
        <v>1</v>
      </c>
      <c r="B11" s="16">
        <f t="shared" ref="B11:B74" si="0">-RADIANS(A11)</f>
        <v>-1.7453292519943295E-2</v>
      </c>
      <c r="C11" s="16">
        <f t="shared" ref="C11:C74" si="1">(C$6)*COS(B11)</f>
        <v>2.999543085469174</v>
      </c>
      <c r="D11" s="16">
        <f t="shared" ref="D11:D74" si="2">(C$6)*SIN(B11)</f>
        <v>-5.2357219311850535E-2</v>
      </c>
      <c r="E11" s="16">
        <f>D$10+(2*C$6+C$4)*COS(ASIN(C11/(2*C$6+C$4)))</f>
        <v>7.4163833017458094</v>
      </c>
      <c r="F11" s="16">
        <f t="shared" ref="F11:F74" si="3">IF(A11&lt;=$E$1,C11,NA())</f>
        <v>2.999543085469174</v>
      </c>
      <c r="G11" s="16">
        <f t="shared" ref="G11:G74" si="4">IF(A11&lt;=$E$1,E11,NA())</f>
        <v>7.4163833017458094</v>
      </c>
      <c r="I11" s="16">
        <f t="shared" ref="I11:I74" si="5">RADIANS(A11)</f>
        <v>1.7453292519943295E-2</v>
      </c>
      <c r="K11" s="23"/>
    </row>
    <row r="12" spans="1:11" x14ac:dyDescent="0.2">
      <c r="A12" s="16">
        <v>2</v>
      </c>
      <c r="B12" s="16">
        <f t="shared" si="0"/>
        <v>-3.4906585039886591E-2</v>
      </c>
      <c r="C12" s="16">
        <f t="shared" si="1"/>
        <v>2.9981724810572872</v>
      </c>
      <c r="D12" s="16">
        <f t="shared" si="2"/>
        <v>-0.1046984901075029</v>
      </c>
      <c r="E12" s="16">
        <f t="shared" ref="E12:E75" si="6">D$10+(2*C$6+C$4)*COS(ASIN(C12/(2*C$6+C$4)))</f>
        <v>7.4169374929165199</v>
      </c>
      <c r="F12" s="16">
        <f t="shared" si="3"/>
        <v>2.9981724810572872</v>
      </c>
      <c r="G12" s="16">
        <f t="shared" si="4"/>
        <v>7.4169374929165199</v>
      </c>
      <c r="I12" s="16">
        <f t="shared" si="5"/>
        <v>3.4906585039886591E-2</v>
      </c>
      <c r="K12" s="23"/>
    </row>
    <row r="13" spans="1:11" x14ac:dyDescent="0.2">
      <c r="A13" s="16">
        <v>3</v>
      </c>
      <c r="B13" s="16">
        <f t="shared" si="0"/>
        <v>-5.235987755982989E-2</v>
      </c>
      <c r="C13" s="16">
        <f t="shared" si="1"/>
        <v>2.9958886042637216</v>
      </c>
      <c r="D13" s="16">
        <f t="shared" si="2"/>
        <v>-0.15700786872883149</v>
      </c>
      <c r="E13" s="16">
        <f t="shared" si="6"/>
        <v>7.4178603027316958</v>
      </c>
      <c r="F13" s="16">
        <f t="shared" si="3"/>
        <v>2.9958886042637216</v>
      </c>
      <c r="G13" s="16">
        <f t="shared" si="4"/>
        <v>7.4178603027316958</v>
      </c>
      <c r="I13" s="16">
        <f t="shared" si="5"/>
        <v>5.235987755982989E-2</v>
      </c>
      <c r="K13" s="23"/>
    </row>
    <row r="14" spans="1:11" x14ac:dyDescent="0.2">
      <c r="A14" s="16">
        <v>4</v>
      </c>
      <c r="B14" s="16">
        <f t="shared" si="0"/>
        <v>-6.9813170079773182E-2</v>
      </c>
      <c r="C14" s="16">
        <f t="shared" si="1"/>
        <v>2.9926921507794724</v>
      </c>
      <c r="D14" s="16">
        <f t="shared" si="2"/>
        <v>-0.20926942123237591</v>
      </c>
      <c r="E14" s="16">
        <f t="shared" si="6"/>
        <v>7.4191504696065396</v>
      </c>
      <c r="F14" s="16">
        <f t="shared" si="3"/>
        <v>2.9926921507794724</v>
      </c>
      <c r="G14" s="16">
        <f t="shared" si="4"/>
        <v>7.4191504696065396</v>
      </c>
      <c r="I14" s="16">
        <f t="shared" si="5"/>
        <v>6.9813170079773182E-2</v>
      </c>
    </row>
    <row r="15" spans="1:11" x14ac:dyDescent="0.2">
      <c r="A15" s="16">
        <v>5</v>
      </c>
      <c r="B15" s="16">
        <f t="shared" si="0"/>
        <v>-8.7266462599716474E-2</v>
      </c>
      <c r="C15" s="16">
        <f t="shared" si="1"/>
        <v>2.9885840942752369</v>
      </c>
      <c r="D15" s="16">
        <f t="shared" si="2"/>
        <v>-0.26146722824297453</v>
      </c>
      <c r="E15" s="16">
        <f t="shared" si="6"/>
        <v>7.4208062305550779</v>
      </c>
      <c r="F15" s="16">
        <f t="shared" si="3"/>
        <v>2.9885840942752369</v>
      </c>
      <c r="G15" s="16">
        <f t="shared" si="4"/>
        <v>7.4208062305550779</v>
      </c>
      <c r="I15" s="16">
        <f t="shared" si="5"/>
        <v>8.7266462599716474E-2</v>
      </c>
    </row>
    <row r="16" spans="1:11" x14ac:dyDescent="0.2">
      <c r="A16" s="16">
        <v>6</v>
      </c>
      <c r="B16" s="16">
        <f t="shared" si="0"/>
        <v>-0.10471975511965978</v>
      </c>
      <c r="C16" s="16">
        <f t="shared" si="1"/>
        <v>2.9835656861048196</v>
      </c>
      <c r="D16" s="16">
        <f t="shared" si="2"/>
        <v>-0.31358538980296041</v>
      </c>
      <c r="E16" s="16">
        <f t="shared" si="6"/>
        <v>7.4228253244096942</v>
      </c>
      <c r="F16" s="16">
        <f t="shared" si="3"/>
        <v>2.9835656861048196</v>
      </c>
      <c r="G16" s="16">
        <f t="shared" si="4"/>
        <v>7.4228253244096942</v>
      </c>
      <c r="I16" s="16">
        <f t="shared" si="5"/>
        <v>0.10471975511965978</v>
      </c>
    </row>
    <row r="17" spans="1:9" x14ac:dyDescent="0.2">
      <c r="A17" s="16">
        <v>7</v>
      </c>
      <c r="B17" s="16">
        <f t="shared" si="0"/>
        <v>-0.12217304763960307</v>
      </c>
      <c r="C17" s="16">
        <f t="shared" si="1"/>
        <v>2.9776384549239658</v>
      </c>
      <c r="D17" s="16">
        <f t="shared" si="2"/>
        <v>-0.36560803021544241</v>
      </c>
      <c r="E17" s="16">
        <f t="shared" si="6"/>
        <v>7.425204995941729</v>
      </c>
      <c r="F17" s="16">
        <f t="shared" si="3"/>
        <v>2.9776384549239658</v>
      </c>
      <c r="G17" s="16">
        <f t="shared" si="4"/>
        <v>7.425204995941729</v>
      </c>
      <c r="I17" s="16">
        <f t="shared" si="5"/>
        <v>0.12217304763960307</v>
      </c>
    </row>
    <row r="18" spans="1:9" x14ac:dyDescent="0.2">
      <c r="A18" s="16">
        <v>8</v>
      </c>
      <c r="B18" s="16">
        <f t="shared" si="0"/>
        <v>-0.13962634015954636</v>
      </c>
      <c r="C18" s="16">
        <f t="shared" si="1"/>
        <v>2.9708042062247113</v>
      </c>
      <c r="D18" s="16">
        <f t="shared" si="2"/>
        <v>-0.41751930288019634</v>
      </c>
      <c r="E18" s="16">
        <f t="shared" si="6"/>
        <v>7.4279420008692556</v>
      </c>
      <c r="F18" s="16">
        <f t="shared" si="3"/>
        <v>2.9708042062247113</v>
      </c>
      <c r="G18" s="16">
        <f t="shared" si="4"/>
        <v>7.4279420008692556</v>
      </c>
      <c r="I18" s="16">
        <f t="shared" si="5"/>
        <v>0.13962634015954636</v>
      </c>
    </row>
    <row r="19" spans="1:9" x14ac:dyDescent="0.2">
      <c r="A19" s="16">
        <v>9</v>
      </c>
      <c r="B19" s="16">
        <f t="shared" si="0"/>
        <v>-0.15707963267948966</v>
      </c>
      <c r="C19" s="16">
        <f t="shared" si="1"/>
        <v>2.9630650217854133</v>
      </c>
      <c r="D19" s="16">
        <f t="shared" si="2"/>
        <v>-0.46930339512069263</v>
      </c>
      <c r="E19" s="16">
        <f t="shared" si="6"/>
        <v>7.4310326117351826</v>
      </c>
      <c r="F19" s="16">
        <f t="shared" si="3"/>
        <v>2.9630650217854133</v>
      </c>
      <c r="G19" s="16">
        <f t="shared" si="4"/>
        <v>7.4310326117351826</v>
      </c>
      <c r="I19" s="16">
        <f t="shared" si="5"/>
        <v>0.15707963267948966</v>
      </c>
    </row>
    <row r="20" spans="1:9" x14ac:dyDescent="0.2">
      <c r="A20" s="16">
        <v>10</v>
      </c>
      <c r="B20" s="16">
        <f t="shared" si="0"/>
        <v>-0.17453292519943295</v>
      </c>
      <c r="C20" s="16">
        <f t="shared" si="1"/>
        <v>2.9544232590366239</v>
      </c>
      <c r="D20" s="16">
        <f t="shared" si="2"/>
        <v>-0.52094453300079102</v>
      </c>
      <c r="E20" s="16">
        <f t="shared" si="6"/>
        <v>7.434472624636089</v>
      </c>
      <c r="F20" s="16">
        <f t="shared" si="3"/>
        <v>2.9544232590366239</v>
      </c>
      <c r="G20" s="16">
        <f t="shared" si="4"/>
        <v>7.434472624636089</v>
      </c>
      <c r="I20" s="16">
        <f t="shared" si="5"/>
        <v>0.17453292519943295</v>
      </c>
    </row>
    <row r="21" spans="1:9" x14ac:dyDescent="0.2">
      <c r="A21" s="16">
        <v>11</v>
      </c>
      <c r="B21" s="16">
        <f t="shared" si="0"/>
        <v>-0.19198621771937624</v>
      </c>
      <c r="C21" s="16">
        <f t="shared" si="1"/>
        <v>2.9448815503429921</v>
      </c>
      <c r="D21" s="16">
        <f t="shared" si="2"/>
        <v>-0.57242698612963439</v>
      </c>
      <c r="E21" s="16">
        <f t="shared" si="6"/>
        <v>7.4382573667794967</v>
      </c>
      <c r="F21" s="16">
        <f t="shared" si="3"/>
        <v>2.9448815503429921</v>
      </c>
      <c r="G21" s="16">
        <f t="shared" si="4"/>
        <v>7.4382573667794967</v>
      </c>
      <c r="I21" s="16">
        <f t="shared" si="5"/>
        <v>0.19198621771937624</v>
      </c>
    </row>
    <row r="22" spans="1:9" x14ac:dyDescent="0.2">
      <c r="A22" s="16">
        <v>12</v>
      </c>
      <c r="B22" s="16">
        <f t="shared" si="0"/>
        <v>-0.20943951023931956</v>
      </c>
      <c r="C22" s="16">
        <f t="shared" si="1"/>
        <v>2.9344428022014171</v>
      </c>
      <c r="D22" s="16">
        <f t="shared" si="2"/>
        <v>-0.62373507245327797</v>
      </c>
      <c r="E22" s="16">
        <f t="shared" si="6"/>
        <v>7.44238170484478</v>
      </c>
      <c r="F22" s="16">
        <f t="shared" si="3"/>
        <v>2.9344428022014171</v>
      </c>
      <c r="G22" s="16">
        <f t="shared" si="4"/>
        <v>7.44238170484478</v>
      </c>
      <c r="I22" s="16">
        <f t="shared" si="5"/>
        <v>0.20943951023931956</v>
      </c>
    </row>
    <row r="23" spans="1:9" x14ac:dyDescent="0.2">
      <c r="A23" s="16">
        <v>13</v>
      </c>
      <c r="B23" s="16">
        <f t="shared" si="0"/>
        <v>-0.22689280275926285</v>
      </c>
      <c r="C23" s="16">
        <f t="shared" si="1"/>
        <v>2.9231101943557056</v>
      </c>
      <c r="D23" s="16">
        <f t="shared" si="2"/>
        <v>-0.67485316303159504</v>
      </c>
      <c r="E23" s="16">
        <f t="shared" si="6"/>
        <v>7.4468400541205231</v>
      </c>
      <c r="F23" s="16">
        <f t="shared" si="3"/>
        <v>2.9231101943557056</v>
      </c>
      <c r="G23" s="16">
        <f t="shared" si="4"/>
        <v>7.4468400541205231</v>
      </c>
      <c r="I23" s="16">
        <f t="shared" si="5"/>
        <v>0.22689280275926285</v>
      </c>
    </row>
    <row r="24" spans="1:9" x14ac:dyDescent="0.2">
      <c r="A24" s="16">
        <v>14</v>
      </c>
      <c r="B24" s="16">
        <f t="shared" si="0"/>
        <v>-0.24434609527920614</v>
      </c>
      <c r="C24" s="16">
        <f t="shared" si="1"/>
        <v>2.9108871788279895</v>
      </c>
      <c r="D24" s="16">
        <f t="shared" si="2"/>
        <v>-0.72576568679900322</v>
      </c>
      <c r="E24" s="16">
        <f t="shared" si="6"/>
        <v>7.4516263883889691</v>
      </c>
      <c r="F24" s="16">
        <f t="shared" si="3"/>
        <v>2.9108871788279895</v>
      </c>
      <c r="G24" s="16">
        <f t="shared" si="4"/>
        <v>7.4516263883889691</v>
      </c>
      <c r="I24" s="16">
        <f t="shared" si="5"/>
        <v>0.24434609527920614</v>
      </c>
    </row>
    <row r="25" spans="1:9" x14ac:dyDescent="0.2">
      <c r="A25" s="16">
        <v>15</v>
      </c>
      <c r="B25" s="16">
        <f t="shared" si="0"/>
        <v>-0.26179938779914941</v>
      </c>
      <c r="C25" s="16">
        <f t="shared" si="1"/>
        <v>2.897777478867205</v>
      </c>
      <c r="D25" s="16">
        <f t="shared" si="2"/>
        <v>-0.77645713530756222</v>
      </c>
      <c r="E25" s="16">
        <f t="shared" si="6"/>
        <v>7.456734250526166</v>
      </c>
      <c r="F25" s="16">
        <f t="shared" si="3"/>
        <v>2.897777478867205</v>
      </c>
      <c r="G25" s="16">
        <f t="shared" si="4"/>
        <v>7.456734250526166</v>
      </c>
      <c r="I25" s="16">
        <f t="shared" si="5"/>
        <v>0.26179938779914941</v>
      </c>
    </row>
    <row r="26" spans="1:9" x14ac:dyDescent="0.2">
      <c r="A26" s="16">
        <v>16</v>
      </c>
      <c r="B26" s="16">
        <f t="shared" si="0"/>
        <v>-0.27925268031909273</v>
      </c>
      <c r="C26" s="16">
        <f t="shared" si="1"/>
        <v>2.8837850878149567</v>
      </c>
      <c r="D26" s="16">
        <f t="shared" si="2"/>
        <v>-0.82691206745099755</v>
      </c>
      <c r="E26" s="16">
        <f t="shared" si="6"/>
        <v>7.4621567637845887</v>
      </c>
      <c r="F26" s="16">
        <f t="shared" si="3"/>
        <v>2.8837850878149567</v>
      </c>
      <c r="G26" s="16">
        <f t="shared" si="4"/>
        <v>7.4621567637845887</v>
      </c>
      <c r="I26" s="16">
        <f t="shared" si="5"/>
        <v>0.27925268031909273</v>
      </c>
    </row>
    <row r="27" spans="1:9" x14ac:dyDescent="0.2">
      <c r="A27" s="16">
        <v>17</v>
      </c>
      <c r="B27" s="16">
        <f t="shared" si="0"/>
        <v>-0.29670597283903605</v>
      </c>
      <c r="C27" s="16">
        <f t="shared" si="1"/>
        <v>2.8689142678891062</v>
      </c>
      <c r="D27" s="16">
        <f t="shared" si="2"/>
        <v>-0.87711511416821031</v>
      </c>
      <c r="E27" s="16">
        <f t="shared" si="6"/>
        <v>7.4678866437233973</v>
      </c>
      <c r="F27" s="16">
        <f t="shared" si="3"/>
        <v>2.8689142678891062</v>
      </c>
      <c r="G27" s="16">
        <f t="shared" si="4"/>
        <v>7.4678866437233973</v>
      </c>
      <c r="I27" s="16">
        <f t="shared" si="5"/>
        <v>0.29670597283903605</v>
      </c>
    </row>
    <row r="28" spans="1:9" x14ac:dyDescent="0.2">
      <c r="A28" s="16">
        <v>18</v>
      </c>
      <c r="B28" s="16">
        <f t="shared" si="0"/>
        <v>-0.31415926535897931</v>
      </c>
      <c r="C28" s="16">
        <f t="shared" si="1"/>
        <v>2.8531695488854605</v>
      </c>
      <c r="D28" s="16">
        <f t="shared" si="2"/>
        <v>-0.92705098312484213</v>
      </c>
      <c r="E28" s="16">
        <f t="shared" si="6"/>
        <v>7.4739162107500734</v>
      </c>
      <c r="F28" s="16">
        <f t="shared" si="3"/>
        <v>2.8531695488854605</v>
      </c>
      <c r="G28" s="16">
        <f t="shared" si="4"/>
        <v>7.4739162107500734</v>
      </c>
      <c r="I28" s="16">
        <f t="shared" si="5"/>
        <v>0.31415926535897931</v>
      </c>
    </row>
    <row r="29" spans="1:9" x14ac:dyDescent="0.2">
      <c r="A29" s="16">
        <v>19</v>
      </c>
      <c r="B29" s="16">
        <f t="shared" si="0"/>
        <v>-0.33161255787892263</v>
      </c>
      <c r="C29" s="16">
        <f t="shared" si="1"/>
        <v>2.8365557267979504</v>
      </c>
      <c r="D29" s="16">
        <f t="shared" si="2"/>
        <v>-0.9767044633714701</v>
      </c>
      <c r="E29" s="16">
        <f t="shared" si="6"/>
        <v>7.4802374032359262</v>
      </c>
      <c r="F29" s="16">
        <f t="shared" si="3"/>
        <v>2.8365557267979504</v>
      </c>
      <c r="G29" s="16">
        <f t="shared" si="4"/>
        <v>7.4802374032359262</v>
      </c>
      <c r="I29" s="16">
        <f t="shared" si="5"/>
        <v>0.33161255787892263</v>
      </c>
    </row>
    <row r="30" spans="1:9" x14ac:dyDescent="0.2">
      <c r="A30" s="16">
        <v>20</v>
      </c>
      <c r="B30" s="16">
        <f t="shared" si="0"/>
        <v>-0.3490658503988659</v>
      </c>
      <c r="C30" s="16">
        <f t="shared" si="1"/>
        <v>2.8190778623577253</v>
      </c>
      <c r="D30" s="16">
        <f t="shared" si="2"/>
        <v>-1.0260604299770062</v>
      </c>
      <c r="E30" s="16">
        <f t="shared" si="6"/>
        <v>7.4868417911669933</v>
      </c>
      <c r="F30" s="16">
        <f t="shared" si="3"/>
        <v>2.8190778623577253</v>
      </c>
      <c r="G30" s="16">
        <f t="shared" si="4"/>
        <v>7.4868417911669933</v>
      </c>
      <c r="I30" s="16">
        <f t="shared" si="5"/>
        <v>0.3490658503988659</v>
      </c>
    </row>
    <row r="31" spans="1:9" x14ac:dyDescent="0.2">
      <c r="A31" s="16">
        <v>21</v>
      </c>
      <c r="B31" s="16">
        <f t="shared" si="0"/>
        <v>-0.36651914291880922</v>
      </c>
      <c r="C31" s="16">
        <f t="shared" si="1"/>
        <v>2.8007412794916053</v>
      </c>
      <c r="D31" s="16">
        <f t="shared" si="2"/>
        <v>-1.0751038486359008</v>
      </c>
      <c r="E31" s="16">
        <f t="shared" si="6"/>
        <v>7.4937205902910291</v>
      </c>
      <c r="F31" s="16">
        <f t="shared" si="3"/>
        <v>2.8007412794916053</v>
      </c>
      <c r="G31" s="16">
        <f t="shared" si="4"/>
        <v>7.4937205902910291</v>
      </c>
      <c r="I31" s="16">
        <f t="shared" si="5"/>
        <v>0.36651914291880922</v>
      </c>
    </row>
    <row r="32" spans="1:9" x14ac:dyDescent="0.2">
      <c r="A32" s="16">
        <v>22</v>
      </c>
      <c r="B32" s="16">
        <f t="shared" si="0"/>
        <v>-0.38397243543875248</v>
      </c>
      <c r="C32" s="16">
        <f t="shared" si="1"/>
        <v>2.7815515637003623</v>
      </c>
      <c r="D32" s="16">
        <f t="shared" si="2"/>
        <v>-1.1238197802477361</v>
      </c>
      <c r="E32" s="16">
        <f t="shared" si="6"/>
        <v>7.5008646767206821</v>
      </c>
      <c r="F32" s="16">
        <f t="shared" si="3"/>
        <v>2.7815515637003623</v>
      </c>
      <c r="G32" s="16">
        <f t="shared" si="4"/>
        <v>7.5008646767206821</v>
      </c>
      <c r="I32" s="16">
        <f t="shared" si="5"/>
        <v>0.38397243543875248</v>
      </c>
    </row>
    <row r="33" spans="1:9" x14ac:dyDescent="0.2">
      <c r="A33" s="16">
        <v>23</v>
      </c>
      <c r="B33" s="16">
        <f t="shared" si="0"/>
        <v>-0.4014257279586958</v>
      </c>
      <c r="C33" s="16">
        <f t="shared" si="1"/>
        <v>2.761514560357321</v>
      </c>
      <c r="D33" s="16">
        <f t="shared" si="2"/>
        <v>-1.1721933854678213</v>
      </c>
      <c r="E33" s="16">
        <f t="shared" si="6"/>
        <v>7.5082646019526047</v>
      </c>
      <c r="F33" s="16">
        <f t="shared" si="3"/>
        <v>2.761514560357321</v>
      </c>
      <c r="G33" s="16">
        <f t="shared" si="4"/>
        <v>7.5082646019526047</v>
      </c>
      <c r="I33" s="16">
        <f t="shared" si="5"/>
        <v>0.4014257279586958</v>
      </c>
    </row>
    <row r="34" spans="1:9" x14ac:dyDescent="0.2">
      <c r="A34" s="16">
        <v>24</v>
      </c>
      <c r="B34" s="16">
        <f t="shared" si="0"/>
        <v>-0.41887902047863912</v>
      </c>
      <c r="C34" s="16">
        <f t="shared" si="1"/>
        <v>2.7406363729278027</v>
      </c>
      <c r="D34" s="16">
        <f t="shared" si="2"/>
        <v>-1.2202099292274007</v>
      </c>
      <c r="E34" s="16">
        <f t="shared" si="6"/>
        <v>7.5159106082619918</v>
      </c>
      <c r="F34" s="16">
        <f t="shared" si="3"/>
        <v>2.7406363729278027</v>
      </c>
      <c r="G34" s="16">
        <f t="shared" si="4"/>
        <v>7.5159106082619918</v>
      </c>
      <c r="I34" s="16">
        <f t="shared" si="5"/>
        <v>0.41887902047863912</v>
      </c>
    </row>
    <row r="35" spans="1:9" x14ac:dyDescent="0.2">
      <c r="A35" s="16">
        <v>25</v>
      </c>
      <c r="B35" s="16">
        <f t="shared" si="0"/>
        <v>-0.43633231299858238</v>
      </c>
      <c r="C35" s="16">
        <f t="shared" si="1"/>
        <v>2.7189233611099497</v>
      </c>
      <c r="D35" s="16">
        <f t="shared" si="2"/>
        <v>-1.2678547852220983</v>
      </c>
      <c r="E35" s="16">
        <f t="shared" si="6"/>
        <v>7.5237926444320999</v>
      </c>
      <c r="F35" s="16">
        <f t="shared" si="3"/>
        <v>2.7189233611099497</v>
      </c>
      <c r="G35" s="16">
        <f t="shared" si="4"/>
        <v>7.5237926444320999</v>
      </c>
      <c r="I35" s="16">
        <f t="shared" si="5"/>
        <v>0.43633231299858238</v>
      </c>
    </row>
    <row r="36" spans="1:9" x14ac:dyDescent="0.2">
      <c r="A36" s="16">
        <v>26</v>
      </c>
      <c r="B36" s="16">
        <f t="shared" si="0"/>
        <v>-0.4537856055185257</v>
      </c>
      <c r="C36" s="16">
        <f t="shared" si="1"/>
        <v>2.6963821388975013</v>
      </c>
      <c r="D36" s="16">
        <f t="shared" si="2"/>
        <v>-1.3151134403672322</v>
      </c>
      <c r="E36" s="16">
        <f t="shared" si="6"/>
        <v>7.5319003817784616</v>
      </c>
      <c r="F36" s="16">
        <f t="shared" si="3"/>
        <v>2.6963821388975013</v>
      </c>
      <c r="G36" s="16">
        <f t="shared" si="4"/>
        <v>7.5319003817784616</v>
      </c>
      <c r="I36" s="16">
        <f t="shared" si="5"/>
        <v>0.4537856055185257</v>
      </c>
    </row>
    <row r="37" spans="1:9" x14ac:dyDescent="0.2">
      <c r="A37" s="16">
        <v>27</v>
      </c>
      <c r="B37" s="16">
        <f t="shared" si="0"/>
        <v>-0.47123889803846897</v>
      </c>
      <c r="C37" s="16">
        <f t="shared" si="1"/>
        <v>2.6730195725651038</v>
      </c>
      <c r="D37" s="16">
        <f t="shared" si="2"/>
        <v>-1.3619714992186402</v>
      </c>
      <c r="E37" s="16">
        <f t="shared" si="6"/>
        <v>7.5402232304278547</v>
      </c>
      <c r="F37" s="16">
        <f t="shared" si="3"/>
        <v>2.6730195725651038</v>
      </c>
      <c r="G37" s="16">
        <f t="shared" si="4"/>
        <v>7.5402232304278547</v>
      </c>
      <c r="I37" s="16">
        <f t="shared" si="5"/>
        <v>0.47123889803846897</v>
      </c>
    </row>
    <row r="38" spans="1:9" x14ac:dyDescent="0.2">
      <c r="A38" s="16">
        <v>28</v>
      </c>
      <c r="B38" s="16">
        <f t="shared" si="0"/>
        <v>-0.48869219055841229</v>
      </c>
      <c r="C38" s="16">
        <f t="shared" si="1"/>
        <v>2.648842778576781</v>
      </c>
      <c r="D38" s="16">
        <f t="shared" si="2"/>
        <v>-1.4084146883576725</v>
      </c>
      <c r="E38" s="16">
        <f t="shared" si="6"/>
        <v>7.5487503558126523</v>
      </c>
      <c r="F38" s="16">
        <f t="shared" si="3"/>
        <v>2.648842778576781</v>
      </c>
      <c r="G38" s="16">
        <f t="shared" si="4"/>
        <v>7.5487503558126523</v>
      </c>
      <c r="I38" s="16">
        <f t="shared" si="5"/>
        <v>0.48869219055841229</v>
      </c>
    </row>
    <row r="39" spans="1:9" x14ac:dyDescent="0.2">
      <c r="A39" s="16">
        <v>29</v>
      </c>
      <c r="B39" s="16">
        <f t="shared" si="0"/>
        <v>-0.50614548307835561</v>
      </c>
      <c r="C39" s="16">
        <f t="shared" si="1"/>
        <v>2.623859121418187</v>
      </c>
      <c r="D39" s="16">
        <f t="shared" si="2"/>
        <v>-1.4544288607390112</v>
      </c>
      <c r="E39" s="16">
        <f t="shared" si="6"/>
        <v>7.5574706953418334</v>
      </c>
      <c r="F39" s="16">
        <f t="shared" si="3"/>
        <v>2.623859121418187</v>
      </c>
      <c r="G39" s="16">
        <f t="shared" si="4"/>
        <v>7.5574706953418334</v>
      </c>
      <c r="I39" s="16">
        <f t="shared" si="5"/>
        <v>0.50614548307835561</v>
      </c>
    </row>
    <row r="40" spans="1:9" x14ac:dyDescent="0.2">
      <c r="A40" s="16">
        <v>30</v>
      </c>
      <c r="B40" s="16">
        <f t="shared" si="0"/>
        <v>-0.52359877559829882</v>
      </c>
      <c r="C40" s="16">
        <f t="shared" si="1"/>
        <v>2.598076211353316</v>
      </c>
      <c r="D40" s="16">
        <f t="shared" si="2"/>
        <v>-1.4999999999999998</v>
      </c>
      <c r="E40" s="16">
        <f t="shared" si="6"/>
        <v>7.5663729752107782</v>
      </c>
      <c r="F40" s="16">
        <f t="shared" si="3"/>
        <v>2.598076211353316</v>
      </c>
      <c r="G40" s="16">
        <f t="shared" si="4"/>
        <v>7.5663729752107782</v>
      </c>
      <c r="I40" s="16">
        <f t="shared" si="5"/>
        <v>0.52359877559829882</v>
      </c>
    </row>
    <row r="41" spans="1:9" x14ac:dyDescent="0.2">
      <c r="A41" s="16">
        <v>31</v>
      </c>
      <c r="B41" s="16">
        <f t="shared" si="0"/>
        <v>-0.54105206811824214</v>
      </c>
      <c r="C41" s="16">
        <f t="shared" si="1"/>
        <v>2.5715019021063368</v>
      </c>
      <c r="D41" s="16">
        <f t="shared" si="2"/>
        <v>-1.5451142247301624</v>
      </c>
      <c r="E41" s="16">
        <f t="shared" si="6"/>
        <v>7.5754457273129141</v>
      </c>
      <c r="F41" s="16">
        <f t="shared" si="3"/>
        <v>2.5715019021063368</v>
      </c>
      <c r="G41" s="16">
        <f t="shared" si="4"/>
        <v>7.5754457273129141</v>
      </c>
      <c r="I41" s="16">
        <f t="shared" si="5"/>
        <v>0.54105206811824214</v>
      </c>
    </row>
    <row r="42" spans="1:9" x14ac:dyDescent="0.2">
      <c r="A42" s="16">
        <v>32</v>
      </c>
      <c r="B42" s="16">
        <f t="shared" si="0"/>
        <v>-0.55850536063818546</v>
      </c>
      <c r="C42" s="16">
        <f t="shared" si="1"/>
        <v>2.544144288469278</v>
      </c>
      <c r="D42" s="16">
        <f t="shared" si="2"/>
        <v>-1.5897577926996147</v>
      </c>
      <c r="E42" s="16">
        <f t="shared" si="6"/>
        <v>7.5846773062173947</v>
      </c>
      <c r="F42" s="16">
        <f t="shared" si="3"/>
        <v>2.544144288469278</v>
      </c>
      <c r="G42" s="16">
        <f t="shared" si="4"/>
        <v>7.5846773062173947</v>
      </c>
      <c r="I42" s="16">
        <f t="shared" si="5"/>
        <v>0.55850536063818546</v>
      </c>
    </row>
    <row r="43" spans="1:9" x14ac:dyDescent="0.2">
      <c r="A43" s="16">
        <v>33</v>
      </c>
      <c r="B43" s="16">
        <f t="shared" si="0"/>
        <v>-0.57595865315812877</v>
      </c>
      <c r="C43" s="16">
        <f t="shared" si="1"/>
        <v>2.5160117038362722</v>
      </c>
      <c r="D43" s="16">
        <f t="shared" si="2"/>
        <v>-1.6339171050450814</v>
      </c>
      <c r="E43" s="16">
        <f t="shared" si="6"/>
        <v>7.5940559061781272</v>
      </c>
      <c r="F43" s="16">
        <f t="shared" si="3"/>
        <v>2.5160117038362722</v>
      </c>
      <c r="G43" s="16">
        <f t="shared" si="4"/>
        <v>7.5940559061781272</v>
      </c>
      <c r="I43" s="16">
        <f t="shared" si="5"/>
        <v>0.57595865315812877</v>
      </c>
    </row>
    <row r="44" spans="1:9" x14ac:dyDescent="0.2">
      <c r="A44" s="16">
        <v>34</v>
      </c>
      <c r="B44" s="16">
        <f t="shared" si="0"/>
        <v>-0.59341194567807209</v>
      </c>
      <c r="C44" s="16">
        <f t="shared" si="1"/>
        <v>2.4871127176651249</v>
      </c>
      <c r="D44" s="16">
        <f t="shared" si="2"/>
        <v>-1.6775787104122406</v>
      </c>
      <c r="E44" s="16">
        <f t="shared" si="6"/>
        <v>7.6035695781408084</v>
      </c>
      <c r="F44" s="16">
        <f t="shared" si="3"/>
        <v>2.4871127176651249</v>
      </c>
      <c r="G44" s="16">
        <f t="shared" si="4"/>
        <v>7.6035695781408084</v>
      </c>
      <c r="I44" s="16">
        <f t="shared" si="5"/>
        <v>0.59341194567807209</v>
      </c>
    </row>
    <row r="45" spans="1:9" x14ac:dyDescent="0.2">
      <c r="A45" s="16">
        <v>35</v>
      </c>
      <c r="B45" s="16">
        <f t="shared" si="0"/>
        <v>-0.6108652381980153</v>
      </c>
      <c r="C45" s="16">
        <f t="shared" si="1"/>
        <v>2.4574561328669753</v>
      </c>
      <c r="D45" s="16">
        <f t="shared" si="2"/>
        <v>-1.7207293090531381</v>
      </c>
      <c r="E45" s="16">
        <f t="shared" si="6"/>
        <v>7.613206246715932</v>
      </c>
      <c r="F45" s="16">
        <f t="shared" si="3"/>
        <v>2.4574561328669753</v>
      </c>
      <c r="G45" s="16">
        <f t="shared" si="4"/>
        <v>7.613206246715932</v>
      </c>
      <c r="I45" s="16">
        <f t="shared" si="5"/>
        <v>0.6108652381980153</v>
      </c>
    </row>
    <row r="46" spans="1:9" x14ac:dyDescent="0.2">
      <c r="A46" s="16">
        <v>36</v>
      </c>
      <c r="B46" s="16">
        <f t="shared" si="0"/>
        <v>-0.62831853071795862</v>
      </c>
      <c r="C46" s="16">
        <f t="shared" si="1"/>
        <v>2.4270509831248424</v>
      </c>
      <c r="D46" s="16">
        <f t="shared" si="2"/>
        <v>-1.7633557568774194</v>
      </c>
      <c r="E46" s="16">
        <f t="shared" si="6"/>
        <v>7.6229537270872072</v>
      </c>
      <c r="F46" s="16">
        <f t="shared" si="3"/>
        <v>2.4270509831248424</v>
      </c>
      <c r="G46" s="16">
        <f t="shared" si="4"/>
        <v>7.6229537270872072</v>
      </c>
      <c r="I46" s="16">
        <f t="shared" si="5"/>
        <v>0.62831853071795862</v>
      </c>
    </row>
    <row r="47" spans="1:9" x14ac:dyDescent="0.2">
      <c r="A47" s="16">
        <v>37</v>
      </c>
      <c r="B47" s="16">
        <f t="shared" si="0"/>
        <v>-0.64577182323790194</v>
      </c>
      <c r="C47" s="16">
        <f t="shared" si="1"/>
        <v>2.3959065301418785</v>
      </c>
      <c r="D47" s="16">
        <f t="shared" si="2"/>
        <v>-1.8054450694561448</v>
      </c>
      <c r="E47" s="16">
        <f t="shared" si="6"/>
        <v>7.6327997418262914</v>
      </c>
      <c r="F47" s="16">
        <f t="shared" si="3"/>
        <v>2.3959065301418785</v>
      </c>
      <c r="G47" s="16">
        <f t="shared" si="4"/>
        <v>7.6327997418262914</v>
      </c>
      <c r="I47" s="16">
        <f t="shared" si="5"/>
        <v>0.64577182323790194</v>
      </c>
    </row>
    <row r="48" spans="1:9" x14ac:dyDescent="0.2">
      <c r="A48" s="16">
        <v>38</v>
      </c>
      <c r="B48" s="16">
        <f t="shared" si="0"/>
        <v>-0.66322511575784526</v>
      </c>
      <c r="C48" s="16">
        <f t="shared" si="1"/>
        <v>2.3640322608201658</v>
      </c>
      <c r="D48" s="16">
        <f t="shared" si="2"/>
        <v>-1.846984425976975</v>
      </c>
      <c r="E48" s="16">
        <f t="shared" si="6"/>
        <v>7.6427319375862908</v>
      </c>
      <c r="F48" s="16">
        <f t="shared" si="3"/>
        <v>2.3640322608201658</v>
      </c>
      <c r="G48" s="16">
        <f t="shared" si="4"/>
        <v>7.6427319375862908</v>
      </c>
      <c r="I48" s="16">
        <f t="shared" si="5"/>
        <v>0.66322511575784526</v>
      </c>
    </row>
    <row r="49" spans="1:9" x14ac:dyDescent="0.2">
      <c r="A49" s="16">
        <v>39</v>
      </c>
      <c r="B49" s="16">
        <f t="shared" si="0"/>
        <v>-0.68067840827778847</v>
      </c>
      <c r="C49" s="16">
        <f t="shared" si="1"/>
        <v>2.3314378843709127</v>
      </c>
      <c r="D49" s="16">
        <f t="shared" si="2"/>
        <v>-1.8879611731495123</v>
      </c>
      <c r="E49" s="16">
        <f t="shared" si="6"/>
        <v>7.6527379016480159</v>
      </c>
      <c r="F49" s="16">
        <f t="shared" si="3"/>
        <v>2.3314378843709127</v>
      </c>
      <c r="G49" s="16">
        <f t="shared" si="4"/>
        <v>7.6527379016480159</v>
      </c>
      <c r="I49" s="16">
        <f t="shared" si="5"/>
        <v>0.68067840827778847</v>
      </c>
    </row>
    <row r="50" spans="1:9" x14ac:dyDescent="0.2">
      <c r="A50" s="16">
        <v>40</v>
      </c>
      <c r="B50" s="16">
        <f t="shared" si="0"/>
        <v>-0.69813170079773179</v>
      </c>
      <c r="C50" s="16">
        <f t="shared" si="1"/>
        <v>2.2981333293569342</v>
      </c>
      <c r="D50" s="16">
        <f t="shared" si="2"/>
        <v>-1.9283628290596178</v>
      </c>
      <c r="E50" s="16">
        <f t="shared" si="6"/>
        <v>7.6628051782946178</v>
      </c>
      <c r="F50" s="16">
        <f t="shared" si="3"/>
        <v>2.2981333293569342</v>
      </c>
      <c r="G50" s="16">
        <f t="shared" si="4"/>
        <v>7.6628051782946178</v>
      </c>
      <c r="I50" s="16">
        <f t="shared" si="5"/>
        <v>0.69813170079773179</v>
      </c>
    </row>
    <row r="51" spans="1:9" x14ac:dyDescent="0.2">
      <c r="A51" s="16">
        <v>41</v>
      </c>
      <c r="B51" s="16">
        <f t="shared" si="0"/>
        <v>-0.71558499331767511</v>
      </c>
      <c r="C51" s="16">
        <f t="shared" si="1"/>
        <v>2.2641287406683159</v>
      </c>
      <c r="D51" s="16">
        <f t="shared" si="2"/>
        <v>-1.9681770869715218</v>
      </c>
      <c r="E51" s="16">
        <f t="shared" si="6"/>
        <v>7.6729212849917667</v>
      </c>
      <c r="F51" s="16">
        <f t="shared" si="3"/>
        <v>2.2641287406683159</v>
      </c>
      <c r="G51" s="16">
        <f t="shared" si="4"/>
        <v>7.6729212849917667</v>
      </c>
      <c r="I51" s="16">
        <f t="shared" si="5"/>
        <v>0.71558499331767511</v>
      </c>
    </row>
    <row r="52" spans="1:9" x14ac:dyDescent="0.2">
      <c r="A52" s="16">
        <v>42</v>
      </c>
      <c r="B52" s="16">
        <f t="shared" si="0"/>
        <v>-0.73303828583761843</v>
      </c>
      <c r="C52" s="16">
        <f t="shared" si="1"/>
        <v>2.229434476432183</v>
      </c>
      <c r="D52" s="16">
        <f t="shared" si="2"/>
        <v>-2.0073918190765747</v>
      </c>
      <c r="E52" s="16">
        <f t="shared" si="6"/>
        <v>7.6830737283521859</v>
      </c>
      <c r="F52" s="16">
        <f t="shared" si="3"/>
        <v>2.229434476432183</v>
      </c>
      <c r="G52" s="16">
        <f t="shared" si="4"/>
        <v>7.6830737283521859</v>
      </c>
      <c r="I52" s="16">
        <f t="shared" si="5"/>
        <v>0.73303828583761843</v>
      </c>
    </row>
    <row r="53" spans="1:9" x14ac:dyDescent="0.2">
      <c r="A53" s="16">
        <v>43</v>
      </c>
      <c r="B53" s="16">
        <f t="shared" si="0"/>
        <v>-0.75049157835756175</v>
      </c>
      <c r="C53" s="16">
        <f t="shared" si="1"/>
        <v>2.1940611048575116</v>
      </c>
      <c r="D53" s="16">
        <f t="shared" si="2"/>
        <v>-2.0459950801874953</v>
      </c>
      <c r="E53" s="16">
        <f t="shared" si="6"/>
        <v>7.6932500198649096</v>
      </c>
      <c r="F53" s="16">
        <f t="shared" si="3"/>
        <v>2.1940611048575116</v>
      </c>
      <c r="G53" s="16">
        <f t="shared" si="4"/>
        <v>7.6932500198649096</v>
      </c>
      <c r="I53" s="16">
        <f t="shared" si="5"/>
        <v>0.75049157835756175</v>
      </c>
    </row>
    <row r="54" spans="1:9" x14ac:dyDescent="0.2">
      <c r="A54" s="16">
        <v>44</v>
      </c>
      <c r="B54" s="16">
        <f t="shared" si="0"/>
        <v>-0.76794487087750496</v>
      </c>
      <c r="C54" s="16">
        <f t="shared" si="1"/>
        <v>2.1580194010159537</v>
      </c>
      <c r="D54" s="16">
        <f t="shared" si="2"/>
        <v>-2.0839751113769918</v>
      </c>
      <c r="E54" s="16">
        <f t="shared" si="6"/>
        <v>7.703437691371219</v>
      </c>
      <c r="F54" s="16">
        <f t="shared" si="3"/>
        <v>2.1580194010159537</v>
      </c>
      <c r="G54" s="16">
        <f t="shared" si="4"/>
        <v>7.703437691371219</v>
      </c>
      <c r="I54" s="16">
        <f t="shared" si="5"/>
        <v>0.76794487087750496</v>
      </c>
    </row>
    <row r="55" spans="1:9" x14ac:dyDescent="0.2">
      <c r="A55" s="16">
        <v>45</v>
      </c>
      <c r="B55" s="16">
        <f t="shared" si="0"/>
        <v>-0.78539816339744828</v>
      </c>
      <c r="C55" s="16">
        <f t="shared" si="1"/>
        <v>2.1213203435596428</v>
      </c>
      <c r="D55" s="16">
        <f t="shared" si="2"/>
        <v>-2.1213203435596424</v>
      </c>
      <c r="E55" s="16">
        <f t="shared" si="6"/>
        <v>7.713624310270756</v>
      </c>
      <c r="F55" s="16">
        <f t="shared" si="3"/>
        <v>2.1213203435596428</v>
      </c>
      <c r="G55" s="16">
        <f t="shared" si="4"/>
        <v>7.713624310270756</v>
      </c>
      <c r="I55" s="16">
        <f t="shared" si="5"/>
        <v>0.78539816339744828</v>
      </c>
    </row>
    <row r="56" spans="1:9" x14ac:dyDescent="0.2">
      <c r="A56" s="16">
        <v>46</v>
      </c>
      <c r="B56" s="16">
        <f t="shared" si="0"/>
        <v>-0.8028514559173916</v>
      </c>
      <c r="C56" s="16">
        <f t="shared" si="1"/>
        <v>2.0839751113769918</v>
      </c>
      <c r="D56" s="16">
        <f t="shared" si="2"/>
        <v>-2.1580194010159532</v>
      </c>
      <c r="E56" s="16">
        <f t="shared" si="6"/>
        <v>7.7237974944428247</v>
      </c>
      <c r="F56" s="16">
        <f t="shared" si="3"/>
        <v>2.0839751113769918</v>
      </c>
      <c r="G56" s="16">
        <f t="shared" si="4"/>
        <v>7.7237974944428247</v>
      </c>
      <c r="I56" s="16">
        <f t="shared" si="5"/>
        <v>0.8028514559173916</v>
      </c>
    </row>
    <row r="57" spans="1:9" x14ac:dyDescent="0.2">
      <c r="A57" s="16">
        <v>47</v>
      </c>
      <c r="B57" s="16">
        <f t="shared" si="0"/>
        <v>-0.82030474843733492</v>
      </c>
      <c r="C57" s="16">
        <f t="shared" si="1"/>
        <v>2.0459950801874953</v>
      </c>
      <c r="D57" s="16">
        <f t="shared" si="2"/>
        <v>-2.1940611048575116</v>
      </c>
      <c r="E57" s="16">
        <f t="shared" si="6"/>
        <v>7.733944926869377</v>
      </c>
      <c r="F57" s="16">
        <f t="shared" si="3"/>
        <v>2.0459950801874953</v>
      </c>
      <c r="G57" s="16">
        <f t="shared" si="4"/>
        <v>7.733944926869377</v>
      </c>
      <c r="I57" s="16">
        <f t="shared" si="5"/>
        <v>0.82030474843733492</v>
      </c>
    </row>
    <row r="58" spans="1:9" x14ac:dyDescent="0.2">
      <c r="A58" s="16">
        <v>48</v>
      </c>
      <c r="B58" s="16">
        <f t="shared" si="0"/>
        <v>-0.83775804095727824</v>
      </c>
      <c r="C58" s="16">
        <f t="shared" si="1"/>
        <v>2.0073918190765747</v>
      </c>
      <c r="D58" s="16">
        <f t="shared" si="2"/>
        <v>-2.229434476432183</v>
      </c>
      <c r="E58" s="16">
        <f t="shared" si="6"/>
        <v>7.7440543699475946</v>
      </c>
      <c r="F58" s="16">
        <f t="shared" si="3"/>
        <v>2.0073918190765747</v>
      </c>
      <c r="G58" s="16">
        <f t="shared" si="4"/>
        <v>7.7440543699475946</v>
      </c>
      <c r="I58" s="16">
        <f t="shared" si="5"/>
        <v>0.83775804095727824</v>
      </c>
    </row>
    <row r="59" spans="1:9" x14ac:dyDescent="0.2">
      <c r="A59" s="16">
        <v>49</v>
      </c>
      <c r="B59" s="16">
        <f t="shared" si="0"/>
        <v>-0.85521133347722145</v>
      </c>
      <c r="C59" s="16">
        <f t="shared" si="1"/>
        <v>1.9681770869715218</v>
      </c>
      <c r="D59" s="16">
        <f t="shared" si="2"/>
        <v>-2.2641287406683159</v>
      </c>
      <c r="E59" s="16">
        <f t="shared" si="6"/>
        <v>7.7541136794813816</v>
      </c>
      <c r="F59" s="16">
        <f t="shared" si="3"/>
        <v>1.9681770869715218</v>
      </c>
      <c r="G59" s="16">
        <f t="shared" si="4"/>
        <v>7.7541136794813816</v>
      </c>
      <c r="I59" s="16">
        <f t="shared" si="5"/>
        <v>0.85521133347722145</v>
      </c>
    </row>
    <row r="60" spans="1:9" x14ac:dyDescent="0.2">
      <c r="A60" s="16">
        <v>50</v>
      </c>
      <c r="B60" s="16">
        <f t="shared" si="0"/>
        <v>-0.87266462599716477</v>
      </c>
      <c r="C60" s="16">
        <f t="shared" si="1"/>
        <v>1.9283628290596182</v>
      </c>
      <c r="D60" s="16">
        <f t="shared" si="2"/>
        <v>-2.2981333293569342</v>
      </c>
      <c r="E60" s="16">
        <f t="shared" si="6"/>
        <v>7.7641108183423801</v>
      </c>
      <c r="F60" s="16">
        <f t="shared" si="3"/>
        <v>1.9283628290596182</v>
      </c>
      <c r="G60" s="16">
        <f t="shared" si="4"/>
        <v>7.7641108183423801</v>
      </c>
      <c r="I60" s="16">
        <f t="shared" si="5"/>
        <v>0.87266462599716477</v>
      </c>
    </row>
    <row r="61" spans="1:9" x14ac:dyDescent="0.2">
      <c r="A61" s="16">
        <v>51</v>
      </c>
      <c r="B61" s="16">
        <f t="shared" si="0"/>
        <v>-0.89011791851710809</v>
      </c>
      <c r="C61" s="16">
        <f t="shared" si="1"/>
        <v>1.8879611731495125</v>
      </c>
      <c r="D61" s="16">
        <f t="shared" si="2"/>
        <v>-2.3314378843709127</v>
      </c>
      <c r="E61" s="16">
        <f t="shared" si="6"/>
        <v>7.7740338697924338</v>
      </c>
      <c r="F61" s="16">
        <f t="shared" si="3"/>
        <v>1.8879611731495125</v>
      </c>
      <c r="G61" s="16">
        <f t="shared" si="4"/>
        <v>7.7740338697924338</v>
      </c>
      <c r="I61" s="16">
        <f t="shared" si="5"/>
        <v>0.89011791851710809</v>
      </c>
    </row>
    <row r="62" spans="1:9" x14ac:dyDescent="0.2">
      <c r="A62" s="16">
        <v>52</v>
      </c>
      <c r="B62" s="16">
        <f t="shared" si="0"/>
        <v>-0.90757121103705141</v>
      </c>
      <c r="C62" s="16">
        <f t="shared" si="1"/>
        <v>1.846984425976975</v>
      </c>
      <c r="D62" s="16">
        <f t="shared" si="2"/>
        <v>-2.3640322608201663</v>
      </c>
      <c r="E62" s="16">
        <f t="shared" si="6"/>
        <v>7.7838710504605935</v>
      </c>
      <c r="F62" s="16">
        <f t="shared" si="3"/>
        <v>1.846984425976975</v>
      </c>
      <c r="G62" s="16">
        <f t="shared" si="4"/>
        <v>7.7838710504605935</v>
      </c>
      <c r="I62" s="16">
        <f t="shared" si="5"/>
        <v>0.90757121103705141</v>
      </c>
    </row>
    <row r="63" spans="1:9" x14ac:dyDescent="0.2">
      <c r="A63" s="16">
        <v>53</v>
      </c>
      <c r="B63" s="16">
        <f t="shared" si="0"/>
        <v>-0.92502450355699462</v>
      </c>
      <c r="C63" s="16">
        <f t="shared" si="1"/>
        <v>1.805445069456145</v>
      </c>
      <c r="D63" s="16">
        <f t="shared" si="2"/>
        <v>-2.3959065301418785</v>
      </c>
      <c r="E63" s="16">
        <f t="shared" si="6"/>
        <v>7.7936107229689435</v>
      </c>
      <c r="F63" s="16">
        <f t="shared" si="3"/>
        <v>1.805445069456145</v>
      </c>
      <c r="G63" s="16">
        <f t="shared" si="4"/>
        <v>7.7936107229689435</v>
      </c>
      <c r="I63" s="16">
        <f t="shared" si="5"/>
        <v>0.92502450355699462</v>
      </c>
    </row>
    <row r="64" spans="1:9" x14ac:dyDescent="0.2">
      <c r="A64" s="16">
        <v>54</v>
      </c>
      <c r="B64" s="16">
        <f t="shared" si="0"/>
        <v>-0.94247779607693793</v>
      </c>
      <c r="C64" s="16">
        <f t="shared" si="1"/>
        <v>1.7633557568774194</v>
      </c>
      <c r="D64" s="16">
        <f t="shared" si="2"/>
        <v>-2.4270509831248424</v>
      </c>
      <c r="E64" s="16">
        <f t="shared" si="6"/>
        <v>7.8032414082025721</v>
      </c>
      <c r="F64" s="16">
        <f t="shared" si="3"/>
        <v>1.7633557568774194</v>
      </c>
      <c r="G64" s="16">
        <f t="shared" si="4"/>
        <v>7.8032414082025721</v>
      </c>
      <c r="I64" s="16">
        <f t="shared" si="5"/>
        <v>0.94247779607693793</v>
      </c>
    </row>
    <row r="65" spans="1:9" x14ac:dyDescent="0.2">
      <c r="A65" s="16">
        <v>55</v>
      </c>
      <c r="B65" s="16">
        <f t="shared" si="0"/>
        <v>-0.95993108859688125</v>
      </c>
      <c r="C65" s="16">
        <f t="shared" si="1"/>
        <v>1.7207293090531386</v>
      </c>
      <c r="D65" s="16">
        <f t="shared" si="2"/>
        <v>-2.4574561328669753</v>
      </c>
      <c r="E65" s="16">
        <f t="shared" si="6"/>
        <v>7.8127517972200744</v>
      </c>
      <c r="F65" s="16">
        <f t="shared" si="3"/>
        <v>1.7207293090531386</v>
      </c>
      <c r="G65" s="16">
        <f t="shared" si="4"/>
        <v>7.8127517972200744</v>
      </c>
      <c r="I65" s="16">
        <f t="shared" si="5"/>
        <v>0.95993108859688125</v>
      </c>
    </row>
    <row r="66" spans="1:9" x14ac:dyDescent="0.2">
      <c r="A66" s="16">
        <v>56</v>
      </c>
      <c r="B66" s="16">
        <f t="shared" si="0"/>
        <v>-0.97738438111682457</v>
      </c>
      <c r="C66" s="16">
        <f t="shared" si="1"/>
        <v>1.6775787104122404</v>
      </c>
      <c r="D66" s="16">
        <f t="shared" si="2"/>
        <v>-2.4871127176651253</v>
      </c>
      <c r="E66" s="16">
        <f t="shared" si="6"/>
        <v>7.8221307628018852</v>
      </c>
      <c r="F66" s="16">
        <f t="shared" si="3"/>
        <v>1.6775787104122404</v>
      </c>
      <c r="G66" s="16">
        <f t="shared" si="4"/>
        <v>7.8221307628018852</v>
      </c>
      <c r="I66" s="16">
        <f t="shared" si="5"/>
        <v>0.97738438111682457</v>
      </c>
    </row>
    <row r="67" spans="1:9" x14ac:dyDescent="0.2">
      <c r="A67" s="16">
        <v>57</v>
      </c>
      <c r="B67" s="16">
        <f t="shared" si="0"/>
        <v>-0.99483767363676789</v>
      </c>
      <c r="C67" s="16">
        <f t="shared" si="1"/>
        <v>1.6339171050450814</v>
      </c>
      <c r="D67" s="16">
        <f t="shared" si="2"/>
        <v>-2.5160117038362722</v>
      </c>
      <c r="E67" s="16">
        <f t="shared" si="6"/>
        <v>7.831367370634652</v>
      </c>
      <c r="F67" s="16">
        <f t="shared" si="3"/>
        <v>1.6339171050450814</v>
      </c>
      <c r="G67" s="16">
        <f t="shared" si="4"/>
        <v>7.831367370634652</v>
      </c>
      <c r="I67" s="16">
        <f t="shared" si="5"/>
        <v>0.99483767363676789</v>
      </c>
    </row>
    <row r="68" spans="1:9" x14ac:dyDescent="0.2">
      <c r="A68" s="16">
        <v>58</v>
      </c>
      <c r="B68" s="16">
        <f t="shared" si="0"/>
        <v>-1.0122909661567112</v>
      </c>
      <c r="C68" s="16">
        <f t="shared" si="1"/>
        <v>1.5897577926996147</v>
      </c>
      <c r="D68" s="16">
        <f t="shared" si="2"/>
        <v>-2.544144288469278</v>
      </c>
      <c r="E68" s="16">
        <f t="shared" si="6"/>
        <v>7.840450890130672</v>
      </c>
      <c r="F68" s="16">
        <f t="shared" si="3"/>
        <v>1.5897577926996147</v>
      </c>
      <c r="G68" s="16">
        <f t="shared" si="4"/>
        <v>7.840450890130672</v>
      </c>
      <c r="I68" s="16">
        <f t="shared" si="5"/>
        <v>1.0122909661567112</v>
      </c>
    </row>
    <row r="69" spans="1:9" x14ac:dyDescent="0.2">
      <c r="A69" s="16">
        <v>59</v>
      </c>
      <c r="B69" s="16">
        <f t="shared" si="0"/>
        <v>-1.0297442586766545</v>
      </c>
      <c r="C69" s="16">
        <f t="shared" si="1"/>
        <v>1.5451142247301624</v>
      </c>
      <c r="D69" s="16">
        <f t="shared" si="2"/>
        <v>-2.5715019021063368</v>
      </c>
      <c r="E69" s="16">
        <f t="shared" si="6"/>
        <v>7.8493708048821667</v>
      </c>
      <c r="F69" s="16">
        <f t="shared" si="3"/>
        <v>1.5451142247301624</v>
      </c>
      <c r="G69" s="16">
        <f t="shared" si="4"/>
        <v>7.8493708048821667</v>
      </c>
      <c r="I69" s="16">
        <f t="shared" si="5"/>
        <v>1.0297442586766545</v>
      </c>
    </row>
    <row r="70" spans="1:9" x14ac:dyDescent="0.2">
      <c r="A70" s="16">
        <v>60</v>
      </c>
      <c r="B70" s="16">
        <f t="shared" si="0"/>
        <v>-1.0471975511965976</v>
      </c>
      <c r="C70" s="16">
        <f t="shared" si="1"/>
        <v>1.5000000000000004</v>
      </c>
      <c r="D70" s="16">
        <f t="shared" si="2"/>
        <v>-2.598076211353316</v>
      </c>
      <c r="E70" s="16">
        <f t="shared" si="6"/>
        <v>7.8581168227508558</v>
      </c>
      <c r="F70" s="16">
        <f t="shared" si="3"/>
        <v>1.5000000000000004</v>
      </c>
      <c r="G70" s="16">
        <f t="shared" si="4"/>
        <v>7.8581168227508558</v>
      </c>
      <c r="I70" s="16">
        <f t="shared" si="5"/>
        <v>1.0471975511965976</v>
      </c>
    </row>
    <row r="71" spans="1:9" x14ac:dyDescent="0.2">
      <c r="A71" s="16">
        <v>61</v>
      </c>
      <c r="B71" s="16">
        <f t="shared" si="0"/>
        <v>-1.064650843716541</v>
      </c>
      <c r="C71" s="16">
        <f t="shared" si="1"/>
        <v>1.4544288607390112</v>
      </c>
      <c r="D71" s="16">
        <f t="shared" si="2"/>
        <v>-2.623859121418187</v>
      </c>
      <c r="E71" s="16">
        <f t="shared" si="6"/>
        <v>7.8666788855939345</v>
      </c>
      <c r="F71" s="16">
        <f t="shared" si="3"/>
        <v>1.4544288607390112</v>
      </c>
      <c r="G71" s="16">
        <f t="shared" si="4"/>
        <v>7.8666788855939345</v>
      </c>
      <c r="I71" s="16">
        <f t="shared" si="5"/>
        <v>1.064650843716541</v>
      </c>
    </row>
    <row r="72" spans="1:9" x14ac:dyDescent="0.2">
      <c r="A72" s="16">
        <v>62</v>
      </c>
      <c r="B72" s="16">
        <f t="shared" si="0"/>
        <v>-1.0821041362364843</v>
      </c>
      <c r="C72" s="16">
        <f t="shared" si="1"/>
        <v>1.4084146883576727</v>
      </c>
      <c r="D72" s="16">
        <f t="shared" si="2"/>
        <v>-2.6488427785767805</v>
      </c>
      <c r="E72" s="16">
        <f t="shared" si="6"/>
        <v>7.8750471786280976</v>
      </c>
      <c r="F72" s="16">
        <f t="shared" si="3"/>
        <v>1.4084146883576727</v>
      </c>
      <c r="G72" s="16">
        <f t="shared" si="4"/>
        <v>7.8750471786280976</v>
      </c>
      <c r="I72" s="16">
        <f t="shared" si="5"/>
        <v>1.0821041362364843</v>
      </c>
    </row>
    <row r="73" spans="1:9" x14ac:dyDescent="0.2">
      <c r="A73" s="16">
        <v>63</v>
      </c>
      <c r="B73" s="16">
        <f t="shared" si="0"/>
        <v>-1.0995574287564276</v>
      </c>
      <c r="C73" s="16">
        <f t="shared" si="1"/>
        <v>1.3619714992186405</v>
      </c>
      <c r="D73" s="16">
        <f t="shared" si="2"/>
        <v>-2.6730195725651034</v>
      </c>
      <c r="E73" s="16">
        <f t="shared" si="6"/>
        <v>7.8832121394337813</v>
      </c>
      <c r="F73" s="16">
        <f t="shared" si="3"/>
        <v>1.3619714992186405</v>
      </c>
      <c r="G73" s="16">
        <f t="shared" si="4"/>
        <v>7.8832121394337813</v>
      </c>
      <c r="I73" s="16">
        <f t="shared" si="5"/>
        <v>1.0995574287564276</v>
      </c>
    </row>
    <row r="74" spans="1:9" x14ac:dyDescent="0.2">
      <c r="A74" s="16">
        <v>64</v>
      </c>
      <c r="B74" s="16">
        <f t="shared" si="0"/>
        <v>-1.1170107212763709</v>
      </c>
      <c r="C74" s="16">
        <f t="shared" si="1"/>
        <v>1.3151134403672324</v>
      </c>
      <c r="D74" s="16">
        <f t="shared" si="2"/>
        <v>-2.6963821388975013</v>
      </c>
      <c r="E74" s="16">
        <f t="shared" si="6"/>
        <v>7.891164466602218</v>
      </c>
      <c r="F74" s="16">
        <f t="shared" si="3"/>
        <v>1.3151134403672324</v>
      </c>
      <c r="G74" s="16">
        <f t="shared" si="4"/>
        <v>7.891164466602218</v>
      </c>
      <c r="I74" s="16">
        <f t="shared" si="5"/>
        <v>1.1170107212763709</v>
      </c>
    </row>
    <row r="75" spans="1:9" x14ac:dyDescent="0.2">
      <c r="A75" s="16">
        <v>65</v>
      </c>
      <c r="B75" s="16">
        <f t="shared" ref="B75:B138" si="7">-RADIANS(A75)</f>
        <v>-1.1344640137963142</v>
      </c>
      <c r="C75" s="16">
        <f t="shared" ref="C75:C138" si="8">(C$6)*COS(B75)</f>
        <v>1.2678547852220983</v>
      </c>
      <c r="D75" s="16">
        <f t="shared" ref="D75:D138" si="9">(C$6)*SIN(B75)</f>
        <v>-2.7189233611099497</v>
      </c>
      <c r="E75" s="16">
        <f t="shared" si="6"/>
        <v>7.8988951280283137</v>
      </c>
      <c r="F75" s="16">
        <f t="shared" ref="F75:F138" si="10">IF(A75&lt;=$E$1,C75,NA())</f>
        <v>1.2678547852220983</v>
      </c>
      <c r="G75" s="16">
        <f t="shared" ref="G75:G138" si="11">IF(A75&lt;=$E$1,E75,NA())</f>
        <v>7.8988951280283137</v>
      </c>
      <c r="I75" s="16">
        <f t="shared" ref="I75:I138" si="12">RADIANS(A75)</f>
        <v>1.1344640137963142</v>
      </c>
    </row>
    <row r="76" spans="1:9" x14ac:dyDescent="0.2">
      <c r="A76" s="16">
        <v>66</v>
      </c>
      <c r="B76" s="16">
        <f t="shared" si="7"/>
        <v>-1.1519173063162575</v>
      </c>
      <c r="C76" s="16">
        <f t="shared" si="8"/>
        <v>1.2202099292274007</v>
      </c>
      <c r="D76" s="16">
        <f t="shared" si="9"/>
        <v>-2.7406363729278027</v>
      </c>
      <c r="E76" s="16">
        <f t="shared" ref="E76:E139" si="13">D$10+(2*C$6+C$4)*COS(ASIN(C76/(2*C$6+C$4)))</f>
        <v>7.9063953688526647</v>
      </c>
      <c r="F76" s="16">
        <f t="shared" si="10"/>
        <v>1.2202099292274007</v>
      </c>
      <c r="G76" s="16">
        <f t="shared" si="11"/>
        <v>7.9063953688526647</v>
      </c>
      <c r="I76" s="16">
        <f t="shared" si="12"/>
        <v>1.1519173063162575</v>
      </c>
    </row>
    <row r="77" spans="1:9" x14ac:dyDescent="0.2">
      <c r="A77" s="16">
        <v>67</v>
      </c>
      <c r="B77" s="16">
        <f t="shared" si="7"/>
        <v>-1.1693705988362009</v>
      </c>
      <c r="C77" s="16">
        <f t="shared" si="8"/>
        <v>1.1721933854678213</v>
      </c>
      <c r="D77" s="16">
        <f t="shared" si="9"/>
        <v>-2.761514560357321</v>
      </c>
      <c r="E77" s="16">
        <f t="shared" si="13"/>
        <v>7.9136567190563358</v>
      </c>
      <c r="F77" s="16">
        <f t="shared" si="10"/>
        <v>1.1721933854678213</v>
      </c>
      <c r="G77" s="16">
        <f t="shared" si="11"/>
        <v>7.9136567190563358</v>
      </c>
      <c r="I77" s="16">
        <f t="shared" si="12"/>
        <v>1.1693705988362009</v>
      </c>
    </row>
    <row r="78" spans="1:9" x14ac:dyDescent="0.2">
      <c r="A78" s="16">
        <v>68</v>
      </c>
      <c r="B78" s="16">
        <f t="shared" si="7"/>
        <v>-1.1868238913561442</v>
      </c>
      <c r="C78" s="16">
        <f t="shared" si="8"/>
        <v>1.1238197802477359</v>
      </c>
      <c r="D78" s="16">
        <f t="shared" si="9"/>
        <v>-2.7815515637003623</v>
      </c>
      <c r="E78" s="16">
        <f t="shared" si="13"/>
        <v>7.9206710007122458</v>
      </c>
      <c r="F78" s="16">
        <f t="shared" si="10"/>
        <v>1.1238197802477359</v>
      </c>
      <c r="G78" s="16">
        <f t="shared" si="11"/>
        <v>7.9206710007122458</v>
      </c>
      <c r="I78" s="16">
        <f t="shared" si="12"/>
        <v>1.1868238913561442</v>
      </c>
    </row>
    <row r="79" spans="1:9" x14ac:dyDescent="0.2">
      <c r="A79" s="16">
        <v>69</v>
      </c>
      <c r="B79" s="16">
        <f t="shared" si="7"/>
        <v>-1.2042771838760873</v>
      </c>
      <c r="C79" s="16">
        <f t="shared" si="8"/>
        <v>1.075103848635901</v>
      </c>
      <c r="D79" s="16">
        <f t="shared" si="9"/>
        <v>-2.8007412794916053</v>
      </c>
      <c r="E79" s="16">
        <f t="shared" si="13"/>
        <v>7.9274303348971964</v>
      </c>
      <c r="F79" s="16">
        <f t="shared" si="10"/>
        <v>1.075103848635901</v>
      </c>
      <c r="G79" s="16">
        <f t="shared" si="11"/>
        <v>7.9274303348971964</v>
      </c>
      <c r="I79" s="16">
        <f t="shared" si="12"/>
        <v>1.2042771838760873</v>
      </c>
    </row>
    <row r="80" spans="1:9" x14ac:dyDescent="0.2">
      <c r="A80" s="16">
        <v>70</v>
      </c>
      <c r="B80" s="16">
        <f t="shared" si="7"/>
        <v>-1.2217304763960306</v>
      </c>
      <c r="C80" s="16">
        <f t="shared" si="8"/>
        <v>1.0260604299770064</v>
      </c>
      <c r="D80" s="16">
        <f t="shared" si="9"/>
        <v>-2.8190778623577248</v>
      </c>
      <c r="E80" s="16">
        <f t="shared" si="13"/>
        <v>7.9339271482687188</v>
      </c>
      <c r="F80" s="16">
        <f t="shared" si="10"/>
        <v>1.0260604299770064</v>
      </c>
      <c r="G80" s="16">
        <f t="shared" si="11"/>
        <v>7.9339271482687188</v>
      </c>
      <c r="I80" s="16">
        <f t="shared" si="12"/>
        <v>1.2217304763960306</v>
      </c>
    </row>
    <row r="81" spans="1:9" x14ac:dyDescent="0.2">
      <c r="A81" s="16">
        <v>71</v>
      </c>
      <c r="B81" s="16">
        <f t="shared" si="7"/>
        <v>-1.2391837689159739</v>
      </c>
      <c r="C81" s="16">
        <f t="shared" si="8"/>
        <v>0.97670446337147032</v>
      </c>
      <c r="D81" s="16">
        <f t="shared" si="9"/>
        <v>-2.8365557267979504</v>
      </c>
      <c r="E81" s="16">
        <f t="shared" si="13"/>
        <v>7.9401541793110191</v>
      </c>
      <c r="F81" s="16">
        <f t="shared" si="10"/>
        <v>0.97670446337147032</v>
      </c>
      <c r="G81" s="16">
        <f t="shared" si="11"/>
        <v>7.9401541793110191</v>
      </c>
      <c r="I81" s="16">
        <f t="shared" si="12"/>
        <v>1.2391837689159739</v>
      </c>
    </row>
    <row r="82" spans="1:9" x14ac:dyDescent="0.2">
      <c r="A82" s="16">
        <v>72</v>
      </c>
      <c r="B82" s="16">
        <f t="shared" si="7"/>
        <v>-1.2566370614359172</v>
      </c>
      <c r="C82" s="16">
        <f t="shared" si="8"/>
        <v>0.92705098312484235</v>
      </c>
      <c r="D82" s="16">
        <f t="shared" si="9"/>
        <v>-2.8531695488854605</v>
      </c>
      <c r="E82" s="16">
        <f t="shared" si="13"/>
        <v>7.9461044842543611</v>
      </c>
      <c r="F82" s="16">
        <f t="shared" si="10"/>
        <v>0.92705098312484235</v>
      </c>
      <c r="G82" s="16">
        <f t="shared" si="11"/>
        <v>7.9461044842543611</v>
      </c>
      <c r="I82" s="16">
        <f t="shared" si="12"/>
        <v>1.2566370614359172</v>
      </c>
    </row>
    <row r="83" spans="1:9" x14ac:dyDescent="0.2">
      <c r="A83" s="16">
        <v>73</v>
      </c>
      <c r="B83" s="16">
        <f t="shared" si="7"/>
        <v>-1.2740903539558606</v>
      </c>
      <c r="C83" s="16">
        <f t="shared" si="8"/>
        <v>0.87711511416821031</v>
      </c>
      <c r="D83" s="16">
        <f t="shared" si="9"/>
        <v>-2.8689142678891062</v>
      </c>
      <c r="E83" s="16">
        <f t="shared" si="13"/>
        <v>7.9517714426722357</v>
      </c>
      <c r="F83" s="16">
        <f t="shared" si="10"/>
        <v>0.87711511416821031</v>
      </c>
      <c r="G83" s="16">
        <f t="shared" si="11"/>
        <v>7.9517714426722357</v>
      </c>
      <c r="I83" s="16">
        <f t="shared" si="12"/>
        <v>1.2740903539558606</v>
      </c>
    </row>
    <row r="84" spans="1:9" x14ac:dyDescent="0.2">
      <c r="A84" s="16">
        <v>74</v>
      </c>
      <c r="B84" s="16">
        <f t="shared" si="7"/>
        <v>-1.2915436464758039</v>
      </c>
      <c r="C84" s="16">
        <f t="shared" si="8"/>
        <v>0.82691206745099755</v>
      </c>
      <c r="D84" s="16">
        <f t="shared" si="9"/>
        <v>-2.8837850878149567</v>
      </c>
      <c r="E84" s="16">
        <f t="shared" si="13"/>
        <v>7.9571487627606858</v>
      </c>
      <c r="F84" s="16">
        <f t="shared" si="10"/>
        <v>0.82691206745099755</v>
      </c>
      <c r="G84" s="16">
        <f t="shared" si="11"/>
        <v>7.9571487627606858</v>
      </c>
      <c r="I84" s="16">
        <f t="shared" si="12"/>
        <v>1.2915436464758039</v>
      </c>
    </row>
    <row r="85" spans="1:9" x14ac:dyDescent="0.2">
      <c r="A85" s="16">
        <v>75</v>
      </c>
      <c r="B85" s="16">
        <f t="shared" si="7"/>
        <v>-1.3089969389957472</v>
      </c>
      <c r="C85" s="16">
        <f t="shared" si="8"/>
        <v>0.77645713530756222</v>
      </c>
      <c r="D85" s="16">
        <f t="shared" si="9"/>
        <v>-2.897777478867205</v>
      </c>
      <c r="E85" s="16">
        <f t="shared" si="13"/>
        <v>7.9622304863040716</v>
      </c>
      <c r="F85" s="16">
        <f t="shared" si="10"/>
        <v>0.77645713530756222</v>
      </c>
      <c r="G85" s="16">
        <f t="shared" si="11"/>
        <v>7.9622304863040716</v>
      </c>
      <c r="I85" s="16">
        <f t="shared" si="12"/>
        <v>1.3089969389957472</v>
      </c>
    </row>
    <row r="86" spans="1:9" x14ac:dyDescent="0.2">
      <c r="A86" s="16">
        <v>76</v>
      </c>
      <c r="B86" s="16">
        <f t="shared" si="7"/>
        <v>-1.3264502315156905</v>
      </c>
      <c r="C86" s="16">
        <f t="shared" si="8"/>
        <v>0.725765686799003</v>
      </c>
      <c r="D86" s="16">
        <f t="shared" si="9"/>
        <v>-2.9108871788279895</v>
      </c>
      <c r="E86" s="16">
        <f t="shared" si="13"/>
        <v>7.9670109933315123</v>
      </c>
      <c r="F86" s="16">
        <f t="shared" si="10"/>
        <v>0.725765686799003</v>
      </c>
      <c r="G86" s="16">
        <f t="shared" si="11"/>
        <v>7.9670109933315123</v>
      </c>
      <c r="I86" s="16">
        <f t="shared" si="12"/>
        <v>1.3264502315156905</v>
      </c>
    </row>
    <row r="87" spans="1:9" x14ac:dyDescent="0.2">
      <c r="A87" s="16">
        <v>77</v>
      </c>
      <c r="B87" s="16">
        <f t="shared" si="7"/>
        <v>-1.3439035240356338</v>
      </c>
      <c r="C87" s="16">
        <f t="shared" si="8"/>
        <v>0.67485316303159482</v>
      </c>
      <c r="D87" s="16">
        <f t="shared" si="9"/>
        <v>-2.9231101943557056</v>
      </c>
      <c r="E87" s="16">
        <f t="shared" si="13"/>
        <v>7.9714850064681331</v>
      </c>
      <c r="F87" s="16">
        <f t="shared" si="10"/>
        <v>0.67485316303159482</v>
      </c>
      <c r="G87" s="16">
        <f t="shared" si="11"/>
        <v>7.9714850064681331</v>
      </c>
      <c r="I87" s="16">
        <f t="shared" si="12"/>
        <v>1.3439035240356338</v>
      </c>
    </row>
    <row r="88" spans="1:9" x14ac:dyDescent="0.2">
      <c r="A88" s="16">
        <v>78</v>
      </c>
      <c r="B88" s="16">
        <f t="shared" si="7"/>
        <v>-1.3613568165555769</v>
      </c>
      <c r="C88" s="16">
        <f t="shared" si="8"/>
        <v>0.62373507245327842</v>
      </c>
      <c r="D88" s="16">
        <f t="shared" si="9"/>
        <v>-2.9344428022014166</v>
      </c>
      <c r="E88" s="16">
        <f t="shared" si="13"/>
        <v>7.975647594985106</v>
      </c>
      <c r="F88" s="16">
        <f t="shared" si="10"/>
        <v>0.62373507245327842</v>
      </c>
      <c r="G88" s="16">
        <f t="shared" si="11"/>
        <v>7.975647594985106</v>
      </c>
      <c r="I88" s="16">
        <f t="shared" si="12"/>
        <v>1.3613568165555769</v>
      </c>
    </row>
    <row r="89" spans="1:9" x14ac:dyDescent="0.2">
      <c r="A89" s="16">
        <v>79</v>
      </c>
      <c r="B89" s="16">
        <f t="shared" si="7"/>
        <v>-1.3788101090755203</v>
      </c>
      <c r="C89" s="16">
        <f t="shared" si="8"/>
        <v>0.57242698612963472</v>
      </c>
      <c r="D89" s="16">
        <f t="shared" si="9"/>
        <v>-2.9448815503429921</v>
      </c>
      <c r="E89" s="16">
        <f t="shared" si="13"/>
        <v>7.979494178552331</v>
      </c>
      <c r="F89" s="16">
        <f t="shared" si="10"/>
        <v>0.57242698612963472</v>
      </c>
      <c r="G89" s="16">
        <f t="shared" si="11"/>
        <v>7.979494178552331</v>
      </c>
      <c r="I89" s="16">
        <f t="shared" si="12"/>
        <v>1.3788101090755203</v>
      </c>
    </row>
    <row r="90" spans="1:9" x14ac:dyDescent="0.2">
      <c r="A90" s="16">
        <v>80</v>
      </c>
      <c r="B90" s="16">
        <f t="shared" si="7"/>
        <v>-1.3962634015954636</v>
      </c>
      <c r="C90" s="16">
        <f t="shared" si="8"/>
        <v>0.52094453300079124</v>
      </c>
      <c r="D90" s="16">
        <f t="shared" si="9"/>
        <v>-2.9544232590366239</v>
      </c>
      <c r="E90" s="16">
        <f t="shared" si="13"/>
        <v>7.9830205306974245</v>
      </c>
      <c r="F90" s="16">
        <f t="shared" si="10"/>
        <v>0.52094453300079124</v>
      </c>
      <c r="G90" s="16">
        <f t="shared" si="11"/>
        <v>7.9830205306974245</v>
      </c>
      <c r="I90" s="16">
        <f t="shared" si="12"/>
        <v>1.3962634015954636</v>
      </c>
    </row>
    <row r="91" spans="1:9" x14ac:dyDescent="0.2">
      <c r="A91" s="16">
        <v>81</v>
      </c>
      <c r="B91" s="16">
        <f t="shared" si="7"/>
        <v>-1.4137166941154069</v>
      </c>
      <c r="C91" s="16">
        <f t="shared" si="8"/>
        <v>0.46930339512069275</v>
      </c>
      <c r="D91" s="16">
        <f t="shared" si="9"/>
        <v>-2.9630650217854133</v>
      </c>
      <c r="E91" s="16">
        <f t="shared" si="13"/>
        <v>7.9862227819744795</v>
      </c>
      <c r="F91" s="16">
        <f t="shared" si="10"/>
        <v>0.46930339512069275</v>
      </c>
      <c r="G91" s="16">
        <f t="shared" si="11"/>
        <v>7.9862227819744795</v>
      </c>
      <c r="I91" s="16">
        <f t="shared" si="12"/>
        <v>1.4137166941154069</v>
      </c>
    </row>
    <row r="92" spans="1:9" x14ac:dyDescent="0.2">
      <c r="A92" s="16">
        <v>82</v>
      </c>
      <c r="B92" s="16">
        <f t="shared" si="7"/>
        <v>-1.4311699866353502</v>
      </c>
      <c r="C92" s="16">
        <f t="shared" si="8"/>
        <v>0.4175193028801964</v>
      </c>
      <c r="D92" s="16">
        <f t="shared" si="9"/>
        <v>-2.9708042062247113</v>
      </c>
      <c r="E92" s="16">
        <f t="shared" si="13"/>
        <v>7.9890974228458642</v>
      </c>
      <c r="F92" s="16">
        <f t="shared" si="10"/>
        <v>0.4175193028801964</v>
      </c>
      <c r="G92" s="16">
        <f t="shared" si="11"/>
        <v>7.9890974228458642</v>
      </c>
      <c r="I92" s="16">
        <f t="shared" si="12"/>
        <v>1.4311699866353502</v>
      </c>
    </row>
    <row r="93" spans="1:9" x14ac:dyDescent="0.2">
      <c r="A93" s="16">
        <v>83</v>
      </c>
      <c r="B93" s="16">
        <f t="shared" si="7"/>
        <v>-1.4486232791552935</v>
      </c>
      <c r="C93" s="16">
        <f t="shared" si="8"/>
        <v>0.36560803021544247</v>
      </c>
      <c r="D93" s="16">
        <f t="shared" si="9"/>
        <v>-2.9776384549239658</v>
      </c>
      <c r="E93" s="16">
        <f t="shared" si="13"/>
        <v>7.99164130628008</v>
      </c>
      <c r="F93" s="16">
        <f t="shared" si="10"/>
        <v>0.36560803021544247</v>
      </c>
      <c r="G93" s="16">
        <f t="shared" si="11"/>
        <v>7.99164130628008</v>
      </c>
      <c r="I93" s="16">
        <f t="shared" si="12"/>
        <v>1.4486232791552935</v>
      </c>
    </row>
    <row r="94" spans="1:9" x14ac:dyDescent="0.2">
      <c r="A94" s="16">
        <v>84</v>
      </c>
      <c r="B94" s="16">
        <f t="shared" si="7"/>
        <v>-1.4660765716752369</v>
      </c>
      <c r="C94" s="16">
        <f t="shared" si="8"/>
        <v>0.31358538980296036</v>
      </c>
      <c r="D94" s="16">
        <f t="shared" si="9"/>
        <v>-2.9835656861048196</v>
      </c>
      <c r="E94" s="16">
        <f t="shared" si="13"/>
        <v>7.9938516500684527</v>
      </c>
      <c r="F94" s="16">
        <f t="shared" si="10"/>
        <v>0.31358538980296036</v>
      </c>
      <c r="G94" s="16">
        <f t="shared" si="11"/>
        <v>7.9938516500684527</v>
      </c>
      <c r="I94" s="16">
        <f t="shared" si="12"/>
        <v>1.4660765716752369</v>
      </c>
    </row>
    <row r="95" spans="1:9" x14ac:dyDescent="0.2">
      <c r="A95" s="16">
        <v>85</v>
      </c>
      <c r="B95" s="16">
        <f t="shared" si="7"/>
        <v>-1.4835298641951802</v>
      </c>
      <c r="C95" s="16">
        <f t="shared" si="8"/>
        <v>0.26146722824297441</v>
      </c>
      <c r="D95" s="16">
        <f t="shared" si="9"/>
        <v>-2.9885840942752369</v>
      </c>
      <c r="E95" s="16">
        <f t="shared" si="13"/>
        <v>7.9957260388631957</v>
      </c>
      <c r="F95" s="16">
        <f t="shared" si="10"/>
        <v>0.26146722824297441</v>
      </c>
      <c r="G95" s="16">
        <f t="shared" si="11"/>
        <v>7.9957260388631957</v>
      </c>
      <c r="I95" s="16">
        <f t="shared" si="12"/>
        <v>1.4835298641951802</v>
      </c>
    </row>
    <row r="96" spans="1:9" x14ac:dyDescent="0.2">
      <c r="A96" s="16">
        <v>86</v>
      </c>
      <c r="B96" s="16">
        <f t="shared" si="7"/>
        <v>-1.5009831567151235</v>
      </c>
      <c r="C96" s="16">
        <f t="shared" si="8"/>
        <v>0.20926942123237569</v>
      </c>
      <c r="D96" s="16">
        <f t="shared" si="9"/>
        <v>-2.9926921507794724</v>
      </c>
      <c r="E96" s="16">
        <f t="shared" si="13"/>
        <v>7.9972624259390832</v>
      </c>
      <c r="F96" s="16">
        <f t="shared" si="10"/>
        <v>0.20926942123237569</v>
      </c>
      <c r="G96" s="16">
        <f t="shared" si="11"/>
        <v>7.9972624259390832</v>
      </c>
      <c r="I96" s="16">
        <f t="shared" si="12"/>
        <v>1.5009831567151235</v>
      </c>
    </row>
    <row r="97" spans="1:9" x14ac:dyDescent="0.2">
      <c r="A97" s="16">
        <v>87</v>
      </c>
      <c r="B97" s="16">
        <f t="shared" si="7"/>
        <v>-1.5184364492350666</v>
      </c>
      <c r="C97" s="16">
        <f t="shared" si="8"/>
        <v>0.15700786872883191</v>
      </c>
      <c r="D97" s="16">
        <f t="shared" si="9"/>
        <v>-2.9958886042637216</v>
      </c>
      <c r="E97" s="16">
        <f t="shared" si="13"/>
        <v>7.9984591346807061</v>
      </c>
      <c r="F97" s="16">
        <f t="shared" si="10"/>
        <v>0.15700786872883191</v>
      </c>
      <c r="G97" s="16">
        <f t="shared" si="11"/>
        <v>7.9984591346807061</v>
      </c>
      <c r="I97" s="16">
        <f t="shared" si="12"/>
        <v>1.5184364492350666</v>
      </c>
    </row>
    <row r="98" spans="1:9" x14ac:dyDescent="0.2">
      <c r="A98" s="16">
        <v>88</v>
      </c>
      <c r="B98" s="16">
        <f t="shared" si="7"/>
        <v>-1.5358897417550099</v>
      </c>
      <c r="C98" s="16">
        <f t="shared" si="8"/>
        <v>0.10469849010750323</v>
      </c>
      <c r="D98" s="16">
        <f t="shared" si="9"/>
        <v>-2.9981724810572872</v>
      </c>
      <c r="E98" s="16">
        <f t="shared" si="13"/>
        <v>7.999314859797007</v>
      </c>
      <c r="F98" s="16">
        <f t="shared" si="10"/>
        <v>0.10469849010750323</v>
      </c>
      <c r="G98" s="16">
        <f t="shared" si="11"/>
        <v>7.999314859797007</v>
      </c>
      <c r="I98" s="16">
        <f t="shared" si="12"/>
        <v>1.5358897417550099</v>
      </c>
    </row>
    <row r="99" spans="1:9" x14ac:dyDescent="0.2">
      <c r="A99" s="16">
        <v>89</v>
      </c>
      <c r="B99" s="16">
        <f t="shared" si="7"/>
        <v>-1.5533430342749532</v>
      </c>
      <c r="C99" s="16">
        <f t="shared" si="8"/>
        <v>5.2357219311850792E-2</v>
      </c>
      <c r="D99" s="16">
        <f t="shared" si="9"/>
        <v>-2.999543085469174</v>
      </c>
      <c r="E99" s="16">
        <f t="shared" si="13"/>
        <v>7.9998286682644606</v>
      </c>
      <c r="F99" s="16">
        <f t="shared" si="10"/>
        <v>5.2357219311850792E-2</v>
      </c>
      <c r="G99" s="16">
        <f t="shared" si="11"/>
        <v>7.9998286682644606</v>
      </c>
      <c r="I99" s="16">
        <f t="shared" si="12"/>
        <v>1.5533430342749532</v>
      </c>
    </row>
    <row r="100" spans="1:9" x14ac:dyDescent="0.2">
      <c r="A100" s="16">
        <v>90</v>
      </c>
      <c r="B100" s="16">
        <f t="shared" si="7"/>
        <v>-1.5707963267948966</v>
      </c>
      <c r="C100" s="16">
        <f t="shared" si="8"/>
        <v>1.83772268236293E-16</v>
      </c>
      <c r="D100" s="16">
        <f t="shared" si="9"/>
        <v>-3</v>
      </c>
      <c r="E100" s="16">
        <f t="shared" si="13"/>
        <v>8</v>
      </c>
      <c r="F100" s="16">
        <f t="shared" si="10"/>
        <v>1.83772268236293E-16</v>
      </c>
      <c r="G100" s="16">
        <f t="shared" si="11"/>
        <v>8</v>
      </c>
      <c r="I100" s="16">
        <f t="shared" si="12"/>
        <v>1.5707963267948966</v>
      </c>
    </row>
    <row r="101" spans="1:9" x14ac:dyDescent="0.2">
      <c r="A101" s="16">
        <v>91</v>
      </c>
      <c r="B101" s="16">
        <f t="shared" si="7"/>
        <v>-1.5882496193148399</v>
      </c>
      <c r="C101" s="16">
        <f t="shared" si="8"/>
        <v>-5.2357219311850431E-2</v>
      </c>
      <c r="D101" s="16">
        <f t="shared" si="9"/>
        <v>-2.999543085469174</v>
      </c>
      <c r="E101" s="16">
        <f t="shared" si="13"/>
        <v>7.9998286682644606</v>
      </c>
      <c r="F101" s="16">
        <f t="shared" si="10"/>
        <v>-5.2357219311850431E-2</v>
      </c>
      <c r="G101" s="16">
        <f t="shared" si="11"/>
        <v>7.9998286682644606</v>
      </c>
      <c r="I101" s="16">
        <f t="shared" si="12"/>
        <v>1.5882496193148399</v>
      </c>
    </row>
    <row r="102" spans="1:9" x14ac:dyDescent="0.2">
      <c r="A102" s="16">
        <v>92</v>
      </c>
      <c r="B102" s="16">
        <f t="shared" si="7"/>
        <v>-1.6057029118347832</v>
      </c>
      <c r="C102" s="16">
        <f t="shared" si="8"/>
        <v>-0.10469849010750287</v>
      </c>
      <c r="D102" s="16">
        <f t="shared" si="9"/>
        <v>-2.9981724810572872</v>
      </c>
      <c r="E102" s="16">
        <f t="shared" si="13"/>
        <v>7.999314859797007</v>
      </c>
      <c r="F102" s="16">
        <f t="shared" si="10"/>
        <v>-0.10469849010750287</v>
      </c>
      <c r="G102" s="16">
        <f t="shared" si="11"/>
        <v>7.999314859797007</v>
      </c>
      <c r="I102" s="16">
        <f t="shared" si="12"/>
        <v>1.6057029118347832</v>
      </c>
    </row>
    <row r="103" spans="1:9" x14ac:dyDescent="0.2">
      <c r="A103" s="16">
        <v>93</v>
      </c>
      <c r="B103" s="16">
        <f t="shared" si="7"/>
        <v>-1.6231562043547265</v>
      </c>
      <c r="C103" s="16">
        <f t="shared" si="8"/>
        <v>-0.15700786872883152</v>
      </c>
      <c r="D103" s="16">
        <f t="shared" si="9"/>
        <v>-2.9958886042637216</v>
      </c>
      <c r="E103" s="16">
        <f t="shared" si="13"/>
        <v>7.9984591346807061</v>
      </c>
      <c r="F103" s="16">
        <f t="shared" si="10"/>
        <v>-0.15700786872883152</v>
      </c>
      <c r="G103" s="16">
        <f t="shared" si="11"/>
        <v>7.9984591346807061</v>
      </c>
      <c r="I103" s="16">
        <f t="shared" si="12"/>
        <v>1.6231562043547265</v>
      </c>
    </row>
    <row r="104" spans="1:9" x14ac:dyDescent="0.2">
      <c r="A104" s="16">
        <v>94</v>
      </c>
      <c r="B104" s="16">
        <f t="shared" si="7"/>
        <v>-1.6406094968746698</v>
      </c>
      <c r="C104" s="16">
        <f t="shared" si="8"/>
        <v>-0.20926942123237599</v>
      </c>
      <c r="D104" s="16">
        <f t="shared" si="9"/>
        <v>-2.9926921507794724</v>
      </c>
      <c r="E104" s="16">
        <f t="shared" si="13"/>
        <v>7.9972624259390832</v>
      </c>
      <c r="F104" s="16">
        <f t="shared" si="10"/>
        <v>-0.20926942123237599</v>
      </c>
      <c r="G104" s="16">
        <f t="shared" si="11"/>
        <v>7.9972624259390832</v>
      </c>
      <c r="I104" s="16">
        <f t="shared" si="12"/>
        <v>1.6406094968746698</v>
      </c>
    </row>
    <row r="105" spans="1:9" x14ac:dyDescent="0.2">
      <c r="A105" s="16">
        <v>95</v>
      </c>
      <c r="B105" s="16">
        <f t="shared" si="7"/>
        <v>-1.6580627893946132</v>
      </c>
      <c r="C105" s="16">
        <f t="shared" si="8"/>
        <v>-0.26146722824297469</v>
      </c>
      <c r="D105" s="16">
        <f t="shared" si="9"/>
        <v>-2.9885840942752369</v>
      </c>
      <c r="E105" s="16">
        <f t="shared" si="13"/>
        <v>7.9957260388631957</v>
      </c>
      <c r="F105" s="16">
        <f t="shared" si="10"/>
        <v>-0.26146722824297469</v>
      </c>
      <c r="G105" s="16">
        <f t="shared" si="11"/>
        <v>7.9957260388631957</v>
      </c>
      <c r="I105" s="16">
        <f t="shared" si="12"/>
        <v>1.6580627893946132</v>
      </c>
    </row>
    <row r="106" spans="1:9" x14ac:dyDescent="0.2">
      <c r="A106" s="16">
        <v>96</v>
      </c>
      <c r="B106" s="16">
        <f t="shared" si="7"/>
        <v>-1.6755160819145565</v>
      </c>
      <c r="C106" s="16">
        <f t="shared" si="8"/>
        <v>-0.31358538980296069</v>
      </c>
      <c r="D106" s="16">
        <f t="shared" si="9"/>
        <v>-2.9835656861048196</v>
      </c>
      <c r="E106" s="16">
        <f t="shared" si="13"/>
        <v>7.9938516500684527</v>
      </c>
      <c r="F106" s="16">
        <f t="shared" si="10"/>
        <v>-0.31358538980296069</v>
      </c>
      <c r="G106" s="16">
        <f t="shared" si="11"/>
        <v>7.9938516500684527</v>
      </c>
      <c r="I106" s="16">
        <f t="shared" si="12"/>
        <v>1.6755160819145565</v>
      </c>
    </row>
    <row r="107" spans="1:9" x14ac:dyDescent="0.2">
      <c r="A107" s="16">
        <v>97</v>
      </c>
      <c r="B107" s="16">
        <f t="shared" si="7"/>
        <v>-1.6929693744344996</v>
      </c>
      <c r="C107" s="16">
        <f t="shared" si="8"/>
        <v>-0.36560803021544208</v>
      </c>
      <c r="D107" s="16">
        <f t="shared" si="9"/>
        <v>-2.9776384549239663</v>
      </c>
      <c r="E107" s="16">
        <f t="shared" si="13"/>
        <v>7.99164130628008</v>
      </c>
      <c r="F107" s="16">
        <f t="shared" si="10"/>
        <v>-0.36560803021544208</v>
      </c>
      <c r="G107" s="16">
        <f t="shared" si="11"/>
        <v>7.99164130628008</v>
      </c>
      <c r="I107" s="16">
        <f t="shared" si="12"/>
        <v>1.6929693744344996</v>
      </c>
    </row>
    <row r="108" spans="1:9" x14ac:dyDescent="0.2">
      <c r="A108" s="16">
        <v>98</v>
      </c>
      <c r="B108" s="16">
        <f t="shared" si="7"/>
        <v>-1.7104226669544429</v>
      </c>
      <c r="C108" s="16">
        <f t="shared" si="8"/>
        <v>-0.41751930288019606</v>
      </c>
      <c r="D108" s="16">
        <f t="shared" si="9"/>
        <v>-2.9708042062247113</v>
      </c>
      <c r="E108" s="16">
        <f t="shared" si="13"/>
        <v>7.9890974228458642</v>
      </c>
      <c r="F108" s="16">
        <f t="shared" si="10"/>
        <v>-0.41751930288019606</v>
      </c>
      <c r="G108" s="16">
        <f t="shared" si="11"/>
        <v>7.9890974228458642</v>
      </c>
      <c r="I108" s="16">
        <f t="shared" si="12"/>
        <v>1.7104226669544429</v>
      </c>
    </row>
    <row r="109" spans="1:9" x14ac:dyDescent="0.2">
      <c r="A109" s="16">
        <v>99</v>
      </c>
      <c r="B109" s="16">
        <f t="shared" si="7"/>
        <v>-1.7278759594743862</v>
      </c>
      <c r="C109" s="16">
        <f t="shared" si="8"/>
        <v>-0.46930339512069241</v>
      </c>
      <c r="D109" s="16">
        <f t="shared" si="9"/>
        <v>-2.9630650217854133</v>
      </c>
      <c r="E109" s="16">
        <f t="shared" si="13"/>
        <v>7.9862227819744795</v>
      </c>
      <c r="F109" s="16">
        <f t="shared" si="10"/>
        <v>-0.46930339512069241</v>
      </c>
      <c r="G109" s="16">
        <f t="shared" si="11"/>
        <v>7.9862227819744795</v>
      </c>
      <c r="I109" s="16">
        <f t="shared" si="12"/>
        <v>1.7278759594743862</v>
      </c>
    </row>
    <row r="110" spans="1:9" x14ac:dyDescent="0.2">
      <c r="A110" s="16">
        <v>100</v>
      </c>
      <c r="B110" s="16">
        <f t="shared" si="7"/>
        <v>-1.7453292519943295</v>
      </c>
      <c r="C110" s="16">
        <f t="shared" si="8"/>
        <v>-0.52094453300079091</v>
      </c>
      <c r="D110" s="16">
        <f t="shared" si="9"/>
        <v>-2.9544232590366239</v>
      </c>
      <c r="E110" s="16">
        <f t="shared" si="13"/>
        <v>7.9830205306974245</v>
      </c>
      <c r="F110" s="16">
        <f t="shared" si="10"/>
        <v>-0.52094453300079091</v>
      </c>
      <c r="G110" s="16">
        <f t="shared" si="11"/>
        <v>7.9830205306974245</v>
      </c>
      <c r="I110" s="16">
        <f t="shared" si="12"/>
        <v>1.7453292519943295</v>
      </c>
    </row>
    <row r="111" spans="1:9" x14ac:dyDescent="0.2">
      <c r="A111" s="16">
        <v>101</v>
      </c>
      <c r="B111" s="16">
        <f t="shared" si="7"/>
        <v>-1.7627825445142729</v>
      </c>
      <c r="C111" s="16">
        <f t="shared" si="8"/>
        <v>-0.57242698612963439</v>
      </c>
      <c r="D111" s="16">
        <f t="shared" si="9"/>
        <v>-2.9448815503429921</v>
      </c>
      <c r="E111" s="16">
        <f t="shared" si="13"/>
        <v>7.979494178552331</v>
      </c>
      <c r="F111" s="16">
        <f t="shared" si="10"/>
        <v>-0.57242698612963439</v>
      </c>
      <c r="G111" s="16">
        <f t="shared" si="11"/>
        <v>7.979494178552331</v>
      </c>
      <c r="I111" s="16">
        <f t="shared" si="12"/>
        <v>1.7627825445142729</v>
      </c>
    </row>
    <row r="112" spans="1:9" x14ac:dyDescent="0.2">
      <c r="A112" s="16">
        <v>102</v>
      </c>
      <c r="B112" s="16">
        <f t="shared" si="7"/>
        <v>-1.7802358370342162</v>
      </c>
      <c r="C112" s="16">
        <f t="shared" si="8"/>
        <v>-0.62373507245327797</v>
      </c>
      <c r="D112" s="16">
        <f t="shared" si="9"/>
        <v>-2.9344428022014171</v>
      </c>
      <c r="E112" s="16">
        <f t="shared" si="13"/>
        <v>7.975647594985106</v>
      </c>
      <c r="F112" s="16">
        <f t="shared" si="10"/>
        <v>-0.62373507245327797</v>
      </c>
      <c r="G112" s="16">
        <f t="shared" si="11"/>
        <v>7.975647594985106</v>
      </c>
      <c r="I112" s="16">
        <f t="shared" si="12"/>
        <v>1.7802358370342162</v>
      </c>
    </row>
    <row r="113" spans="1:9" x14ac:dyDescent="0.2">
      <c r="A113" s="16">
        <v>103</v>
      </c>
      <c r="B113" s="16">
        <f t="shared" si="7"/>
        <v>-1.7976891295541595</v>
      </c>
      <c r="C113" s="16">
        <f t="shared" si="8"/>
        <v>-0.67485316303159504</v>
      </c>
      <c r="D113" s="16">
        <f t="shared" si="9"/>
        <v>-2.9231101943557056</v>
      </c>
      <c r="E113" s="16">
        <f t="shared" si="13"/>
        <v>7.9714850064681331</v>
      </c>
      <c r="F113" s="16">
        <f t="shared" si="10"/>
        <v>-0.67485316303159504</v>
      </c>
      <c r="G113" s="16">
        <f t="shared" si="11"/>
        <v>7.9714850064681331</v>
      </c>
      <c r="I113" s="16">
        <f t="shared" si="12"/>
        <v>1.7976891295541595</v>
      </c>
    </row>
    <row r="114" spans="1:9" x14ac:dyDescent="0.2">
      <c r="A114" s="16">
        <v>104</v>
      </c>
      <c r="B114" s="16">
        <f t="shared" si="7"/>
        <v>-1.8151424220741028</v>
      </c>
      <c r="C114" s="16">
        <f t="shared" si="8"/>
        <v>-0.72576568679900333</v>
      </c>
      <c r="D114" s="16">
        <f t="shared" si="9"/>
        <v>-2.9108871788279895</v>
      </c>
      <c r="E114" s="16">
        <f t="shared" si="13"/>
        <v>7.9670109933315123</v>
      </c>
      <c r="F114" s="16">
        <f t="shared" si="10"/>
        <v>-0.72576568679900333</v>
      </c>
      <c r="G114" s="16">
        <f t="shared" si="11"/>
        <v>7.9670109933315123</v>
      </c>
      <c r="I114" s="16">
        <f t="shared" si="12"/>
        <v>1.8151424220741028</v>
      </c>
    </row>
    <row r="115" spans="1:9" x14ac:dyDescent="0.2">
      <c r="A115" s="16">
        <v>105</v>
      </c>
      <c r="B115" s="16">
        <f t="shared" si="7"/>
        <v>-1.8325957145940461</v>
      </c>
      <c r="C115" s="16">
        <f t="shared" si="8"/>
        <v>-0.77645713530756255</v>
      </c>
      <c r="D115" s="16">
        <f t="shared" si="9"/>
        <v>-2.897777478867205</v>
      </c>
      <c r="E115" s="16">
        <f t="shared" si="13"/>
        <v>7.9622304863040716</v>
      </c>
      <c r="F115" s="16">
        <f t="shared" si="10"/>
        <v>-0.77645713530756255</v>
      </c>
      <c r="G115" s="16">
        <f t="shared" si="11"/>
        <v>7.9622304863040716</v>
      </c>
      <c r="I115" s="16">
        <f t="shared" si="12"/>
        <v>1.8325957145940461</v>
      </c>
    </row>
    <row r="116" spans="1:9" x14ac:dyDescent="0.2">
      <c r="A116" s="16">
        <v>106</v>
      </c>
      <c r="B116" s="16">
        <f t="shared" si="7"/>
        <v>-1.8500490071139892</v>
      </c>
      <c r="C116" s="16">
        <f t="shared" si="8"/>
        <v>-0.8269120674509971</v>
      </c>
      <c r="D116" s="16">
        <f t="shared" si="9"/>
        <v>-2.8837850878149567</v>
      </c>
      <c r="E116" s="16">
        <f t="shared" si="13"/>
        <v>7.9571487627606858</v>
      </c>
      <c r="F116" s="16">
        <f t="shared" si="10"/>
        <v>-0.8269120674509971</v>
      </c>
      <c r="G116" s="16">
        <f t="shared" si="11"/>
        <v>7.9571487627606858</v>
      </c>
      <c r="I116" s="16">
        <f t="shared" si="12"/>
        <v>1.8500490071139892</v>
      </c>
    </row>
    <row r="117" spans="1:9" x14ac:dyDescent="0.2">
      <c r="A117" s="16">
        <v>107</v>
      </c>
      <c r="B117" s="16">
        <f t="shared" si="7"/>
        <v>-1.8675022996339325</v>
      </c>
      <c r="C117" s="16">
        <f t="shared" si="8"/>
        <v>-0.87711511416820997</v>
      </c>
      <c r="D117" s="16">
        <f t="shared" si="9"/>
        <v>-2.8689142678891066</v>
      </c>
      <c r="E117" s="16">
        <f t="shared" si="13"/>
        <v>7.9517714426722357</v>
      </c>
      <c r="F117" s="16">
        <f t="shared" si="10"/>
        <v>-0.87711511416820997</v>
      </c>
      <c r="G117" s="16">
        <f t="shared" si="11"/>
        <v>7.9517714426722357</v>
      </c>
      <c r="I117" s="16">
        <f t="shared" si="12"/>
        <v>1.8675022996339325</v>
      </c>
    </row>
    <row r="118" spans="1:9" x14ac:dyDescent="0.2">
      <c r="A118" s="16">
        <v>108</v>
      </c>
      <c r="B118" s="16">
        <f t="shared" si="7"/>
        <v>-1.8849555921538759</v>
      </c>
      <c r="C118" s="16">
        <f t="shared" si="8"/>
        <v>-0.92705098312484202</v>
      </c>
      <c r="D118" s="16">
        <f t="shared" si="9"/>
        <v>-2.8531695488854609</v>
      </c>
      <c r="E118" s="16">
        <f t="shared" si="13"/>
        <v>7.9461044842543611</v>
      </c>
      <c r="F118" s="16">
        <f t="shared" si="10"/>
        <v>-0.92705098312484202</v>
      </c>
      <c r="G118" s="16">
        <f t="shared" si="11"/>
        <v>7.9461044842543611</v>
      </c>
      <c r="I118" s="16">
        <f t="shared" si="12"/>
        <v>1.8849555921538759</v>
      </c>
    </row>
    <row r="119" spans="1:9" x14ac:dyDescent="0.2">
      <c r="A119" s="16">
        <v>109</v>
      </c>
      <c r="B119" s="16">
        <f t="shared" si="7"/>
        <v>-1.9024088846738192</v>
      </c>
      <c r="C119" s="16">
        <f t="shared" si="8"/>
        <v>-0.97670446337146988</v>
      </c>
      <c r="D119" s="16">
        <f t="shared" si="9"/>
        <v>-2.8365557267979504</v>
      </c>
      <c r="E119" s="16">
        <f t="shared" si="13"/>
        <v>7.9401541793110191</v>
      </c>
      <c r="F119" s="16">
        <f t="shared" si="10"/>
        <v>-0.97670446337146988</v>
      </c>
      <c r="G119" s="16">
        <f t="shared" si="11"/>
        <v>7.9401541793110191</v>
      </c>
      <c r="I119" s="16">
        <f t="shared" si="12"/>
        <v>1.9024088846738192</v>
      </c>
    </row>
    <row r="120" spans="1:9" x14ac:dyDescent="0.2">
      <c r="A120" s="16">
        <v>110</v>
      </c>
      <c r="B120" s="16">
        <f t="shared" si="7"/>
        <v>-1.9198621771937625</v>
      </c>
      <c r="C120" s="16">
        <f t="shared" si="8"/>
        <v>-1.0260604299770062</v>
      </c>
      <c r="D120" s="16">
        <f t="shared" si="9"/>
        <v>-2.8190778623577253</v>
      </c>
      <c r="E120" s="16">
        <f t="shared" si="13"/>
        <v>7.9339271482687188</v>
      </c>
      <c r="F120" s="16">
        <f t="shared" si="10"/>
        <v>-1.0260604299770062</v>
      </c>
      <c r="G120" s="16">
        <f t="shared" si="11"/>
        <v>7.9339271482687188</v>
      </c>
      <c r="I120" s="16">
        <f t="shared" si="12"/>
        <v>1.9198621771937625</v>
      </c>
    </row>
    <row r="121" spans="1:9" x14ac:dyDescent="0.2">
      <c r="A121" s="16">
        <v>111</v>
      </c>
      <c r="B121" s="16">
        <f t="shared" si="7"/>
        <v>-1.9373154697137058</v>
      </c>
      <c r="C121" s="16">
        <f t="shared" si="8"/>
        <v>-1.0751038486359008</v>
      </c>
      <c r="D121" s="16">
        <f t="shared" si="9"/>
        <v>-2.8007412794916053</v>
      </c>
      <c r="E121" s="16">
        <f t="shared" si="13"/>
        <v>7.9274303348971964</v>
      </c>
      <c r="F121" s="16">
        <f t="shared" si="10"/>
        <v>-1.0751038486359008</v>
      </c>
      <c r="G121" s="16">
        <f t="shared" si="11"/>
        <v>7.9274303348971964</v>
      </c>
      <c r="I121" s="16">
        <f t="shared" si="12"/>
        <v>1.9373154697137058</v>
      </c>
    </row>
    <row r="122" spans="1:9" x14ac:dyDescent="0.2">
      <c r="A122" s="16">
        <v>112</v>
      </c>
      <c r="B122" s="16">
        <f t="shared" si="7"/>
        <v>-1.9547687622336491</v>
      </c>
      <c r="C122" s="16">
        <f t="shared" si="8"/>
        <v>-1.1238197802477363</v>
      </c>
      <c r="D122" s="16">
        <f t="shared" si="9"/>
        <v>-2.7815515637003623</v>
      </c>
      <c r="E122" s="16">
        <f t="shared" si="13"/>
        <v>7.9206710007122458</v>
      </c>
      <c r="F122" s="16">
        <f t="shared" si="10"/>
        <v>-1.1238197802477363</v>
      </c>
      <c r="G122" s="16">
        <f t="shared" si="11"/>
        <v>7.9206710007122458</v>
      </c>
      <c r="I122" s="16">
        <f t="shared" si="12"/>
        <v>1.9547687622336491</v>
      </c>
    </row>
    <row r="123" spans="1:9" x14ac:dyDescent="0.2">
      <c r="A123" s="16">
        <v>113</v>
      </c>
      <c r="B123" s="16">
        <f t="shared" si="7"/>
        <v>-1.9722220547535925</v>
      </c>
      <c r="C123" s="16">
        <f t="shared" si="8"/>
        <v>-1.1721933854678213</v>
      </c>
      <c r="D123" s="16">
        <f t="shared" si="9"/>
        <v>-2.7615145603573206</v>
      </c>
      <c r="E123" s="16">
        <f t="shared" si="13"/>
        <v>7.9136567190563358</v>
      </c>
      <c r="F123" s="16">
        <f t="shared" si="10"/>
        <v>-1.1721933854678213</v>
      </c>
      <c r="G123" s="16">
        <f t="shared" si="11"/>
        <v>7.9136567190563358</v>
      </c>
      <c r="I123" s="16">
        <f t="shared" si="12"/>
        <v>1.9722220547535925</v>
      </c>
    </row>
    <row r="124" spans="1:9" x14ac:dyDescent="0.2">
      <c r="A124" s="16">
        <v>114</v>
      </c>
      <c r="B124" s="16">
        <f t="shared" si="7"/>
        <v>-1.9896753472735358</v>
      </c>
      <c r="C124" s="16">
        <f t="shared" si="8"/>
        <v>-1.2202099292274009</v>
      </c>
      <c r="D124" s="16">
        <f t="shared" si="9"/>
        <v>-2.7406363729278027</v>
      </c>
      <c r="E124" s="16">
        <f t="shared" si="13"/>
        <v>7.9063953688526647</v>
      </c>
      <c r="F124" s="16">
        <f t="shared" si="10"/>
        <v>-1.2202099292274009</v>
      </c>
      <c r="G124" s="16">
        <f t="shared" si="11"/>
        <v>7.9063953688526647</v>
      </c>
      <c r="I124" s="16">
        <f t="shared" si="12"/>
        <v>1.9896753472735358</v>
      </c>
    </row>
    <row r="125" spans="1:9" x14ac:dyDescent="0.2">
      <c r="A125" s="16">
        <v>115</v>
      </c>
      <c r="B125" s="16">
        <f t="shared" si="7"/>
        <v>-2.0071286397934789</v>
      </c>
      <c r="C125" s="16">
        <f t="shared" si="8"/>
        <v>-1.267854785222098</v>
      </c>
      <c r="D125" s="16">
        <f t="shared" si="9"/>
        <v>-2.7189233611099501</v>
      </c>
      <c r="E125" s="16">
        <f t="shared" si="13"/>
        <v>7.8988951280283137</v>
      </c>
      <c r="F125" s="16">
        <f t="shared" si="10"/>
        <v>-1.267854785222098</v>
      </c>
      <c r="G125" s="16">
        <f t="shared" si="11"/>
        <v>7.8988951280283137</v>
      </c>
      <c r="I125" s="16">
        <f t="shared" si="12"/>
        <v>2.0071286397934789</v>
      </c>
    </row>
    <row r="126" spans="1:9" x14ac:dyDescent="0.2">
      <c r="A126" s="16">
        <v>116</v>
      </c>
      <c r="B126" s="16">
        <f t="shared" si="7"/>
        <v>-2.0245819323134224</v>
      </c>
      <c r="C126" s="16">
        <f t="shared" si="8"/>
        <v>-1.3151134403672327</v>
      </c>
      <c r="D126" s="16">
        <f t="shared" si="9"/>
        <v>-2.6963821388975009</v>
      </c>
      <c r="E126" s="16">
        <f t="shared" si="13"/>
        <v>7.891164466602218</v>
      </c>
      <c r="F126" s="16">
        <f t="shared" si="10"/>
        <v>-1.3151134403672327</v>
      </c>
      <c r="G126" s="16">
        <f t="shared" si="11"/>
        <v>7.891164466602218</v>
      </c>
      <c r="I126" s="16">
        <f t="shared" si="12"/>
        <v>2.0245819323134224</v>
      </c>
    </row>
    <row r="127" spans="1:9" x14ac:dyDescent="0.2">
      <c r="A127" s="16">
        <v>117</v>
      </c>
      <c r="B127" s="16">
        <f t="shared" si="7"/>
        <v>-2.0420352248333655</v>
      </c>
      <c r="C127" s="16">
        <f t="shared" si="8"/>
        <v>-1.36197149921864</v>
      </c>
      <c r="D127" s="16">
        <f t="shared" si="9"/>
        <v>-2.6730195725651038</v>
      </c>
      <c r="E127" s="16">
        <f t="shared" si="13"/>
        <v>7.8832121394337813</v>
      </c>
      <c r="F127" s="16">
        <f t="shared" si="10"/>
        <v>-1.36197149921864</v>
      </c>
      <c r="G127" s="16">
        <f t="shared" si="11"/>
        <v>7.8832121394337813</v>
      </c>
      <c r="I127" s="16">
        <f t="shared" si="12"/>
        <v>2.0420352248333655</v>
      </c>
    </row>
    <row r="128" spans="1:9" x14ac:dyDescent="0.2">
      <c r="A128" s="16">
        <v>118</v>
      </c>
      <c r="B128" s="16">
        <f t="shared" si="7"/>
        <v>-2.0594885173533091</v>
      </c>
      <c r="C128" s="16">
        <f t="shared" si="8"/>
        <v>-1.4084146883576727</v>
      </c>
      <c r="D128" s="16">
        <f t="shared" si="9"/>
        <v>-2.6488427785767805</v>
      </c>
      <c r="E128" s="16">
        <f t="shared" si="13"/>
        <v>7.8750471786280976</v>
      </c>
      <c r="F128" s="16">
        <f t="shared" si="10"/>
        <v>-1.4084146883576727</v>
      </c>
      <c r="G128" s="16">
        <f t="shared" si="11"/>
        <v>7.8750471786280976</v>
      </c>
      <c r="I128" s="16">
        <f t="shared" si="12"/>
        <v>2.0594885173533091</v>
      </c>
    </row>
    <row r="129" spans="1:9" x14ac:dyDescent="0.2">
      <c r="A129" s="16">
        <v>119</v>
      </c>
      <c r="B129" s="16">
        <f t="shared" si="7"/>
        <v>-2.0769418098732522</v>
      </c>
      <c r="C129" s="16">
        <f t="shared" si="8"/>
        <v>-1.454428860739011</v>
      </c>
      <c r="D129" s="16">
        <f t="shared" si="9"/>
        <v>-2.6238591214181874</v>
      </c>
      <c r="E129" s="16">
        <f t="shared" si="13"/>
        <v>7.8666788855939345</v>
      </c>
      <c r="F129" s="16">
        <f t="shared" si="10"/>
        <v>-1.454428860739011</v>
      </c>
      <c r="G129" s="16">
        <f t="shared" si="11"/>
        <v>7.8666788855939345</v>
      </c>
      <c r="I129" s="16">
        <f t="shared" si="12"/>
        <v>2.0769418098732522</v>
      </c>
    </row>
    <row r="130" spans="1:9" x14ac:dyDescent="0.2">
      <c r="A130" s="16">
        <v>120</v>
      </c>
      <c r="B130" s="16">
        <f t="shared" si="7"/>
        <v>-2.0943951023931953</v>
      </c>
      <c r="C130" s="16">
        <f t="shared" si="8"/>
        <v>-1.4999999999999993</v>
      </c>
      <c r="D130" s="16">
        <f t="shared" si="9"/>
        <v>-2.598076211353316</v>
      </c>
      <c r="E130" s="16">
        <f t="shared" si="13"/>
        <v>7.8581168227508558</v>
      </c>
      <c r="F130" s="16">
        <f t="shared" si="10"/>
        <v>-1.4999999999999993</v>
      </c>
      <c r="G130" s="16">
        <f t="shared" si="11"/>
        <v>7.8581168227508558</v>
      </c>
      <c r="I130" s="16">
        <f t="shared" si="12"/>
        <v>2.0943951023931953</v>
      </c>
    </row>
    <row r="131" spans="1:9" x14ac:dyDescent="0.2">
      <c r="A131" s="16">
        <v>121</v>
      </c>
      <c r="B131" s="16">
        <f t="shared" si="7"/>
        <v>-2.1118483949131388</v>
      </c>
      <c r="C131" s="16">
        <f t="shared" si="8"/>
        <v>-1.5451142247301628</v>
      </c>
      <c r="D131" s="16">
        <f t="shared" si="9"/>
        <v>-2.5715019021063368</v>
      </c>
      <c r="E131" s="16">
        <f t="shared" si="13"/>
        <v>7.8493708048821667</v>
      </c>
      <c r="F131" s="16">
        <f t="shared" si="10"/>
        <v>-1.5451142247301628</v>
      </c>
      <c r="G131" s="16">
        <f t="shared" si="11"/>
        <v>7.8493708048821667</v>
      </c>
      <c r="I131" s="16">
        <f t="shared" si="12"/>
        <v>2.1118483949131388</v>
      </c>
    </row>
    <row r="132" spans="1:9" x14ac:dyDescent="0.2">
      <c r="A132" s="16">
        <v>122</v>
      </c>
      <c r="B132" s="16">
        <f t="shared" si="7"/>
        <v>-2.1293016874330819</v>
      </c>
      <c r="C132" s="16">
        <f t="shared" si="8"/>
        <v>-1.5897577926996145</v>
      </c>
      <c r="D132" s="16">
        <f t="shared" si="9"/>
        <v>-2.544144288469278</v>
      </c>
      <c r="E132" s="16">
        <f t="shared" si="13"/>
        <v>7.840450890130672</v>
      </c>
      <c r="F132" s="16">
        <f t="shared" si="10"/>
        <v>-1.5897577926996145</v>
      </c>
      <c r="G132" s="16">
        <f t="shared" si="11"/>
        <v>7.840450890130672</v>
      </c>
      <c r="I132" s="16">
        <f t="shared" si="12"/>
        <v>2.1293016874330819</v>
      </c>
    </row>
    <row r="133" spans="1:9" x14ac:dyDescent="0.2">
      <c r="A133" s="16">
        <v>123</v>
      </c>
      <c r="B133" s="16">
        <f t="shared" si="7"/>
        <v>-2.1467549799530254</v>
      </c>
      <c r="C133" s="16">
        <f t="shared" si="8"/>
        <v>-1.6339171050450814</v>
      </c>
      <c r="D133" s="16">
        <f t="shared" si="9"/>
        <v>-2.5160117038362717</v>
      </c>
      <c r="E133" s="16">
        <f t="shared" si="13"/>
        <v>7.831367370634652</v>
      </c>
      <c r="F133" s="16">
        <f t="shared" si="10"/>
        <v>-1.6339171050450814</v>
      </c>
      <c r="G133" s="16">
        <f t="shared" si="11"/>
        <v>7.831367370634652</v>
      </c>
      <c r="I133" s="16">
        <f t="shared" si="12"/>
        <v>2.1467549799530254</v>
      </c>
    </row>
    <row r="134" spans="1:9" x14ac:dyDescent="0.2">
      <c r="A134" s="16">
        <v>124</v>
      </c>
      <c r="B134" s="16">
        <f t="shared" si="7"/>
        <v>-2.1642082724729685</v>
      </c>
      <c r="C134" s="16">
        <f t="shared" si="8"/>
        <v>-1.6775787104122402</v>
      </c>
      <c r="D134" s="16">
        <f t="shared" si="9"/>
        <v>-2.4871127176651253</v>
      </c>
      <c r="E134" s="16">
        <f t="shared" si="13"/>
        <v>7.8221307628018852</v>
      </c>
      <c r="F134" s="16">
        <f t="shared" si="10"/>
        <v>-1.6775787104122402</v>
      </c>
      <c r="G134" s="16">
        <f t="shared" si="11"/>
        <v>7.8221307628018852</v>
      </c>
      <c r="I134" s="16">
        <f t="shared" si="12"/>
        <v>2.1642082724729685</v>
      </c>
    </row>
    <row r="135" spans="1:9" x14ac:dyDescent="0.2">
      <c r="A135" s="16">
        <v>125</v>
      </c>
      <c r="B135" s="16">
        <f t="shared" si="7"/>
        <v>-2.1816615649929121</v>
      </c>
      <c r="C135" s="16">
        <f t="shared" si="8"/>
        <v>-1.7207293090531386</v>
      </c>
      <c r="D135" s="16">
        <f t="shared" si="9"/>
        <v>-2.4574561328669748</v>
      </c>
      <c r="E135" s="16">
        <f t="shared" si="13"/>
        <v>7.8127517972200744</v>
      </c>
      <c r="F135" s="16">
        <f t="shared" si="10"/>
        <v>-1.7207293090531386</v>
      </c>
      <c r="G135" s="16">
        <f t="shared" si="11"/>
        <v>7.8127517972200744</v>
      </c>
      <c r="I135" s="16">
        <f t="shared" si="12"/>
        <v>2.1816615649929121</v>
      </c>
    </row>
    <row r="136" spans="1:9" x14ac:dyDescent="0.2">
      <c r="A136" s="16">
        <v>126</v>
      </c>
      <c r="B136" s="16">
        <f t="shared" si="7"/>
        <v>-2.1991148575128552</v>
      </c>
      <c r="C136" s="16">
        <f t="shared" si="8"/>
        <v>-1.7633557568774192</v>
      </c>
      <c r="D136" s="16">
        <f t="shared" si="9"/>
        <v>-2.4270509831248424</v>
      </c>
      <c r="E136" s="16">
        <f t="shared" si="13"/>
        <v>7.8032414082025721</v>
      </c>
      <c r="F136" s="16">
        <f t="shared" si="10"/>
        <v>-1.7633557568774192</v>
      </c>
      <c r="G136" s="16">
        <f t="shared" si="11"/>
        <v>7.8032414082025721</v>
      </c>
      <c r="I136" s="16">
        <f t="shared" si="12"/>
        <v>2.1991148575128552</v>
      </c>
    </row>
    <row r="137" spans="1:9" x14ac:dyDescent="0.2">
      <c r="A137" s="16">
        <v>127</v>
      </c>
      <c r="B137" s="16">
        <f t="shared" si="7"/>
        <v>-2.2165681500327987</v>
      </c>
      <c r="C137" s="16">
        <f t="shared" si="8"/>
        <v>-1.805445069456145</v>
      </c>
      <c r="D137" s="16">
        <f t="shared" si="9"/>
        <v>-2.395906530141878</v>
      </c>
      <c r="E137" s="16">
        <f t="shared" si="13"/>
        <v>7.7936107229689435</v>
      </c>
      <c r="F137" s="16">
        <f t="shared" si="10"/>
        <v>-1.805445069456145</v>
      </c>
      <c r="G137" s="16">
        <f t="shared" si="11"/>
        <v>7.7936107229689435</v>
      </c>
      <c r="I137" s="16">
        <f t="shared" si="12"/>
        <v>2.2165681500327987</v>
      </c>
    </row>
    <row r="138" spans="1:9" x14ac:dyDescent="0.2">
      <c r="A138" s="16">
        <v>128</v>
      </c>
      <c r="B138" s="16">
        <f t="shared" si="7"/>
        <v>-2.2340214425527418</v>
      </c>
      <c r="C138" s="16">
        <f t="shared" si="8"/>
        <v>-1.846984425976975</v>
      </c>
      <c r="D138" s="16">
        <f t="shared" si="9"/>
        <v>-2.3640322608201663</v>
      </c>
      <c r="E138" s="16">
        <f t="shared" si="13"/>
        <v>7.7838710504605935</v>
      </c>
      <c r="F138" s="16">
        <f t="shared" si="10"/>
        <v>-1.846984425976975</v>
      </c>
      <c r="G138" s="16">
        <f t="shared" si="11"/>
        <v>7.7838710504605935</v>
      </c>
      <c r="I138" s="16">
        <f t="shared" si="12"/>
        <v>2.2340214425527418</v>
      </c>
    </row>
    <row r="139" spans="1:9" x14ac:dyDescent="0.2">
      <c r="A139" s="16">
        <v>129</v>
      </c>
      <c r="B139" s="16">
        <f t="shared" ref="B139:B202" si="14">-RADIANS(A139)</f>
        <v>-2.2514747350726849</v>
      </c>
      <c r="C139" s="16">
        <f t="shared" ref="C139:C202" si="15">(C$6)*COS(B139)</f>
        <v>-1.8879611731495118</v>
      </c>
      <c r="D139" s="16">
        <f t="shared" ref="D139:D202" si="16">(C$6)*SIN(B139)</f>
        <v>-2.3314378843709131</v>
      </c>
      <c r="E139" s="16">
        <f t="shared" si="13"/>
        <v>7.7740338697924338</v>
      </c>
      <c r="F139" s="16">
        <f t="shared" ref="F139:F202" si="17">IF(A139&lt;=$E$1,C139,NA())</f>
        <v>-1.8879611731495118</v>
      </c>
      <c r="G139" s="16">
        <f t="shared" ref="G139:G202" si="18">IF(A139&lt;=$E$1,E139,NA())</f>
        <v>7.7740338697924338</v>
      </c>
      <c r="I139" s="16">
        <f t="shared" ref="I139:I202" si="19">RADIANS(A139)</f>
        <v>2.2514747350726849</v>
      </c>
    </row>
    <row r="140" spans="1:9" x14ac:dyDescent="0.2">
      <c r="A140" s="16">
        <v>130</v>
      </c>
      <c r="B140" s="16">
        <f t="shared" si="14"/>
        <v>-2.2689280275926285</v>
      </c>
      <c r="C140" s="16">
        <f t="shared" si="15"/>
        <v>-1.9283628290596182</v>
      </c>
      <c r="D140" s="16">
        <f t="shared" si="16"/>
        <v>-2.2981333293569342</v>
      </c>
      <c r="E140" s="16">
        <f t="shared" ref="E140:E203" si="20">D$10+(2*C$6+C$4)*COS(ASIN(C140/(2*C$6+C$4)))</f>
        <v>7.7641108183423801</v>
      </c>
      <c r="F140" s="16">
        <f t="shared" si="17"/>
        <v>-1.9283628290596182</v>
      </c>
      <c r="G140" s="16">
        <f t="shared" si="18"/>
        <v>7.7641108183423801</v>
      </c>
      <c r="I140" s="16">
        <f t="shared" si="19"/>
        <v>2.2689280275926285</v>
      </c>
    </row>
    <row r="141" spans="1:9" x14ac:dyDescent="0.2">
      <c r="A141" s="16">
        <v>131</v>
      </c>
      <c r="B141" s="16">
        <f t="shared" si="14"/>
        <v>-2.2863813201125716</v>
      </c>
      <c r="C141" s="16">
        <f t="shared" si="15"/>
        <v>-1.9681770869715214</v>
      </c>
      <c r="D141" s="16">
        <f t="shared" si="16"/>
        <v>-2.2641287406683164</v>
      </c>
      <c r="E141" s="16">
        <f t="shared" si="20"/>
        <v>7.7541136794813816</v>
      </c>
      <c r="F141" s="16">
        <f t="shared" si="17"/>
        <v>-1.9681770869715214</v>
      </c>
      <c r="G141" s="16">
        <f t="shared" si="18"/>
        <v>7.7541136794813816</v>
      </c>
      <c r="I141" s="16">
        <f t="shared" si="19"/>
        <v>2.2863813201125716</v>
      </c>
    </row>
    <row r="142" spans="1:9" x14ac:dyDescent="0.2">
      <c r="A142" s="16">
        <v>132</v>
      </c>
      <c r="B142" s="16">
        <f t="shared" si="14"/>
        <v>-2.3038346126325151</v>
      </c>
      <c r="C142" s="16">
        <f t="shared" si="15"/>
        <v>-2.0073918190765747</v>
      </c>
      <c r="D142" s="16">
        <f t="shared" si="16"/>
        <v>-2.229434476432183</v>
      </c>
      <c r="E142" s="16">
        <f t="shared" si="20"/>
        <v>7.7440543699475946</v>
      </c>
      <c r="F142" s="16">
        <f t="shared" si="17"/>
        <v>-2.0073918190765747</v>
      </c>
      <c r="G142" s="16">
        <f t="shared" si="18"/>
        <v>7.7440543699475946</v>
      </c>
      <c r="I142" s="16">
        <f t="shared" si="19"/>
        <v>2.3038346126325151</v>
      </c>
    </row>
    <row r="143" spans="1:9" x14ac:dyDescent="0.2">
      <c r="A143" s="16">
        <v>133</v>
      </c>
      <c r="B143" s="16">
        <f t="shared" si="14"/>
        <v>-2.3212879051524582</v>
      </c>
      <c r="C143" s="16">
        <f t="shared" si="15"/>
        <v>-2.0459950801874953</v>
      </c>
      <c r="D143" s="16">
        <f t="shared" si="16"/>
        <v>-2.1940611048575116</v>
      </c>
      <c r="E143" s="16">
        <f t="shared" si="20"/>
        <v>7.733944926869377</v>
      </c>
      <c r="F143" s="16">
        <f t="shared" si="17"/>
        <v>-2.0459950801874953</v>
      </c>
      <c r="G143" s="16">
        <f t="shared" si="18"/>
        <v>7.733944926869377</v>
      </c>
      <c r="I143" s="16">
        <f t="shared" si="19"/>
        <v>2.3212879051524582</v>
      </c>
    </row>
    <row r="144" spans="1:9" x14ac:dyDescent="0.2">
      <c r="A144" s="16">
        <v>134</v>
      </c>
      <c r="B144" s="16">
        <f t="shared" si="14"/>
        <v>-2.3387411976724017</v>
      </c>
      <c r="C144" s="16">
        <f t="shared" si="15"/>
        <v>-2.0839751113769922</v>
      </c>
      <c r="D144" s="16">
        <f t="shared" si="16"/>
        <v>-2.1580194010159532</v>
      </c>
      <c r="E144" s="16">
        <f t="shared" si="20"/>
        <v>7.7237974944428247</v>
      </c>
      <c r="F144" s="16">
        <f t="shared" si="17"/>
        <v>-2.0839751113769922</v>
      </c>
      <c r="G144" s="16">
        <f t="shared" si="18"/>
        <v>7.7237974944428247</v>
      </c>
      <c r="I144" s="16">
        <f t="shared" si="19"/>
        <v>2.3387411976724017</v>
      </c>
    </row>
    <row r="145" spans="1:9" x14ac:dyDescent="0.2">
      <c r="A145" s="16">
        <v>135</v>
      </c>
      <c r="B145" s="16">
        <f t="shared" si="14"/>
        <v>-2.3561944901923448</v>
      </c>
      <c r="C145" s="16">
        <f t="shared" si="15"/>
        <v>-2.1213203435596424</v>
      </c>
      <c r="D145" s="16">
        <f t="shared" si="16"/>
        <v>-2.1213203435596428</v>
      </c>
      <c r="E145" s="16">
        <f t="shared" si="20"/>
        <v>7.713624310270756</v>
      </c>
      <c r="F145" s="16">
        <f t="shared" si="17"/>
        <v>-2.1213203435596424</v>
      </c>
      <c r="G145" s="16">
        <f t="shared" si="18"/>
        <v>7.713624310270756</v>
      </c>
      <c r="I145" s="16">
        <f t="shared" si="19"/>
        <v>2.3561944901923448</v>
      </c>
    </row>
    <row r="146" spans="1:9" x14ac:dyDescent="0.2">
      <c r="A146" s="16">
        <v>136</v>
      </c>
      <c r="B146" s="16">
        <f t="shared" si="14"/>
        <v>-2.3736477827122884</v>
      </c>
      <c r="C146" s="16">
        <f t="shared" si="15"/>
        <v>-2.1580194010159537</v>
      </c>
      <c r="D146" s="16">
        <f t="shared" si="16"/>
        <v>-2.0839751113769913</v>
      </c>
      <c r="E146" s="16">
        <f t="shared" si="20"/>
        <v>7.703437691371219</v>
      </c>
      <c r="F146" s="16">
        <f t="shared" si="17"/>
        <v>-2.1580194010159537</v>
      </c>
      <c r="G146" s="16">
        <f t="shared" si="18"/>
        <v>7.703437691371219</v>
      </c>
      <c r="I146" s="16">
        <f t="shared" si="19"/>
        <v>2.3736477827122884</v>
      </c>
    </row>
    <row r="147" spans="1:9" x14ac:dyDescent="0.2">
      <c r="A147" s="16">
        <v>137</v>
      </c>
      <c r="B147" s="16">
        <f t="shared" si="14"/>
        <v>-2.3911010752322315</v>
      </c>
      <c r="C147" s="16">
        <f t="shared" si="15"/>
        <v>-2.1940611048575116</v>
      </c>
      <c r="D147" s="16">
        <f t="shared" si="16"/>
        <v>-2.0459950801874958</v>
      </c>
      <c r="E147" s="16">
        <f t="shared" si="20"/>
        <v>7.6932500198649096</v>
      </c>
      <c r="F147" s="16">
        <f t="shared" si="17"/>
        <v>-2.1940611048575116</v>
      </c>
      <c r="G147" s="16">
        <f t="shared" si="18"/>
        <v>7.6932500198649096</v>
      </c>
      <c r="I147" s="16">
        <f t="shared" si="19"/>
        <v>2.3911010752322315</v>
      </c>
    </row>
    <row r="148" spans="1:9" x14ac:dyDescent="0.2">
      <c r="A148" s="16">
        <v>138</v>
      </c>
      <c r="B148" s="16">
        <f t="shared" si="14"/>
        <v>-2.4085543677521746</v>
      </c>
      <c r="C148" s="16">
        <f t="shared" si="15"/>
        <v>-2.2294344764321821</v>
      </c>
      <c r="D148" s="16">
        <f t="shared" si="16"/>
        <v>-2.0073918190765752</v>
      </c>
      <c r="E148" s="16">
        <f t="shared" si="20"/>
        <v>7.6830737283521859</v>
      </c>
      <c r="F148" s="16">
        <f t="shared" si="17"/>
        <v>-2.2294344764321821</v>
      </c>
      <c r="G148" s="16">
        <f t="shared" si="18"/>
        <v>7.6830737283521859</v>
      </c>
      <c r="I148" s="16">
        <f t="shared" si="19"/>
        <v>2.4085543677521746</v>
      </c>
    </row>
    <row r="149" spans="1:9" x14ac:dyDescent="0.2">
      <c r="A149" s="16">
        <v>139</v>
      </c>
      <c r="B149" s="16">
        <f t="shared" si="14"/>
        <v>-2.4260076602721181</v>
      </c>
      <c r="C149" s="16">
        <f t="shared" si="15"/>
        <v>-2.2641287406683159</v>
      </c>
      <c r="D149" s="16">
        <f t="shared" si="16"/>
        <v>-1.9681770869715218</v>
      </c>
      <c r="E149" s="16">
        <f t="shared" si="20"/>
        <v>7.6729212849917667</v>
      </c>
      <c r="F149" s="16">
        <f t="shared" si="17"/>
        <v>-2.2641287406683159</v>
      </c>
      <c r="G149" s="16">
        <f t="shared" si="18"/>
        <v>7.6729212849917667</v>
      </c>
      <c r="I149" s="16">
        <f t="shared" si="19"/>
        <v>2.4260076602721181</v>
      </c>
    </row>
    <row r="150" spans="1:9" x14ac:dyDescent="0.2">
      <c r="A150" s="16">
        <v>140</v>
      </c>
      <c r="B150" s="16">
        <f t="shared" si="14"/>
        <v>-2.4434609527920612</v>
      </c>
      <c r="C150" s="16">
        <f t="shared" si="15"/>
        <v>-2.2981333293569337</v>
      </c>
      <c r="D150" s="16">
        <f t="shared" si="16"/>
        <v>-1.9283628290596184</v>
      </c>
      <c r="E150" s="16">
        <f t="shared" si="20"/>
        <v>7.6628051782946178</v>
      </c>
      <c r="F150" s="16">
        <f t="shared" si="17"/>
        <v>-2.2981333293569337</v>
      </c>
      <c r="G150" s="16">
        <f t="shared" si="18"/>
        <v>7.6628051782946178</v>
      </c>
      <c r="I150" s="16">
        <f t="shared" si="19"/>
        <v>2.4434609527920612</v>
      </c>
    </row>
    <row r="151" spans="1:9" x14ac:dyDescent="0.2">
      <c r="A151" s="16">
        <v>141</v>
      </c>
      <c r="B151" s="16">
        <f t="shared" si="14"/>
        <v>-2.4609142453120048</v>
      </c>
      <c r="C151" s="16">
        <f t="shared" si="15"/>
        <v>-2.3314378843709127</v>
      </c>
      <c r="D151" s="16">
        <f t="shared" si="16"/>
        <v>-1.8879611731495123</v>
      </c>
      <c r="E151" s="16">
        <f t="shared" si="20"/>
        <v>7.6527379016480159</v>
      </c>
      <c r="F151" s="16">
        <f t="shared" si="17"/>
        <v>-2.3314378843709127</v>
      </c>
      <c r="G151" s="16">
        <f t="shared" si="18"/>
        <v>7.6527379016480159</v>
      </c>
      <c r="I151" s="16">
        <f t="shared" si="19"/>
        <v>2.4609142453120048</v>
      </c>
    </row>
    <row r="152" spans="1:9" x14ac:dyDescent="0.2">
      <c r="A152" s="16">
        <v>142</v>
      </c>
      <c r="B152" s="16">
        <f t="shared" si="14"/>
        <v>-2.4783675378319479</v>
      </c>
      <c r="C152" s="16">
        <f t="shared" si="15"/>
        <v>-2.3640322608201658</v>
      </c>
      <c r="D152" s="16">
        <f t="shared" si="16"/>
        <v>-1.8469844259769752</v>
      </c>
      <c r="E152" s="16">
        <f t="shared" si="20"/>
        <v>7.6427319375862908</v>
      </c>
      <c r="F152" s="16">
        <f t="shared" si="17"/>
        <v>-2.3640322608201658</v>
      </c>
      <c r="G152" s="16">
        <f t="shared" si="18"/>
        <v>7.6427319375862908</v>
      </c>
      <c r="I152" s="16">
        <f t="shared" si="19"/>
        <v>2.4783675378319479</v>
      </c>
    </row>
    <row r="153" spans="1:9" x14ac:dyDescent="0.2">
      <c r="A153" s="16">
        <v>143</v>
      </c>
      <c r="B153" s="16">
        <f t="shared" si="14"/>
        <v>-2.4958208303518914</v>
      </c>
      <c r="C153" s="16">
        <f t="shared" si="15"/>
        <v>-2.3959065301418789</v>
      </c>
      <c r="D153" s="16">
        <f t="shared" si="16"/>
        <v>-1.8054450694561446</v>
      </c>
      <c r="E153" s="16">
        <f t="shared" si="20"/>
        <v>7.6327997418262914</v>
      </c>
      <c r="F153" s="16">
        <f t="shared" si="17"/>
        <v>-2.3959065301418789</v>
      </c>
      <c r="G153" s="16">
        <f t="shared" si="18"/>
        <v>7.6327997418262914</v>
      </c>
      <c r="I153" s="16">
        <f t="shared" si="19"/>
        <v>2.4958208303518914</v>
      </c>
    </row>
    <row r="154" spans="1:9" x14ac:dyDescent="0.2">
      <c r="A154" s="16">
        <v>144</v>
      </c>
      <c r="B154" s="16">
        <f t="shared" si="14"/>
        <v>-2.5132741228718345</v>
      </c>
      <c r="C154" s="16">
        <f t="shared" si="15"/>
        <v>-2.4270509831248419</v>
      </c>
      <c r="D154" s="16">
        <f t="shared" si="16"/>
        <v>-1.7633557568774196</v>
      </c>
      <c r="E154" s="16">
        <f t="shared" si="20"/>
        <v>7.6229537270872072</v>
      </c>
      <c r="F154" s="16">
        <f t="shared" si="17"/>
        <v>-2.4270509831248419</v>
      </c>
      <c r="G154" s="16">
        <f t="shared" si="18"/>
        <v>7.6229537270872072</v>
      </c>
      <c r="I154" s="16">
        <f t="shared" si="19"/>
        <v>2.5132741228718345</v>
      </c>
    </row>
    <row r="155" spans="1:9" x14ac:dyDescent="0.2">
      <c r="A155" s="16">
        <v>145</v>
      </c>
      <c r="B155" s="16">
        <f t="shared" si="14"/>
        <v>-2.530727415391778</v>
      </c>
      <c r="C155" s="16">
        <f t="shared" si="15"/>
        <v>-2.4574561328669757</v>
      </c>
      <c r="D155" s="16">
        <f t="shared" si="16"/>
        <v>-1.7207293090531377</v>
      </c>
      <c r="E155" s="16">
        <f t="shared" si="20"/>
        <v>7.613206246715932</v>
      </c>
      <c r="F155" s="16">
        <f t="shared" si="17"/>
        <v>-2.4574561328669757</v>
      </c>
      <c r="G155" s="16">
        <f t="shared" si="18"/>
        <v>7.613206246715932</v>
      </c>
      <c r="I155" s="16">
        <f t="shared" si="19"/>
        <v>2.530727415391778</v>
      </c>
    </row>
    <row r="156" spans="1:9" x14ac:dyDescent="0.2">
      <c r="A156" s="16">
        <v>146</v>
      </c>
      <c r="B156" s="16">
        <f t="shared" si="14"/>
        <v>-2.5481807079117211</v>
      </c>
      <c r="C156" s="16">
        <f t="shared" si="15"/>
        <v>-2.4871127176651249</v>
      </c>
      <c r="D156" s="16">
        <f t="shared" si="16"/>
        <v>-1.6775787104122406</v>
      </c>
      <c r="E156" s="16">
        <f t="shared" si="20"/>
        <v>7.6035695781408084</v>
      </c>
      <c r="F156" s="16">
        <f t="shared" si="17"/>
        <v>-2.4871127176651249</v>
      </c>
      <c r="G156" s="16">
        <f t="shared" si="18"/>
        <v>7.6035695781408084</v>
      </c>
      <c r="I156" s="16">
        <f t="shared" si="19"/>
        <v>2.5481807079117211</v>
      </c>
    </row>
    <row r="157" spans="1:9" x14ac:dyDescent="0.2">
      <c r="A157" s="16">
        <v>147</v>
      </c>
      <c r="B157" s="16">
        <f t="shared" si="14"/>
        <v>-2.5656340004316642</v>
      </c>
      <c r="C157" s="16">
        <f t="shared" si="15"/>
        <v>-2.5160117038362717</v>
      </c>
      <c r="D157" s="16">
        <f t="shared" si="16"/>
        <v>-1.6339171050450818</v>
      </c>
      <c r="E157" s="16">
        <f t="shared" si="20"/>
        <v>7.5940559061781272</v>
      </c>
      <c r="F157" s="16">
        <f t="shared" si="17"/>
        <v>-2.5160117038362717</v>
      </c>
      <c r="G157" s="16">
        <f t="shared" si="18"/>
        <v>7.5940559061781272</v>
      </c>
      <c r="I157" s="16">
        <f t="shared" si="19"/>
        <v>2.5656340004316642</v>
      </c>
    </row>
    <row r="158" spans="1:9" x14ac:dyDescent="0.2">
      <c r="A158" s="16">
        <v>148</v>
      </c>
      <c r="B158" s="16">
        <f t="shared" si="14"/>
        <v>-2.5830872929516078</v>
      </c>
      <c r="C158" s="16">
        <f t="shared" si="15"/>
        <v>-2.544144288469278</v>
      </c>
      <c r="D158" s="16">
        <f t="shared" si="16"/>
        <v>-1.5897577926996147</v>
      </c>
      <c r="E158" s="16">
        <f t="shared" si="20"/>
        <v>7.5846773062173947</v>
      </c>
      <c r="F158" s="16">
        <f t="shared" si="17"/>
        <v>-2.544144288469278</v>
      </c>
      <c r="G158" s="16">
        <f t="shared" si="18"/>
        <v>7.5846773062173947</v>
      </c>
      <c r="I158" s="16">
        <f t="shared" si="19"/>
        <v>2.5830872929516078</v>
      </c>
    </row>
    <row r="159" spans="1:9" x14ac:dyDescent="0.2">
      <c r="A159" s="16">
        <v>149</v>
      </c>
      <c r="B159" s="16">
        <f t="shared" si="14"/>
        <v>-2.6005405854715509</v>
      </c>
      <c r="C159" s="16">
        <f t="shared" si="15"/>
        <v>-2.5715019021063368</v>
      </c>
      <c r="D159" s="16">
        <f t="shared" si="16"/>
        <v>-1.5451142247301632</v>
      </c>
      <c r="E159" s="16">
        <f t="shared" si="20"/>
        <v>7.5754457273129141</v>
      </c>
      <c r="F159" s="16">
        <f t="shared" si="17"/>
        <v>-2.5715019021063368</v>
      </c>
      <c r="G159" s="16">
        <f t="shared" si="18"/>
        <v>7.5754457273129141</v>
      </c>
      <c r="I159" s="16">
        <f t="shared" si="19"/>
        <v>2.6005405854715509</v>
      </c>
    </row>
    <row r="160" spans="1:9" x14ac:dyDescent="0.2">
      <c r="A160" s="16">
        <v>150</v>
      </c>
      <c r="B160" s="16">
        <f t="shared" si="14"/>
        <v>-2.6179938779914944</v>
      </c>
      <c r="C160" s="16">
        <f t="shared" si="15"/>
        <v>-2.598076211353316</v>
      </c>
      <c r="D160" s="16">
        <f t="shared" si="16"/>
        <v>-1.4999999999999998</v>
      </c>
      <c r="E160" s="16">
        <f t="shared" si="20"/>
        <v>7.5663729752107782</v>
      </c>
      <c r="F160" s="16">
        <f t="shared" si="17"/>
        <v>-2.598076211353316</v>
      </c>
      <c r="G160" s="16">
        <f t="shared" si="18"/>
        <v>7.5663729752107782</v>
      </c>
      <c r="I160" s="16">
        <f t="shared" si="19"/>
        <v>2.6179938779914944</v>
      </c>
    </row>
    <row r="161" spans="1:9" x14ac:dyDescent="0.2">
      <c r="A161" s="16">
        <v>151</v>
      </c>
      <c r="B161" s="16">
        <f t="shared" si="14"/>
        <v>-2.6354471705114375</v>
      </c>
      <c r="C161" s="16">
        <f t="shared" si="15"/>
        <v>-2.623859121418187</v>
      </c>
      <c r="D161" s="16">
        <f t="shared" si="16"/>
        <v>-1.4544288607390115</v>
      </c>
      <c r="E161" s="16">
        <f t="shared" si="20"/>
        <v>7.5574706953418334</v>
      </c>
      <c r="F161" s="16">
        <f t="shared" si="17"/>
        <v>-2.623859121418187</v>
      </c>
      <c r="G161" s="16">
        <f t="shared" si="18"/>
        <v>7.5574706953418334</v>
      </c>
      <c r="I161" s="16">
        <f t="shared" si="19"/>
        <v>2.6354471705114375</v>
      </c>
    </row>
    <row r="162" spans="1:9" x14ac:dyDescent="0.2">
      <c r="A162" s="16">
        <v>152</v>
      </c>
      <c r="B162" s="16">
        <f t="shared" si="14"/>
        <v>-2.6529004630313811</v>
      </c>
      <c r="C162" s="16">
        <f t="shared" si="15"/>
        <v>-2.648842778576781</v>
      </c>
      <c r="D162" s="16">
        <f t="shared" si="16"/>
        <v>-1.408414688357672</v>
      </c>
      <c r="E162" s="16">
        <f t="shared" si="20"/>
        <v>7.5487503558126523</v>
      </c>
      <c r="F162" s="16">
        <f t="shared" si="17"/>
        <v>-2.648842778576781</v>
      </c>
      <c r="G162" s="16">
        <f t="shared" si="18"/>
        <v>7.5487503558126523</v>
      </c>
      <c r="I162" s="16">
        <f t="shared" si="19"/>
        <v>2.6529004630313811</v>
      </c>
    </row>
    <row r="163" spans="1:9" x14ac:dyDescent="0.2">
      <c r="A163" s="16">
        <v>153</v>
      </c>
      <c r="B163" s="16">
        <f t="shared" si="14"/>
        <v>-2.6703537555513241</v>
      </c>
      <c r="C163" s="16">
        <f t="shared" si="15"/>
        <v>-2.6730195725651034</v>
      </c>
      <c r="D163" s="16">
        <f t="shared" si="16"/>
        <v>-1.3619714992186407</v>
      </c>
      <c r="E163" s="16">
        <f t="shared" si="20"/>
        <v>7.5402232304278547</v>
      </c>
      <c r="F163" s="16">
        <f t="shared" si="17"/>
        <v>-2.6730195725651034</v>
      </c>
      <c r="G163" s="16">
        <f t="shared" si="18"/>
        <v>7.5402232304278547</v>
      </c>
      <c r="I163" s="16">
        <f t="shared" si="19"/>
        <v>2.6703537555513241</v>
      </c>
    </row>
    <row r="164" spans="1:9" x14ac:dyDescent="0.2">
      <c r="A164" s="16">
        <v>154</v>
      </c>
      <c r="B164" s="16">
        <f t="shared" si="14"/>
        <v>-2.6878070480712677</v>
      </c>
      <c r="C164" s="16">
        <f t="shared" si="15"/>
        <v>-2.6963821388975013</v>
      </c>
      <c r="D164" s="16">
        <f t="shared" si="16"/>
        <v>-1.3151134403672318</v>
      </c>
      <c r="E164" s="16">
        <f t="shared" si="20"/>
        <v>7.5319003817784616</v>
      </c>
      <c r="F164" s="16">
        <f t="shared" si="17"/>
        <v>-2.6963821388975013</v>
      </c>
      <c r="G164" s="16">
        <f t="shared" si="18"/>
        <v>7.5319003817784616</v>
      </c>
      <c r="I164" s="16">
        <f t="shared" si="19"/>
        <v>2.6878070480712677</v>
      </c>
    </row>
    <row r="165" spans="1:9" x14ac:dyDescent="0.2">
      <c r="A165" s="16">
        <v>155</v>
      </c>
      <c r="B165" s="16">
        <f t="shared" si="14"/>
        <v>-2.7052603405912108</v>
      </c>
      <c r="C165" s="16">
        <f t="shared" si="15"/>
        <v>-2.7189233611099497</v>
      </c>
      <c r="D165" s="16">
        <f t="shared" si="16"/>
        <v>-1.2678547852220985</v>
      </c>
      <c r="E165" s="16">
        <f t="shared" si="20"/>
        <v>7.5237926444320999</v>
      </c>
      <c r="F165" s="16">
        <f t="shared" si="17"/>
        <v>-2.7189233611099497</v>
      </c>
      <c r="G165" s="16">
        <f t="shared" si="18"/>
        <v>7.5237926444320999</v>
      </c>
      <c r="I165" s="16">
        <f t="shared" si="19"/>
        <v>2.7052603405912108</v>
      </c>
    </row>
    <row r="166" spans="1:9" x14ac:dyDescent="0.2">
      <c r="A166" s="16">
        <v>156</v>
      </c>
      <c r="B166" s="16">
        <f t="shared" si="14"/>
        <v>-2.7227136331111539</v>
      </c>
      <c r="C166" s="16">
        <f t="shared" si="15"/>
        <v>-2.7406363729278023</v>
      </c>
      <c r="D166" s="16">
        <f t="shared" si="16"/>
        <v>-1.2202099292274013</v>
      </c>
      <c r="E166" s="16">
        <f t="shared" si="20"/>
        <v>7.5159106082619918</v>
      </c>
      <c r="F166" s="16">
        <f t="shared" si="17"/>
        <v>-2.7406363729278023</v>
      </c>
      <c r="G166" s="16">
        <f t="shared" si="18"/>
        <v>7.5159106082619918</v>
      </c>
      <c r="I166" s="16">
        <f t="shared" si="19"/>
        <v>2.7227136331111539</v>
      </c>
    </row>
    <row r="167" spans="1:9" x14ac:dyDescent="0.2">
      <c r="A167" s="16">
        <v>157</v>
      </c>
      <c r="B167" s="16">
        <f t="shared" si="14"/>
        <v>-2.7401669256310974</v>
      </c>
      <c r="C167" s="16">
        <f t="shared" si="15"/>
        <v>-2.761514560357321</v>
      </c>
      <c r="D167" s="16">
        <f t="shared" si="16"/>
        <v>-1.1721933854678213</v>
      </c>
      <c r="E167" s="16">
        <f t="shared" si="20"/>
        <v>7.5082646019526047</v>
      </c>
      <c r="F167" s="16">
        <f t="shared" si="17"/>
        <v>-2.761514560357321</v>
      </c>
      <c r="G167" s="16">
        <f t="shared" si="18"/>
        <v>7.5082646019526047</v>
      </c>
      <c r="I167" s="16">
        <f t="shared" si="19"/>
        <v>2.7401669256310974</v>
      </c>
    </row>
    <row r="168" spans="1:9" x14ac:dyDescent="0.2">
      <c r="A168" s="16">
        <v>158</v>
      </c>
      <c r="B168" s="16">
        <f t="shared" si="14"/>
        <v>-2.7576202181510405</v>
      </c>
      <c r="C168" s="16">
        <f t="shared" si="15"/>
        <v>-2.7815515637003618</v>
      </c>
      <c r="D168" s="16">
        <f t="shared" si="16"/>
        <v>-1.1238197802477368</v>
      </c>
      <c r="E168" s="16">
        <f t="shared" si="20"/>
        <v>7.500864676720683</v>
      </c>
      <c r="F168" s="16">
        <f t="shared" si="17"/>
        <v>-2.7815515637003618</v>
      </c>
      <c r="G168" s="16">
        <f t="shared" si="18"/>
        <v>7.500864676720683</v>
      </c>
      <c r="I168" s="16">
        <f t="shared" si="19"/>
        <v>2.7576202181510405</v>
      </c>
    </row>
    <row r="169" spans="1:9" x14ac:dyDescent="0.2">
      <c r="A169" s="16">
        <v>159</v>
      </c>
      <c r="B169" s="16">
        <f t="shared" si="14"/>
        <v>-2.7750735106709841</v>
      </c>
      <c r="C169" s="16">
        <f t="shared" si="15"/>
        <v>-2.8007412794916053</v>
      </c>
      <c r="D169" s="16">
        <f t="shared" si="16"/>
        <v>-1.0751038486359006</v>
      </c>
      <c r="E169" s="16">
        <f t="shared" si="20"/>
        <v>7.4937205902910291</v>
      </c>
      <c r="F169" s="16">
        <f t="shared" si="17"/>
        <v>-2.8007412794916053</v>
      </c>
      <c r="G169" s="16">
        <f t="shared" si="18"/>
        <v>7.4937205902910291</v>
      </c>
      <c r="I169" s="16">
        <f t="shared" si="19"/>
        <v>2.7750735106709841</v>
      </c>
    </row>
    <row r="170" spans="1:9" x14ac:dyDescent="0.2">
      <c r="A170" s="16">
        <v>160</v>
      </c>
      <c r="B170" s="16">
        <f t="shared" si="14"/>
        <v>-2.7925268031909272</v>
      </c>
      <c r="C170" s="16">
        <f t="shared" si="15"/>
        <v>-2.8190778623577248</v>
      </c>
      <c r="D170" s="16">
        <f t="shared" si="16"/>
        <v>-1.0260604299770066</v>
      </c>
      <c r="E170" s="16">
        <f t="shared" si="20"/>
        <v>7.4868417911669933</v>
      </c>
      <c r="F170" s="16">
        <f t="shared" si="17"/>
        <v>-2.8190778623577248</v>
      </c>
      <c r="G170" s="16">
        <f t="shared" si="18"/>
        <v>7.4868417911669933</v>
      </c>
      <c r="I170" s="16">
        <f t="shared" si="19"/>
        <v>2.7925268031909272</v>
      </c>
    </row>
    <row r="171" spans="1:9" x14ac:dyDescent="0.2">
      <c r="A171" s="16">
        <v>161</v>
      </c>
      <c r="B171" s="16">
        <f t="shared" si="14"/>
        <v>-2.8099800957108707</v>
      </c>
      <c r="C171" s="16">
        <f t="shared" si="15"/>
        <v>-2.8365557267979504</v>
      </c>
      <c r="D171" s="16">
        <f t="shared" si="16"/>
        <v>-0.97670446337146977</v>
      </c>
      <c r="E171" s="16">
        <f t="shared" si="20"/>
        <v>7.4802374032359262</v>
      </c>
      <c r="F171" s="16">
        <f t="shared" si="17"/>
        <v>-2.8365557267979504</v>
      </c>
      <c r="G171" s="16">
        <f t="shared" si="18"/>
        <v>7.4802374032359262</v>
      </c>
      <c r="I171" s="16">
        <f t="shared" si="19"/>
        <v>2.8099800957108707</v>
      </c>
    </row>
    <row r="172" spans="1:9" x14ac:dyDescent="0.2">
      <c r="A172" s="16">
        <v>162</v>
      </c>
      <c r="B172" s="16">
        <f t="shared" si="14"/>
        <v>-2.8274333882308138</v>
      </c>
      <c r="C172" s="16">
        <f t="shared" si="15"/>
        <v>-2.8531695488854605</v>
      </c>
      <c r="D172" s="16">
        <f t="shared" si="16"/>
        <v>-0.92705098312484258</v>
      </c>
      <c r="E172" s="16">
        <f t="shared" si="20"/>
        <v>7.4739162107500734</v>
      </c>
      <c r="F172" s="16">
        <f t="shared" si="17"/>
        <v>-2.8531695488854605</v>
      </c>
      <c r="G172" s="16">
        <f t="shared" si="18"/>
        <v>7.4739162107500734</v>
      </c>
      <c r="I172" s="16">
        <f t="shared" si="19"/>
        <v>2.8274333882308138</v>
      </c>
    </row>
    <row r="173" spans="1:9" x14ac:dyDescent="0.2">
      <c r="A173" s="16">
        <v>163</v>
      </c>
      <c r="B173" s="16">
        <f t="shared" si="14"/>
        <v>-2.8448866807507573</v>
      </c>
      <c r="C173" s="16">
        <f t="shared" si="15"/>
        <v>-2.8689142678891066</v>
      </c>
      <c r="D173" s="16">
        <f t="shared" si="16"/>
        <v>-0.87711511416820986</v>
      </c>
      <c r="E173" s="16">
        <f t="shared" si="20"/>
        <v>7.4678866437233973</v>
      </c>
      <c r="F173" s="16">
        <f t="shared" si="17"/>
        <v>-2.8689142678891066</v>
      </c>
      <c r="G173" s="16">
        <f t="shared" si="18"/>
        <v>7.4678866437233973</v>
      </c>
      <c r="I173" s="16">
        <f t="shared" si="19"/>
        <v>2.8448866807507573</v>
      </c>
    </row>
    <row r="174" spans="1:9" x14ac:dyDescent="0.2">
      <c r="A174" s="16">
        <v>164</v>
      </c>
      <c r="B174" s="16">
        <f t="shared" si="14"/>
        <v>-2.8623399732707004</v>
      </c>
      <c r="C174" s="16">
        <f t="shared" si="15"/>
        <v>-2.8837850878149567</v>
      </c>
      <c r="D174" s="16">
        <f t="shared" si="16"/>
        <v>-0.82691206745099766</v>
      </c>
      <c r="E174" s="16">
        <f t="shared" si="20"/>
        <v>7.4621567637845887</v>
      </c>
      <c r="F174" s="16">
        <f t="shared" si="17"/>
        <v>-2.8837850878149567</v>
      </c>
      <c r="G174" s="16">
        <f t="shared" si="18"/>
        <v>7.4621567637845887</v>
      </c>
      <c r="I174" s="16">
        <f t="shared" si="19"/>
        <v>2.8623399732707004</v>
      </c>
    </row>
    <row r="175" spans="1:9" x14ac:dyDescent="0.2">
      <c r="A175" s="16">
        <v>165</v>
      </c>
      <c r="B175" s="16">
        <f t="shared" si="14"/>
        <v>-2.8797932657906435</v>
      </c>
      <c r="C175" s="16">
        <f t="shared" si="15"/>
        <v>-2.8977774788672046</v>
      </c>
      <c r="D175" s="16">
        <f t="shared" si="16"/>
        <v>-0.77645713530756311</v>
      </c>
      <c r="E175" s="16">
        <f t="shared" si="20"/>
        <v>7.456734250526166</v>
      </c>
      <c r="F175" s="16">
        <f t="shared" si="17"/>
        <v>-2.8977774788672046</v>
      </c>
      <c r="G175" s="16">
        <f t="shared" si="18"/>
        <v>7.456734250526166</v>
      </c>
      <c r="I175" s="16">
        <f t="shared" si="19"/>
        <v>2.8797932657906435</v>
      </c>
    </row>
    <row r="176" spans="1:9" x14ac:dyDescent="0.2">
      <c r="A176" s="16">
        <v>166</v>
      </c>
      <c r="B176" s="16">
        <f t="shared" si="14"/>
        <v>-2.8972465583105871</v>
      </c>
      <c r="C176" s="16">
        <f t="shared" si="15"/>
        <v>-2.9108871788279895</v>
      </c>
      <c r="D176" s="16">
        <f t="shared" si="16"/>
        <v>-0.72576568679900322</v>
      </c>
      <c r="E176" s="16">
        <f t="shared" si="20"/>
        <v>7.4516263883889691</v>
      </c>
      <c r="F176" s="16">
        <f t="shared" si="17"/>
        <v>-2.9108871788279895</v>
      </c>
      <c r="G176" s="16">
        <f t="shared" si="18"/>
        <v>7.4516263883889691</v>
      </c>
      <c r="I176" s="16">
        <f t="shared" si="19"/>
        <v>2.8972465583105871</v>
      </c>
    </row>
    <row r="177" spans="1:9" x14ac:dyDescent="0.2">
      <c r="A177" s="16">
        <v>167</v>
      </c>
      <c r="B177" s="16">
        <f t="shared" si="14"/>
        <v>-2.9146998508305302</v>
      </c>
      <c r="C177" s="16">
        <f t="shared" si="15"/>
        <v>-2.9231101943557052</v>
      </c>
      <c r="D177" s="16">
        <f t="shared" si="16"/>
        <v>-0.67485316303159559</v>
      </c>
      <c r="E177" s="16">
        <f t="shared" si="20"/>
        <v>7.4468400541205231</v>
      </c>
      <c r="F177" s="16">
        <f t="shared" si="17"/>
        <v>-2.9231101943557052</v>
      </c>
      <c r="G177" s="16">
        <f t="shared" si="18"/>
        <v>7.4468400541205231</v>
      </c>
      <c r="I177" s="16">
        <f t="shared" si="19"/>
        <v>2.9146998508305302</v>
      </c>
    </row>
    <row r="178" spans="1:9" x14ac:dyDescent="0.2">
      <c r="A178" s="16">
        <v>168</v>
      </c>
      <c r="B178" s="16">
        <f t="shared" si="14"/>
        <v>-2.9321531433504737</v>
      </c>
      <c r="C178" s="16">
        <f t="shared" si="15"/>
        <v>-2.9344428022014171</v>
      </c>
      <c r="D178" s="16">
        <f t="shared" si="16"/>
        <v>-0.62373507245327797</v>
      </c>
      <c r="E178" s="16">
        <f t="shared" si="20"/>
        <v>7.44238170484478</v>
      </c>
      <c r="F178" s="16">
        <f t="shared" si="17"/>
        <v>-2.9344428022014171</v>
      </c>
      <c r="G178" s="16">
        <f t="shared" si="18"/>
        <v>7.44238170484478</v>
      </c>
      <c r="I178" s="16">
        <f t="shared" si="19"/>
        <v>2.9321531433504737</v>
      </c>
    </row>
    <row r="179" spans="1:9" x14ac:dyDescent="0.2">
      <c r="A179" s="16">
        <v>169</v>
      </c>
      <c r="B179" s="16">
        <f t="shared" si="14"/>
        <v>-2.9496064358704168</v>
      </c>
      <c r="C179" s="16">
        <f t="shared" si="15"/>
        <v>-2.9448815503429921</v>
      </c>
      <c r="D179" s="16">
        <f t="shared" si="16"/>
        <v>-0.57242698612963494</v>
      </c>
      <c r="E179" s="16">
        <f t="shared" si="20"/>
        <v>7.4382573667794967</v>
      </c>
      <c r="F179" s="16">
        <f t="shared" si="17"/>
        <v>-2.9448815503429921</v>
      </c>
      <c r="G179" s="16">
        <f t="shared" si="18"/>
        <v>7.4382573667794967</v>
      </c>
      <c r="I179" s="16">
        <f t="shared" si="19"/>
        <v>2.9496064358704168</v>
      </c>
    </row>
    <row r="180" spans="1:9" x14ac:dyDescent="0.2">
      <c r="A180" s="16">
        <v>170</v>
      </c>
      <c r="B180" s="16">
        <f t="shared" si="14"/>
        <v>-2.9670597283903604</v>
      </c>
      <c r="C180" s="16">
        <f t="shared" si="15"/>
        <v>-2.9544232590366239</v>
      </c>
      <c r="D180" s="16">
        <f t="shared" si="16"/>
        <v>-0.5209445330007908</v>
      </c>
      <c r="E180" s="16">
        <f t="shared" si="20"/>
        <v>7.434472624636089</v>
      </c>
      <c r="F180" s="16">
        <f t="shared" si="17"/>
        <v>-2.9544232590366239</v>
      </c>
      <c r="G180" s="16">
        <f t="shared" si="18"/>
        <v>7.434472624636089</v>
      </c>
      <c r="I180" s="16">
        <f t="shared" si="19"/>
        <v>2.9670597283903604</v>
      </c>
    </row>
    <row r="181" spans="1:9" x14ac:dyDescent="0.2">
      <c r="A181" s="16">
        <v>171</v>
      </c>
      <c r="B181" s="16">
        <f t="shared" si="14"/>
        <v>-2.9845130209103035</v>
      </c>
      <c r="C181" s="16">
        <f t="shared" si="15"/>
        <v>-2.9630650217854129</v>
      </c>
      <c r="D181" s="16">
        <f t="shared" si="16"/>
        <v>-0.46930339512069297</v>
      </c>
      <c r="E181" s="16">
        <f t="shared" si="20"/>
        <v>7.4310326117351826</v>
      </c>
      <c r="F181" s="16">
        <f t="shared" si="17"/>
        <v>-2.9630650217854129</v>
      </c>
      <c r="G181" s="16">
        <f t="shared" si="18"/>
        <v>7.4310326117351826</v>
      </c>
      <c r="I181" s="16">
        <f t="shared" si="19"/>
        <v>2.9845130209103035</v>
      </c>
    </row>
    <row r="182" spans="1:9" x14ac:dyDescent="0.2">
      <c r="A182" s="16">
        <v>172</v>
      </c>
      <c r="B182" s="16">
        <f t="shared" si="14"/>
        <v>-3.001966313430247</v>
      </c>
      <c r="C182" s="16">
        <f t="shared" si="15"/>
        <v>-2.9708042062247113</v>
      </c>
      <c r="D182" s="16">
        <f t="shared" si="16"/>
        <v>-0.41751930288019601</v>
      </c>
      <c r="E182" s="16">
        <f t="shared" si="20"/>
        <v>7.4279420008692556</v>
      </c>
      <c r="F182" s="16">
        <f t="shared" si="17"/>
        <v>-2.9708042062247113</v>
      </c>
      <c r="G182" s="16">
        <f t="shared" si="18"/>
        <v>7.4279420008692556</v>
      </c>
      <c r="I182" s="16">
        <f t="shared" si="19"/>
        <v>3.001966313430247</v>
      </c>
    </row>
    <row r="183" spans="1:9" x14ac:dyDescent="0.2">
      <c r="A183" s="16">
        <v>173</v>
      </c>
      <c r="B183" s="16">
        <f t="shared" si="14"/>
        <v>-3.0194196059501901</v>
      </c>
      <c r="C183" s="16">
        <f t="shared" si="15"/>
        <v>-2.9776384549239658</v>
      </c>
      <c r="D183" s="16">
        <f t="shared" si="16"/>
        <v>-0.36560803021544264</v>
      </c>
      <c r="E183" s="16">
        <f t="shared" si="20"/>
        <v>7.425204995941729</v>
      </c>
      <c r="F183" s="16">
        <f t="shared" si="17"/>
        <v>-2.9776384549239658</v>
      </c>
      <c r="G183" s="16">
        <f t="shared" si="18"/>
        <v>7.425204995941729</v>
      </c>
      <c r="I183" s="16">
        <f t="shared" si="19"/>
        <v>3.0194196059501901</v>
      </c>
    </row>
    <row r="184" spans="1:9" x14ac:dyDescent="0.2">
      <c r="A184" s="16">
        <v>174</v>
      </c>
      <c r="B184" s="16">
        <f t="shared" si="14"/>
        <v>-3.0368728984701332</v>
      </c>
      <c r="C184" s="16">
        <f t="shared" si="15"/>
        <v>-2.9835656861048196</v>
      </c>
      <c r="D184" s="16">
        <f t="shared" si="16"/>
        <v>-0.31358538980296119</v>
      </c>
      <c r="E184" s="16">
        <f t="shared" si="20"/>
        <v>7.4228253244096942</v>
      </c>
      <c r="F184" s="16">
        <f t="shared" si="17"/>
        <v>-2.9835656861048196</v>
      </c>
      <c r="G184" s="16">
        <f t="shared" si="18"/>
        <v>7.4228253244096942</v>
      </c>
      <c r="I184" s="16">
        <f t="shared" si="19"/>
        <v>3.0368728984701332</v>
      </c>
    </row>
    <row r="185" spans="1:9" x14ac:dyDescent="0.2">
      <c r="A185" s="16">
        <v>175</v>
      </c>
      <c r="B185" s="16">
        <f t="shared" si="14"/>
        <v>-3.0543261909900767</v>
      </c>
      <c r="C185" s="16">
        <f t="shared" si="15"/>
        <v>-2.9885840942752369</v>
      </c>
      <c r="D185" s="16">
        <f t="shared" si="16"/>
        <v>-0.26146722824297458</v>
      </c>
      <c r="E185" s="16">
        <f t="shared" si="20"/>
        <v>7.4208062305550779</v>
      </c>
      <c r="F185" s="16">
        <f t="shared" si="17"/>
        <v>-2.9885840942752369</v>
      </c>
      <c r="G185" s="16">
        <f t="shared" si="18"/>
        <v>7.4208062305550779</v>
      </c>
      <c r="I185" s="16">
        <f t="shared" si="19"/>
        <v>3.0543261909900767</v>
      </c>
    </row>
    <row r="186" spans="1:9" x14ac:dyDescent="0.2">
      <c r="A186" s="16">
        <v>176</v>
      </c>
      <c r="B186" s="16">
        <f t="shared" si="14"/>
        <v>-3.0717794835100198</v>
      </c>
      <c r="C186" s="16">
        <f t="shared" si="15"/>
        <v>-2.9926921507794724</v>
      </c>
      <c r="D186" s="16">
        <f t="shared" si="16"/>
        <v>-0.20926942123237657</v>
      </c>
      <c r="E186" s="16">
        <f t="shared" si="20"/>
        <v>7.4191504696065396</v>
      </c>
      <c r="F186" s="16">
        <f t="shared" si="17"/>
        <v>-2.9926921507794724</v>
      </c>
      <c r="G186" s="16">
        <f t="shared" si="18"/>
        <v>7.4191504696065396</v>
      </c>
      <c r="I186" s="16">
        <f t="shared" si="19"/>
        <v>3.0717794835100198</v>
      </c>
    </row>
    <row r="187" spans="1:9" x14ac:dyDescent="0.2">
      <c r="A187" s="16">
        <v>177</v>
      </c>
      <c r="B187" s="16">
        <f t="shared" si="14"/>
        <v>-3.0892327760299634</v>
      </c>
      <c r="C187" s="16">
        <f t="shared" si="15"/>
        <v>-2.9958886042637216</v>
      </c>
      <c r="D187" s="16">
        <f t="shared" si="16"/>
        <v>-0.15700786872883143</v>
      </c>
      <c r="E187" s="16">
        <f t="shared" si="20"/>
        <v>7.4178603027316958</v>
      </c>
      <c r="F187" s="16">
        <f t="shared" si="17"/>
        <v>-2.9958886042637216</v>
      </c>
      <c r="G187" s="16">
        <f t="shared" si="18"/>
        <v>7.4178603027316958</v>
      </c>
      <c r="I187" s="16">
        <f t="shared" si="19"/>
        <v>3.0892327760299634</v>
      </c>
    </row>
    <row r="188" spans="1:9" x14ac:dyDescent="0.2">
      <c r="A188" s="16">
        <v>178</v>
      </c>
      <c r="B188" s="16">
        <f t="shared" si="14"/>
        <v>-3.1066860685499065</v>
      </c>
      <c r="C188" s="16">
        <f t="shared" si="15"/>
        <v>-2.9981724810572872</v>
      </c>
      <c r="D188" s="16">
        <f t="shared" si="16"/>
        <v>-0.10469849010750343</v>
      </c>
      <c r="E188" s="16">
        <f t="shared" si="20"/>
        <v>7.4169374929165199</v>
      </c>
      <c r="F188" s="16">
        <f t="shared" si="17"/>
        <v>-2.9981724810572872</v>
      </c>
      <c r="G188" s="16">
        <f t="shared" si="18"/>
        <v>7.4169374929165199</v>
      </c>
      <c r="I188" s="16">
        <f t="shared" si="19"/>
        <v>3.1066860685499065</v>
      </c>
    </row>
    <row r="189" spans="1:9" x14ac:dyDescent="0.2">
      <c r="A189" s="16">
        <v>179</v>
      </c>
      <c r="B189" s="16">
        <f t="shared" si="14"/>
        <v>-3.12413936106985</v>
      </c>
      <c r="C189" s="16">
        <f t="shared" si="15"/>
        <v>-2.999543085469174</v>
      </c>
      <c r="D189" s="16">
        <f t="shared" si="16"/>
        <v>-5.235721931185032E-2</v>
      </c>
      <c r="E189" s="16">
        <f t="shared" si="20"/>
        <v>7.4163833017458094</v>
      </c>
      <c r="F189" s="16">
        <f t="shared" si="17"/>
        <v>-2.999543085469174</v>
      </c>
      <c r="G189" s="16">
        <f t="shared" si="18"/>
        <v>7.4163833017458094</v>
      </c>
      <c r="I189" s="16">
        <f t="shared" si="19"/>
        <v>3.12413936106985</v>
      </c>
    </row>
    <row r="190" spans="1:9" x14ac:dyDescent="0.2">
      <c r="A190" s="16">
        <v>180</v>
      </c>
      <c r="B190" s="16">
        <f t="shared" si="14"/>
        <v>-3.1415926535897931</v>
      </c>
      <c r="C190" s="16">
        <f t="shared" si="15"/>
        <v>-3</v>
      </c>
      <c r="D190" s="16">
        <f t="shared" si="16"/>
        <v>-3.67544536472586E-16</v>
      </c>
      <c r="E190" s="16">
        <f t="shared" si="20"/>
        <v>7.416198487095663</v>
      </c>
      <c r="F190" s="16">
        <f t="shared" si="17"/>
        <v>-3</v>
      </c>
      <c r="G190" s="16">
        <f t="shared" si="18"/>
        <v>7.416198487095663</v>
      </c>
      <c r="I190" s="16">
        <f t="shared" si="19"/>
        <v>3.1415926535897931</v>
      </c>
    </row>
    <row r="191" spans="1:9" x14ac:dyDescent="0.2">
      <c r="A191" s="16">
        <v>181</v>
      </c>
      <c r="B191" s="16">
        <f t="shared" si="14"/>
        <v>-3.1590459461097367</v>
      </c>
      <c r="C191" s="16">
        <f t="shared" si="15"/>
        <v>-2.999543085469174</v>
      </c>
      <c r="D191" s="16">
        <f t="shared" si="16"/>
        <v>5.235721931185091E-2</v>
      </c>
      <c r="E191" s="16">
        <f t="shared" si="20"/>
        <v>7.4163833017458094</v>
      </c>
      <c r="F191" s="16">
        <f t="shared" si="17"/>
        <v>-2.999543085469174</v>
      </c>
      <c r="G191" s="16">
        <f t="shared" si="18"/>
        <v>7.4163833017458094</v>
      </c>
      <c r="I191" s="16">
        <f t="shared" si="19"/>
        <v>3.1590459461097367</v>
      </c>
    </row>
    <row r="192" spans="1:9" x14ac:dyDescent="0.2">
      <c r="A192" s="16">
        <v>182</v>
      </c>
      <c r="B192" s="16">
        <f t="shared" si="14"/>
        <v>-3.1764992386296798</v>
      </c>
      <c r="C192" s="16">
        <f t="shared" si="15"/>
        <v>-2.9981724810572872</v>
      </c>
      <c r="D192" s="16">
        <f t="shared" si="16"/>
        <v>0.10469849010750271</v>
      </c>
      <c r="E192" s="16">
        <f t="shared" si="20"/>
        <v>7.4169374929165199</v>
      </c>
      <c r="F192" s="16">
        <f t="shared" si="17"/>
        <v>-2.9981724810572872</v>
      </c>
      <c r="G192" s="16">
        <f t="shared" si="18"/>
        <v>7.4169374929165199</v>
      </c>
      <c r="I192" s="16">
        <f t="shared" si="19"/>
        <v>3.1764992386296798</v>
      </c>
    </row>
    <row r="193" spans="1:9" x14ac:dyDescent="0.2">
      <c r="A193" s="16">
        <v>183</v>
      </c>
      <c r="B193" s="16">
        <f t="shared" si="14"/>
        <v>-3.1939525311496229</v>
      </c>
      <c r="C193" s="16">
        <f t="shared" si="15"/>
        <v>-2.9958886042637216</v>
      </c>
      <c r="D193" s="16">
        <f t="shared" si="16"/>
        <v>0.15700786872883066</v>
      </c>
      <c r="E193" s="16">
        <f t="shared" si="20"/>
        <v>7.4178603027316958</v>
      </c>
      <c r="F193" s="16">
        <f t="shared" si="17"/>
        <v>-2.9958886042637216</v>
      </c>
      <c r="G193" s="16">
        <f t="shared" si="18"/>
        <v>7.4178603027316958</v>
      </c>
      <c r="I193" s="16">
        <f t="shared" si="19"/>
        <v>3.1939525311496229</v>
      </c>
    </row>
    <row r="194" spans="1:9" x14ac:dyDescent="0.2">
      <c r="A194" s="16">
        <v>184</v>
      </c>
      <c r="B194" s="16">
        <f t="shared" si="14"/>
        <v>-3.2114058236695664</v>
      </c>
      <c r="C194" s="16">
        <f t="shared" si="15"/>
        <v>-2.9926921507794724</v>
      </c>
      <c r="D194" s="16">
        <f t="shared" si="16"/>
        <v>0.20926942123237582</v>
      </c>
      <c r="E194" s="16">
        <f t="shared" si="20"/>
        <v>7.4191504696065396</v>
      </c>
      <c r="F194" s="16">
        <f t="shared" si="17"/>
        <v>-2.9926921507794724</v>
      </c>
      <c r="G194" s="16">
        <f t="shared" si="18"/>
        <v>7.4191504696065396</v>
      </c>
      <c r="I194" s="16">
        <f t="shared" si="19"/>
        <v>3.2114058236695664</v>
      </c>
    </row>
    <row r="195" spans="1:9" x14ac:dyDescent="0.2">
      <c r="A195" s="16">
        <v>185</v>
      </c>
      <c r="B195" s="16">
        <f t="shared" si="14"/>
        <v>-3.2288591161895095</v>
      </c>
      <c r="C195" s="16">
        <f t="shared" si="15"/>
        <v>-2.9885840942752369</v>
      </c>
      <c r="D195" s="16">
        <f t="shared" si="16"/>
        <v>0.26146722824297386</v>
      </c>
      <c r="E195" s="16">
        <f t="shared" si="20"/>
        <v>7.4208062305550779</v>
      </c>
      <c r="F195" s="16">
        <f t="shared" si="17"/>
        <v>-2.9885840942752369</v>
      </c>
      <c r="G195" s="16">
        <f t="shared" si="18"/>
        <v>7.4208062305550779</v>
      </c>
      <c r="I195" s="16">
        <f t="shared" si="19"/>
        <v>3.2288591161895095</v>
      </c>
    </row>
    <row r="196" spans="1:9" x14ac:dyDescent="0.2">
      <c r="A196" s="16">
        <v>186</v>
      </c>
      <c r="B196" s="16">
        <f t="shared" si="14"/>
        <v>-3.246312408709453</v>
      </c>
      <c r="C196" s="16">
        <f t="shared" si="15"/>
        <v>-2.9835656861048196</v>
      </c>
      <c r="D196" s="16">
        <f t="shared" si="16"/>
        <v>0.31358538980296047</v>
      </c>
      <c r="E196" s="16">
        <f t="shared" si="20"/>
        <v>7.4228253244096942</v>
      </c>
      <c r="F196" s="16">
        <f t="shared" si="17"/>
        <v>-2.9835656861048196</v>
      </c>
      <c r="G196" s="16">
        <f t="shared" si="18"/>
        <v>7.4228253244096942</v>
      </c>
      <c r="I196" s="16">
        <f t="shared" si="19"/>
        <v>3.246312408709453</v>
      </c>
    </row>
    <row r="197" spans="1:9" x14ac:dyDescent="0.2">
      <c r="A197" s="16">
        <v>187</v>
      </c>
      <c r="B197" s="16">
        <f t="shared" si="14"/>
        <v>-3.2637657012293961</v>
      </c>
      <c r="C197" s="16">
        <f t="shared" si="15"/>
        <v>-2.9776384549239663</v>
      </c>
      <c r="D197" s="16">
        <f t="shared" si="16"/>
        <v>0.36560803021544191</v>
      </c>
      <c r="E197" s="16">
        <f t="shared" si="20"/>
        <v>7.425204995941729</v>
      </c>
      <c r="F197" s="16">
        <f t="shared" si="17"/>
        <v>-2.9776384549239663</v>
      </c>
      <c r="G197" s="16">
        <f t="shared" si="18"/>
        <v>7.425204995941729</v>
      </c>
      <c r="I197" s="16">
        <f t="shared" si="19"/>
        <v>3.2637657012293961</v>
      </c>
    </row>
    <row r="198" spans="1:9" x14ac:dyDescent="0.2">
      <c r="A198" s="16">
        <v>188</v>
      </c>
      <c r="B198" s="16">
        <f t="shared" si="14"/>
        <v>-3.2812189937493397</v>
      </c>
      <c r="C198" s="16">
        <f t="shared" si="15"/>
        <v>-2.9708042062247109</v>
      </c>
      <c r="D198" s="16">
        <f t="shared" si="16"/>
        <v>0.41751930288019656</v>
      </c>
      <c r="E198" s="16">
        <f t="shared" si="20"/>
        <v>7.4279420008692556</v>
      </c>
      <c r="F198" s="16">
        <f t="shared" si="17"/>
        <v>-2.9708042062247109</v>
      </c>
      <c r="G198" s="16">
        <f t="shared" si="18"/>
        <v>7.4279420008692556</v>
      </c>
      <c r="I198" s="16">
        <f t="shared" si="19"/>
        <v>3.2812189937493397</v>
      </c>
    </row>
    <row r="199" spans="1:9" x14ac:dyDescent="0.2">
      <c r="A199" s="16">
        <v>189</v>
      </c>
      <c r="B199" s="16">
        <f t="shared" si="14"/>
        <v>-3.2986722862692828</v>
      </c>
      <c r="C199" s="16">
        <f t="shared" si="15"/>
        <v>-2.9630650217854133</v>
      </c>
      <c r="D199" s="16">
        <f t="shared" si="16"/>
        <v>0.46930339512069219</v>
      </c>
      <c r="E199" s="16">
        <f t="shared" si="20"/>
        <v>7.4310326117351826</v>
      </c>
      <c r="F199" s="16" t="e">
        <f t="shared" si="17"/>
        <v>#N/A</v>
      </c>
      <c r="G199" s="16" t="e">
        <f t="shared" si="18"/>
        <v>#N/A</v>
      </c>
      <c r="I199" s="16">
        <f t="shared" si="19"/>
        <v>3.2986722862692828</v>
      </c>
    </row>
    <row r="200" spans="1:9" x14ac:dyDescent="0.2">
      <c r="A200" s="16">
        <v>190</v>
      </c>
      <c r="B200" s="16">
        <f t="shared" si="14"/>
        <v>-3.3161255787892263</v>
      </c>
      <c r="C200" s="16">
        <f t="shared" si="15"/>
        <v>-2.9544232590366239</v>
      </c>
      <c r="D200" s="16">
        <f t="shared" si="16"/>
        <v>0.52094453300079135</v>
      </c>
      <c r="E200" s="16">
        <f t="shared" si="20"/>
        <v>7.434472624636089</v>
      </c>
      <c r="F200" s="16" t="e">
        <f t="shared" si="17"/>
        <v>#N/A</v>
      </c>
      <c r="G200" s="16" t="e">
        <f t="shared" si="18"/>
        <v>#N/A</v>
      </c>
      <c r="I200" s="16">
        <f t="shared" si="19"/>
        <v>3.3161255787892263</v>
      </c>
    </row>
    <row r="201" spans="1:9" x14ac:dyDescent="0.2">
      <c r="A201" s="16">
        <v>191</v>
      </c>
      <c r="B201" s="16">
        <f t="shared" si="14"/>
        <v>-3.3335788713091694</v>
      </c>
      <c r="C201" s="16">
        <f t="shared" si="15"/>
        <v>-2.9448815503429921</v>
      </c>
      <c r="D201" s="16">
        <f t="shared" si="16"/>
        <v>0.57242698612963416</v>
      </c>
      <c r="E201" s="16">
        <f t="shared" si="20"/>
        <v>7.4382573667794967</v>
      </c>
      <c r="F201" s="16" t="e">
        <f t="shared" si="17"/>
        <v>#N/A</v>
      </c>
      <c r="G201" s="16" t="e">
        <f t="shared" si="18"/>
        <v>#N/A</v>
      </c>
      <c r="I201" s="16">
        <f t="shared" si="19"/>
        <v>3.3335788713091694</v>
      </c>
    </row>
    <row r="202" spans="1:9" x14ac:dyDescent="0.2">
      <c r="A202" s="16">
        <v>192</v>
      </c>
      <c r="B202" s="16">
        <f t="shared" si="14"/>
        <v>-3.351032163829113</v>
      </c>
      <c r="C202" s="16">
        <f t="shared" si="15"/>
        <v>-2.9344428022014166</v>
      </c>
      <c r="D202" s="16">
        <f t="shared" si="16"/>
        <v>0.62373507245327853</v>
      </c>
      <c r="E202" s="16">
        <f t="shared" si="20"/>
        <v>7.44238170484478</v>
      </c>
      <c r="F202" s="16" t="e">
        <f t="shared" si="17"/>
        <v>#N/A</v>
      </c>
      <c r="G202" s="16" t="e">
        <f t="shared" si="18"/>
        <v>#N/A</v>
      </c>
      <c r="I202" s="16">
        <f t="shared" si="19"/>
        <v>3.351032163829113</v>
      </c>
    </row>
    <row r="203" spans="1:9" x14ac:dyDescent="0.2">
      <c r="A203" s="16">
        <v>193</v>
      </c>
      <c r="B203" s="16">
        <f t="shared" ref="B203:B266" si="21">-RADIANS(A203)</f>
        <v>-3.3684854563490561</v>
      </c>
      <c r="C203" s="16">
        <f t="shared" ref="C203:C266" si="22">(C$6)*COS(B203)</f>
        <v>-2.9231101943557056</v>
      </c>
      <c r="D203" s="16">
        <f t="shared" ref="D203:D266" si="23">(C$6)*SIN(B203)</f>
        <v>0.67485316303159493</v>
      </c>
      <c r="E203" s="16">
        <f t="shared" si="20"/>
        <v>7.4468400541205231</v>
      </c>
      <c r="F203" s="16" t="e">
        <f t="shared" ref="F203:F266" si="24">IF(A203&lt;=$E$1,C203,NA())</f>
        <v>#N/A</v>
      </c>
      <c r="G203" s="16" t="e">
        <f t="shared" ref="G203:G266" si="25">IF(A203&lt;=$E$1,E203,NA())</f>
        <v>#N/A</v>
      </c>
      <c r="I203" s="16">
        <f t="shared" ref="I203:I266" si="26">RADIANS(A203)</f>
        <v>3.3684854563490561</v>
      </c>
    </row>
    <row r="204" spans="1:9" x14ac:dyDescent="0.2">
      <c r="A204" s="16">
        <v>194</v>
      </c>
      <c r="B204" s="16">
        <f t="shared" si="21"/>
        <v>-3.3859387488689991</v>
      </c>
      <c r="C204" s="16">
        <f t="shared" si="22"/>
        <v>-2.9108871788279895</v>
      </c>
      <c r="D204" s="16">
        <f t="shared" si="23"/>
        <v>0.72576568679900255</v>
      </c>
      <c r="E204" s="16">
        <f t="shared" ref="E204:E267" si="27">D$10+(2*C$6+C$4)*COS(ASIN(C204/(2*C$6+C$4)))</f>
        <v>7.4516263883889691</v>
      </c>
      <c r="F204" s="16" t="e">
        <f t="shared" si="24"/>
        <v>#N/A</v>
      </c>
      <c r="G204" s="16" t="e">
        <f t="shared" si="25"/>
        <v>#N/A</v>
      </c>
      <c r="I204" s="16">
        <f t="shared" si="26"/>
        <v>3.3859387488689991</v>
      </c>
    </row>
    <row r="205" spans="1:9" x14ac:dyDescent="0.2">
      <c r="A205" s="16">
        <v>195</v>
      </c>
      <c r="B205" s="16">
        <f t="shared" si="21"/>
        <v>-3.4033920413889427</v>
      </c>
      <c r="C205" s="16">
        <f t="shared" si="22"/>
        <v>-2.897777478867205</v>
      </c>
      <c r="D205" s="16">
        <f t="shared" si="23"/>
        <v>0.77645713530756244</v>
      </c>
      <c r="E205" s="16">
        <f t="shared" si="27"/>
        <v>7.456734250526166</v>
      </c>
      <c r="F205" s="16" t="e">
        <f t="shared" si="24"/>
        <v>#N/A</v>
      </c>
      <c r="G205" s="16" t="e">
        <f t="shared" si="25"/>
        <v>#N/A</v>
      </c>
      <c r="I205" s="16">
        <f t="shared" si="26"/>
        <v>3.4033920413889427</v>
      </c>
    </row>
    <row r="206" spans="1:9" x14ac:dyDescent="0.2">
      <c r="A206" s="16">
        <v>196</v>
      </c>
      <c r="B206" s="16">
        <f t="shared" si="21"/>
        <v>-3.4208453339088858</v>
      </c>
      <c r="C206" s="16">
        <f t="shared" si="22"/>
        <v>-2.8837850878149567</v>
      </c>
      <c r="D206" s="16">
        <f t="shared" si="23"/>
        <v>0.82691206745099699</v>
      </c>
      <c r="E206" s="16">
        <f t="shared" si="27"/>
        <v>7.4621567637845887</v>
      </c>
      <c r="F206" s="16" t="e">
        <f t="shared" si="24"/>
        <v>#N/A</v>
      </c>
      <c r="G206" s="16" t="e">
        <f t="shared" si="25"/>
        <v>#N/A</v>
      </c>
      <c r="I206" s="16">
        <f t="shared" si="26"/>
        <v>3.4208453339088858</v>
      </c>
    </row>
    <row r="207" spans="1:9" x14ac:dyDescent="0.2">
      <c r="A207" s="16">
        <v>197</v>
      </c>
      <c r="B207" s="16">
        <f t="shared" si="21"/>
        <v>-3.4382986264288293</v>
      </c>
      <c r="C207" s="16">
        <f t="shared" si="22"/>
        <v>-2.8689142678891062</v>
      </c>
      <c r="D207" s="16">
        <f t="shared" si="23"/>
        <v>0.87711511416821031</v>
      </c>
      <c r="E207" s="16">
        <f t="shared" si="27"/>
        <v>7.4678866437233973</v>
      </c>
      <c r="F207" s="16" t="e">
        <f t="shared" si="24"/>
        <v>#N/A</v>
      </c>
      <c r="G207" s="16" t="e">
        <f t="shared" si="25"/>
        <v>#N/A</v>
      </c>
      <c r="I207" s="16">
        <f t="shared" si="26"/>
        <v>3.4382986264288293</v>
      </c>
    </row>
    <row r="208" spans="1:9" x14ac:dyDescent="0.2">
      <c r="A208" s="16">
        <v>198</v>
      </c>
      <c r="B208" s="16">
        <f t="shared" si="21"/>
        <v>-3.4557519189487724</v>
      </c>
      <c r="C208" s="16">
        <f t="shared" si="22"/>
        <v>-2.8531695488854609</v>
      </c>
      <c r="D208" s="16">
        <f t="shared" si="23"/>
        <v>0.92705098312484191</v>
      </c>
      <c r="E208" s="16">
        <f t="shared" si="27"/>
        <v>7.4739162107500734</v>
      </c>
      <c r="F208" s="16" t="e">
        <f t="shared" si="24"/>
        <v>#N/A</v>
      </c>
      <c r="G208" s="16" t="e">
        <f t="shared" si="25"/>
        <v>#N/A</v>
      </c>
      <c r="I208" s="16">
        <f t="shared" si="26"/>
        <v>3.4557519189487724</v>
      </c>
    </row>
    <row r="209" spans="1:9" x14ac:dyDescent="0.2">
      <c r="A209" s="16">
        <v>199</v>
      </c>
      <c r="B209" s="16">
        <f t="shared" si="21"/>
        <v>-3.473205211468716</v>
      </c>
      <c r="C209" s="16">
        <f t="shared" si="22"/>
        <v>-2.8365557267979504</v>
      </c>
      <c r="D209" s="16">
        <f t="shared" si="23"/>
        <v>0.97670446337147032</v>
      </c>
      <c r="E209" s="16">
        <f t="shared" si="27"/>
        <v>7.4802374032359262</v>
      </c>
      <c r="F209" s="16" t="e">
        <f t="shared" si="24"/>
        <v>#N/A</v>
      </c>
      <c r="G209" s="16" t="e">
        <f t="shared" si="25"/>
        <v>#N/A</v>
      </c>
      <c r="I209" s="16">
        <f t="shared" si="26"/>
        <v>3.473205211468716</v>
      </c>
    </row>
    <row r="210" spans="1:9" x14ac:dyDescent="0.2">
      <c r="A210" s="16">
        <v>200</v>
      </c>
      <c r="B210" s="16">
        <f t="shared" si="21"/>
        <v>-3.4906585039886591</v>
      </c>
      <c r="C210" s="16">
        <f t="shared" si="22"/>
        <v>-2.8190778623577253</v>
      </c>
      <c r="D210" s="16">
        <f t="shared" si="23"/>
        <v>1.026060429977006</v>
      </c>
      <c r="E210" s="16">
        <f t="shared" si="27"/>
        <v>7.4868417911669933</v>
      </c>
      <c r="F210" s="16" t="e">
        <f t="shared" si="24"/>
        <v>#N/A</v>
      </c>
      <c r="G210" s="16" t="e">
        <f t="shared" si="25"/>
        <v>#N/A</v>
      </c>
      <c r="I210" s="16">
        <f t="shared" si="26"/>
        <v>3.4906585039886591</v>
      </c>
    </row>
    <row r="211" spans="1:9" x14ac:dyDescent="0.2">
      <c r="A211" s="16">
        <v>201</v>
      </c>
      <c r="B211" s="16">
        <f t="shared" si="21"/>
        <v>-3.5081117965086026</v>
      </c>
      <c r="C211" s="16">
        <f t="shared" si="22"/>
        <v>-2.8007412794916053</v>
      </c>
      <c r="D211" s="16">
        <f t="shared" si="23"/>
        <v>1.0751038486359012</v>
      </c>
      <c r="E211" s="16">
        <f t="shared" si="27"/>
        <v>7.4937205902910291</v>
      </c>
      <c r="F211" s="16" t="e">
        <f t="shared" si="24"/>
        <v>#N/A</v>
      </c>
      <c r="G211" s="16" t="e">
        <f t="shared" si="25"/>
        <v>#N/A</v>
      </c>
      <c r="I211" s="16">
        <f t="shared" si="26"/>
        <v>3.5081117965086026</v>
      </c>
    </row>
    <row r="212" spans="1:9" x14ac:dyDescent="0.2">
      <c r="A212" s="16">
        <v>202</v>
      </c>
      <c r="B212" s="16">
        <f t="shared" si="21"/>
        <v>-3.5255650890285457</v>
      </c>
      <c r="C212" s="16">
        <f t="shared" si="22"/>
        <v>-2.7815515637003623</v>
      </c>
      <c r="D212" s="16">
        <f t="shared" si="23"/>
        <v>1.1238197802477361</v>
      </c>
      <c r="E212" s="16">
        <f t="shared" si="27"/>
        <v>7.500864676720683</v>
      </c>
      <c r="F212" s="16" t="e">
        <f t="shared" si="24"/>
        <v>#N/A</v>
      </c>
      <c r="G212" s="16" t="e">
        <f t="shared" si="25"/>
        <v>#N/A</v>
      </c>
      <c r="I212" s="16">
        <f t="shared" si="26"/>
        <v>3.5255650890285457</v>
      </c>
    </row>
    <row r="213" spans="1:9" x14ac:dyDescent="0.2">
      <c r="A213" s="16">
        <v>203</v>
      </c>
      <c r="B213" s="16">
        <f t="shared" si="21"/>
        <v>-3.5430183815484888</v>
      </c>
      <c r="C213" s="16">
        <f t="shared" si="22"/>
        <v>-2.761514560357321</v>
      </c>
      <c r="D213" s="16">
        <f t="shared" si="23"/>
        <v>1.1721933854678206</v>
      </c>
      <c r="E213" s="16">
        <f t="shared" si="27"/>
        <v>7.5082646019526047</v>
      </c>
      <c r="F213" s="16" t="e">
        <f t="shared" si="24"/>
        <v>#N/A</v>
      </c>
      <c r="G213" s="16" t="e">
        <f t="shared" si="25"/>
        <v>#N/A</v>
      </c>
      <c r="I213" s="16">
        <f t="shared" si="26"/>
        <v>3.5430183815484888</v>
      </c>
    </row>
    <row r="214" spans="1:9" x14ac:dyDescent="0.2">
      <c r="A214" s="16">
        <v>204</v>
      </c>
      <c r="B214" s="16">
        <f t="shared" si="21"/>
        <v>-3.5604716740684323</v>
      </c>
      <c r="C214" s="16">
        <f t="shared" si="22"/>
        <v>-2.7406363729278027</v>
      </c>
      <c r="D214" s="16">
        <f t="shared" si="23"/>
        <v>1.2202099292274007</v>
      </c>
      <c r="E214" s="16">
        <f t="shared" si="27"/>
        <v>7.5159106082619918</v>
      </c>
      <c r="F214" s="16" t="e">
        <f t="shared" si="24"/>
        <v>#N/A</v>
      </c>
      <c r="G214" s="16" t="e">
        <f t="shared" si="25"/>
        <v>#N/A</v>
      </c>
      <c r="I214" s="16">
        <f t="shared" si="26"/>
        <v>3.5604716740684323</v>
      </c>
    </row>
    <row r="215" spans="1:9" x14ac:dyDescent="0.2">
      <c r="A215" s="16">
        <v>205</v>
      </c>
      <c r="B215" s="16">
        <f t="shared" si="21"/>
        <v>-3.5779249665883754</v>
      </c>
      <c r="C215" s="16">
        <f t="shared" si="22"/>
        <v>-2.7189233611099501</v>
      </c>
      <c r="D215" s="16">
        <f t="shared" si="23"/>
        <v>1.2678547852220978</v>
      </c>
      <c r="E215" s="16">
        <f t="shared" si="27"/>
        <v>7.5237926444320999</v>
      </c>
      <c r="F215" s="16" t="e">
        <f t="shared" si="24"/>
        <v>#N/A</v>
      </c>
      <c r="G215" s="16" t="e">
        <f t="shared" si="25"/>
        <v>#N/A</v>
      </c>
      <c r="I215" s="16">
        <f t="shared" si="26"/>
        <v>3.5779249665883754</v>
      </c>
    </row>
    <row r="216" spans="1:9" x14ac:dyDescent="0.2">
      <c r="A216" s="16">
        <v>206</v>
      </c>
      <c r="B216" s="16">
        <f t="shared" si="21"/>
        <v>-3.595378259108319</v>
      </c>
      <c r="C216" s="16">
        <f t="shared" si="22"/>
        <v>-2.6963821388975009</v>
      </c>
      <c r="D216" s="16">
        <f t="shared" si="23"/>
        <v>1.3151134403672324</v>
      </c>
      <c r="E216" s="16">
        <f t="shared" si="27"/>
        <v>7.5319003817784616</v>
      </c>
      <c r="F216" s="16" t="e">
        <f t="shared" si="24"/>
        <v>#N/A</v>
      </c>
      <c r="G216" s="16" t="e">
        <f t="shared" si="25"/>
        <v>#N/A</v>
      </c>
      <c r="I216" s="16">
        <f t="shared" si="26"/>
        <v>3.595378259108319</v>
      </c>
    </row>
    <row r="217" spans="1:9" x14ac:dyDescent="0.2">
      <c r="A217" s="16">
        <v>207</v>
      </c>
      <c r="B217" s="16">
        <f t="shared" si="21"/>
        <v>-3.6128315516282621</v>
      </c>
      <c r="C217" s="16">
        <f t="shared" si="22"/>
        <v>-2.6730195725651038</v>
      </c>
      <c r="D217" s="16">
        <f t="shared" si="23"/>
        <v>1.36197149921864</v>
      </c>
      <c r="E217" s="16">
        <f t="shared" si="27"/>
        <v>7.5402232304278547</v>
      </c>
      <c r="F217" s="16" t="e">
        <f t="shared" si="24"/>
        <v>#N/A</v>
      </c>
      <c r="G217" s="16" t="e">
        <f t="shared" si="25"/>
        <v>#N/A</v>
      </c>
      <c r="I217" s="16">
        <f t="shared" si="26"/>
        <v>3.6128315516282621</v>
      </c>
    </row>
    <row r="218" spans="1:9" x14ac:dyDescent="0.2">
      <c r="A218" s="16">
        <v>208</v>
      </c>
      <c r="B218" s="16">
        <f t="shared" si="21"/>
        <v>-3.6302848441482056</v>
      </c>
      <c r="C218" s="16">
        <f t="shared" si="22"/>
        <v>-2.6488427785767805</v>
      </c>
      <c r="D218" s="16">
        <f t="shared" si="23"/>
        <v>1.4084146883576727</v>
      </c>
      <c r="E218" s="16">
        <f t="shared" si="27"/>
        <v>7.5487503558126523</v>
      </c>
      <c r="F218" s="16" t="e">
        <f t="shared" si="24"/>
        <v>#N/A</v>
      </c>
      <c r="G218" s="16" t="e">
        <f t="shared" si="25"/>
        <v>#N/A</v>
      </c>
      <c r="I218" s="16">
        <f t="shared" si="26"/>
        <v>3.6302848441482056</v>
      </c>
    </row>
    <row r="219" spans="1:9" x14ac:dyDescent="0.2">
      <c r="A219" s="16">
        <v>209</v>
      </c>
      <c r="B219" s="16">
        <f t="shared" si="21"/>
        <v>-3.6477381366681487</v>
      </c>
      <c r="C219" s="16">
        <f t="shared" si="22"/>
        <v>-2.6238591214181874</v>
      </c>
      <c r="D219" s="16">
        <f t="shared" si="23"/>
        <v>1.4544288607390108</v>
      </c>
      <c r="E219" s="16">
        <f t="shared" si="27"/>
        <v>7.5574706953418334</v>
      </c>
      <c r="F219" s="16" t="e">
        <f t="shared" si="24"/>
        <v>#N/A</v>
      </c>
      <c r="G219" s="16" t="e">
        <f t="shared" si="25"/>
        <v>#N/A</v>
      </c>
      <c r="I219" s="16">
        <f t="shared" si="26"/>
        <v>3.6477381366681487</v>
      </c>
    </row>
    <row r="220" spans="1:9" x14ac:dyDescent="0.2">
      <c r="A220" s="16">
        <v>210</v>
      </c>
      <c r="B220" s="16">
        <f t="shared" si="21"/>
        <v>-3.6651914291880923</v>
      </c>
      <c r="C220" s="16">
        <f t="shared" si="22"/>
        <v>-2.598076211353316</v>
      </c>
      <c r="D220" s="16">
        <f t="shared" si="23"/>
        <v>1.5000000000000004</v>
      </c>
      <c r="E220" s="16">
        <f t="shared" si="27"/>
        <v>7.5663729752107782</v>
      </c>
      <c r="F220" s="16" t="e">
        <f t="shared" si="24"/>
        <v>#N/A</v>
      </c>
      <c r="G220" s="16" t="e">
        <f t="shared" si="25"/>
        <v>#N/A</v>
      </c>
      <c r="I220" s="16">
        <f t="shared" si="26"/>
        <v>3.6651914291880923</v>
      </c>
    </row>
    <row r="221" spans="1:9" x14ac:dyDescent="0.2">
      <c r="A221" s="16">
        <v>211</v>
      </c>
      <c r="B221" s="16">
        <f t="shared" si="21"/>
        <v>-3.6826447217080354</v>
      </c>
      <c r="C221" s="16">
        <f t="shared" si="22"/>
        <v>-2.5715019021063368</v>
      </c>
      <c r="D221" s="16">
        <f t="shared" si="23"/>
        <v>1.5451142247301624</v>
      </c>
      <c r="E221" s="16">
        <f t="shared" si="27"/>
        <v>7.5754457273129141</v>
      </c>
      <c r="F221" s="16" t="e">
        <f t="shared" si="24"/>
        <v>#N/A</v>
      </c>
      <c r="G221" s="16" t="e">
        <f t="shared" si="25"/>
        <v>#N/A</v>
      </c>
      <c r="I221" s="16">
        <f t="shared" si="26"/>
        <v>3.6826447217080354</v>
      </c>
    </row>
    <row r="222" spans="1:9" x14ac:dyDescent="0.2">
      <c r="A222" s="16">
        <v>212</v>
      </c>
      <c r="B222" s="16">
        <f t="shared" si="21"/>
        <v>-3.7000980142279785</v>
      </c>
      <c r="C222" s="16">
        <f t="shared" si="22"/>
        <v>-2.544144288469278</v>
      </c>
      <c r="D222" s="16">
        <f t="shared" si="23"/>
        <v>1.5897577926996145</v>
      </c>
      <c r="E222" s="16">
        <f t="shared" si="27"/>
        <v>7.5846773062173947</v>
      </c>
      <c r="F222" s="16" t="e">
        <f t="shared" si="24"/>
        <v>#N/A</v>
      </c>
      <c r="G222" s="16" t="e">
        <f t="shared" si="25"/>
        <v>#N/A</v>
      </c>
      <c r="I222" s="16">
        <f t="shared" si="26"/>
        <v>3.7000980142279785</v>
      </c>
    </row>
    <row r="223" spans="1:9" x14ac:dyDescent="0.2">
      <c r="A223" s="16">
        <v>213</v>
      </c>
      <c r="B223" s="16">
        <f t="shared" si="21"/>
        <v>-3.717551306747922</v>
      </c>
      <c r="C223" s="16">
        <f t="shared" si="22"/>
        <v>-2.5160117038362722</v>
      </c>
      <c r="D223" s="16">
        <f t="shared" si="23"/>
        <v>1.6339171050450814</v>
      </c>
      <c r="E223" s="16">
        <f t="shared" si="27"/>
        <v>7.5940559061781272</v>
      </c>
      <c r="F223" s="16" t="e">
        <f t="shared" si="24"/>
        <v>#N/A</v>
      </c>
      <c r="G223" s="16" t="e">
        <f t="shared" si="25"/>
        <v>#N/A</v>
      </c>
      <c r="I223" s="16">
        <f t="shared" si="26"/>
        <v>3.717551306747922</v>
      </c>
    </row>
    <row r="224" spans="1:9" x14ac:dyDescent="0.2">
      <c r="A224" s="16">
        <v>214</v>
      </c>
      <c r="B224" s="16">
        <f t="shared" si="21"/>
        <v>-3.7350045992678651</v>
      </c>
      <c r="C224" s="16">
        <f t="shared" si="22"/>
        <v>-2.4871127176651253</v>
      </c>
      <c r="D224" s="16">
        <f t="shared" si="23"/>
        <v>1.6775787104122402</v>
      </c>
      <c r="E224" s="16">
        <f t="shared" si="27"/>
        <v>7.6035695781408084</v>
      </c>
      <c r="F224" s="16" t="e">
        <f t="shared" si="24"/>
        <v>#N/A</v>
      </c>
      <c r="G224" s="16" t="e">
        <f t="shared" si="25"/>
        <v>#N/A</v>
      </c>
      <c r="I224" s="16">
        <f t="shared" si="26"/>
        <v>3.7350045992678651</v>
      </c>
    </row>
    <row r="225" spans="1:9" x14ac:dyDescent="0.2">
      <c r="A225" s="16">
        <v>215</v>
      </c>
      <c r="B225" s="16">
        <f t="shared" si="21"/>
        <v>-3.7524578917878086</v>
      </c>
      <c r="C225" s="16">
        <f t="shared" si="22"/>
        <v>-2.4574561328669753</v>
      </c>
      <c r="D225" s="16">
        <f t="shared" si="23"/>
        <v>1.7207293090531386</v>
      </c>
      <c r="E225" s="16">
        <f t="shared" si="27"/>
        <v>7.613206246715932</v>
      </c>
      <c r="F225" s="16" t="e">
        <f t="shared" si="24"/>
        <v>#N/A</v>
      </c>
      <c r="G225" s="16" t="e">
        <f t="shared" si="25"/>
        <v>#N/A</v>
      </c>
      <c r="I225" s="16">
        <f t="shared" si="26"/>
        <v>3.7524578917878086</v>
      </c>
    </row>
    <row r="226" spans="1:9" x14ac:dyDescent="0.2">
      <c r="A226" s="16">
        <v>216</v>
      </c>
      <c r="B226" s="16">
        <f t="shared" si="21"/>
        <v>-3.7699111843077517</v>
      </c>
      <c r="C226" s="16">
        <f t="shared" si="22"/>
        <v>-2.4270509831248428</v>
      </c>
      <c r="D226" s="16">
        <f t="shared" si="23"/>
        <v>1.7633557568774192</v>
      </c>
      <c r="E226" s="16">
        <f t="shared" si="27"/>
        <v>7.6229537270872063</v>
      </c>
      <c r="F226" s="16" t="e">
        <f t="shared" si="24"/>
        <v>#N/A</v>
      </c>
      <c r="G226" s="16" t="e">
        <f t="shared" si="25"/>
        <v>#N/A</v>
      </c>
      <c r="I226" s="16">
        <f t="shared" si="26"/>
        <v>3.7699111843077517</v>
      </c>
    </row>
    <row r="227" spans="1:9" x14ac:dyDescent="0.2">
      <c r="A227" s="16">
        <v>217</v>
      </c>
      <c r="B227" s="16">
        <f t="shared" si="21"/>
        <v>-3.7873644768276953</v>
      </c>
      <c r="C227" s="16">
        <f t="shared" si="22"/>
        <v>-2.3959065301418785</v>
      </c>
      <c r="D227" s="16">
        <f t="shared" si="23"/>
        <v>1.805445069456145</v>
      </c>
      <c r="E227" s="16">
        <f t="shared" si="27"/>
        <v>7.6327997418262914</v>
      </c>
      <c r="F227" s="16" t="e">
        <f t="shared" si="24"/>
        <v>#N/A</v>
      </c>
      <c r="G227" s="16" t="e">
        <f t="shared" si="25"/>
        <v>#N/A</v>
      </c>
      <c r="I227" s="16">
        <f t="shared" si="26"/>
        <v>3.7873644768276953</v>
      </c>
    </row>
    <row r="228" spans="1:9" x14ac:dyDescent="0.2">
      <c r="A228" s="16">
        <v>218</v>
      </c>
      <c r="B228" s="16">
        <f t="shared" si="21"/>
        <v>-3.8048177693476384</v>
      </c>
      <c r="C228" s="16">
        <f t="shared" si="22"/>
        <v>-2.3640322608201663</v>
      </c>
      <c r="D228" s="16">
        <f t="shared" si="23"/>
        <v>1.8469844259769745</v>
      </c>
      <c r="E228" s="16">
        <f t="shared" si="27"/>
        <v>7.6427319375862908</v>
      </c>
      <c r="F228" s="16" t="e">
        <f t="shared" si="24"/>
        <v>#N/A</v>
      </c>
      <c r="G228" s="16" t="e">
        <f t="shared" si="25"/>
        <v>#N/A</v>
      </c>
      <c r="I228" s="16">
        <f t="shared" si="26"/>
        <v>3.8048177693476384</v>
      </c>
    </row>
    <row r="229" spans="1:9" x14ac:dyDescent="0.2">
      <c r="A229" s="16">
        <v>219</v>
      </c>
      <c r="B229" s="16">
        <f t="shared" si="21"/>
        <v>-3.8222710618675819</v>
      </c>
      <c r="C229" s="16">
        <f t="shared" si="22"/>
        <v>-2.3314378843709123</v>
      </c>
      <c r="D229" s="16">
        <f t="shared" si="23"/>
        <v>1.8879611731495127</v>
      </c>
      <c r="E229" s="16">
        <f t="shared" si="27"/>
        <v>7.6527379016480168</v>
      </c>
      <c r="F229" s="16" t="e">
        <f t="shared" si="24"/>
        <v>#N/A</v>
      </c>
      <c r="G229" s="16" t="e">
        <f t="shared" si="25"/>
        <v>#N/A</v>
      </c>
      <c r="I229" s="16">
        <f t="shared" si="26"/>
        <v>3.8222710618675819</v>
      </c>
    </row>
    <row r="230" spans="1:9" x14ac:dyDescent="0.2">
      <c r="A230" s="16">
        <v>220</v>
      </c>
      <c r="B230" s="16">
        <f t="shared" si="21"/>
        <v>-3.839724354387525</v>
      </c>
      <c r="C230" s="16">
        <f t="shared" si="22"/>
        <v>-2.2981333293569342</v>
      </c>
      <c r="D230" s="16">
        <f t="shared" si="23"/>
        <v>1.9283628290596178</v>
      </c>
      <c r="E230" s="16">
        <f t="shared" si="27"/>
        <v>7.6628051782946178</v>
      </c>
      <c r="F230" s="16" t="e">
        <f t="shared" si="24"/>
        <v>#N/A</v>
      </c>
      <c r="G230" s="16" t="e">
        <f t="shared" si="25"/>
        <v>#N/A</v>
      </c>
      <c r="I230" s="16">
        <f t="shared" si="26"/>
        <v>3.839724354387525</v>
      </c>
    </row>
    <row r="231" spans="1:9" x14ac:dyDescent="0.2">
      <c r="A231" s="16">
        <v>221</v>
      </c>
      <c r="B231" s="16">
        <f t="shared" si="21"/>
        <v>-3.8571776469074681</v>
      </c>
      <c r="C231" s="16">
        <f t="shared" si="22"/>
        <v>-2.2641287406683164</v>
      </c>
      <c r="D231" s="16">
        <f t="shared" si="23"/>
        <v>1.9681770869715212</v>
      </c>
      <c r="E231" s="16">
        <f t="shared" si="27"/>
        <v>7.6729212849917667</v>
      </c>
      <c r="F231" s="16" t="e">
        <f t="shared" si="24"/>
        <v>#N/A</v>
      </c>
      <c r="G231" s="16" t="e">
        <f t="shared" si="25"/>
        <v>#N/A</v>
      </c>
      <c r="I231" s="16">
        <f t="shared" si="26"/>
        <v>3.8571776469074681</v>
      </c>
    </row>
    <row r="232" spans="1:9" x14ac:dyDescent="0.2">
      <c r="A232" s="16">
        <v>222</v>
      </c>
      <c r="B232" s="16">
        <f t="shared" si="21"/>
        <v>-3.8746309394274117</v>
      </c>
      <c r="C232" s="16">
        <f t="shared" si="22"/>
        <v>-2.229434476432183</v>
      </c>
      <c r="D232" s="16">
        <f t="shared" si="23"/>
        <v>2.0073918190765747</v>
      </c>
      <c r="E232" s="16">
        <f t="shared" si="27"/>
        <v>7.6830737283521859</v>
      </c>
      <c r="F232" s="16" t="e">
        <f t="shared" si="24"/>
        <v>#N/A</v>
      </c>
      <c r="G232" s="16" t="e">
        <f t="shared" si="25"/>
        <v>#N/A</v>
      </c>
      <c r="I232" s="16">
        <f t="shared" si="26"/>
        <v>3.8746309394274117</v>
      </c>
    </row>
    <row r="233" spans="1:9" x14ac:dyDescent="0.2">
      <c r="A233" s="16">
        <v>223</v>
      </c>
      <c r="B233" s="16">
        <f t="shared" si="21"/>
        <v>-3.8920842319473548</v>
      </c>
      <c r="C233" s="16">
        <f t="shared" si="22"/>
        <v>-2.1940611048575116</v>
      </c>
      <c r="D233" s="16">
        <f t="shared" si="23"/>
        <v>2.0459950801874953</v>
      </c>
      <c r="E233" s="16">
        <f t="shared" si="27"/>
        <v>7.6932500198649096</v>
      </c>
      <c r="F233" s="16" t="e">
        <f t="shared" si="24"/>
        <v>#N/A</v>
      </c>
      <c r="G233" s="16" t="e">
        <f t="shared" si="25"/>
        <v>#N/A</v>
      </c>
      <c r="I233" s="16">
        <f t="shared" si="26"/>
        <v>3.8920842319473548</v>
      </c>
    </row>
    <row r="234" spans="1:9" x14ac:dyDescent="0.2">
      <c r="A234" s="16">
        <v>224</v>
      </c>
      <c r="B234" s="16">
        <f t="shared" si="21"/>
        <v>-3.9095375244672983</v>
      </c>
      <c r="C234" s="16">
        <f t="shared" si="22"/>
        <v>-2.1580194010159532</v>
      </c>
      <c r="D234" s="16">
        <f t="shared" si="23"/>
        <v>2.0839751113769922</v>
      </c>
      <c r="E234" s="16">
        <f t="shared" si="27"/>
        <v>7.7034376913712199</v>
      </c>
      <c r="F234" s="16" t="e">
        <f t="shared" si="24"/>
        <v>#N/A</v>
      </c>
      <c r="G234" s="16" t="e">
        <f t="shared" si="25"/>
        <v>#N/A</v>
      </c>
      <c r="I234" s="16">
        <f t="shared" si="26"/>
        <v>3.9095375244672983</v>
      </c>
    </row>
    <row r="235" spans="1:9" x14ac:dyDescent="0.2">
      <c r="A235" s="16">
        <v>225</v>
      </c>
      <c r="B235" s="16">
        <f t="shared" si="21"/>
        <v>-3.9269908169872414</v>
      </c>
      <c r="C235" s="16">
        <f t="shared" si="22"/>
        <v>-2.1213203435596428</v>
      </c>
      <c r="D235" s="16">
        <f t="shared" si="23"/>
        <v>2.1213203435596424</v>
      </c>
      <c r="E235" s="16">
        <f t="shared" si="27"/>
        <v>7.713624310270756</v>
      </c>
      <c r="F235" s="16" t="e">
        <f t="shared" si="24"/>
        <v>#N/A</v>
      </c>
      <c r="G235" s="16" t="e">
        <f t="shared" si="25"/>
        <v>#N/A</v>
      </c>
      <c r="I235" s="16">
        <f t="shared" si="26"/>
        <v>3.9269908169872414</v>
      </c>
    </row>
    <row r="236" spans="1:9" x14ac:dyDescent="0.2">
      <c r="A236" s="16">
        <v>226</v>
      </c>
      <c r="B236" s="16">
        <f t="shared" si="21"/>
        <v>-3.9444441095071849</v>
      </c>
      <c r="C236" s="16">
        <f t="shared" si="22"/>
        <v>-2.0839751113769918</v>
      </c>
      <c r="D236" s="16">
        <f t="shared" si="23"/>
        <v>2.1580194010159537</v>
      </c>
      <c r="E236" s="16">
        <f t="shared" si="27"/>
        <v>7.7237974944428247</v>
      </c>
      <c r="F236" s="16" t="e">
        <f t="shared" si="24"/>
        <v>#N/A</v>
      </c>
      <c r="G236" s="16" t="e">
        <f t="shared" si="25"/>
        <v>#N/A</v>
      </c>
      <c r="I236" s="16">
        <f t="shared" si="26"/>
        <v>3.9444441095071849</v>
      </c>
    </row>
    <row r="237" spans="1:9" x14ac:dyDescent="0.2">
      <c r="A237" s="16">
        <v>227</v>
      </c>
      <c r="B237" s="16">
        <f t="shared" si="21"/>
        <v>-3.961897402027128</v>
      </c>
      <c r="C237" s="16">
        <f t="shared" si="22"/>
        <v>-2.0459950801874958</v>
      </c>
      <c r="D237" s="16">
        <f t="shared" si="23"/>
        <v>2.1940611048575116</v>
      </c>
      <c r="E237" s="16">
        <f t="shared" si="27"/>
        <v>7.7339449268693761</v>
      </c>
      <c r="F237" s="16" t="e">
        <f t="shared" si="24"/>
        <v>#N/A</v>
      </c>
      <c r="G237" s="16" t="e">
        <f t="shared" si="25"/>
        <v>#N/A</v>
      </c>
      <c r="I237" s="16">
        <f t="shared" si="26"/>
        <v>3.961897402027128</v>
      </c>
    </row>
    <row r="238" spans="1:9" x14ac:dyDescent="0.2">
      <c r="A238" s="16">
        <v>228</v>
      </c>
      <c r="B238" s="16">
        <f t="shared" si="21"/>
        <v>-3.9793506945470716</v>
      </c>
      <c r="C238" s="16">
        <f t="shared" si="22"/>
        <v>-2.0073918190765743</v>
      </c>
      <c r="D238" s="16">
        <f t="shared" si="23"/>
        <v>2.229434476432183</v>
      </c>
      <c r="E238" s="16">
        <f t="shared" si="27"/>
        <v>7.7440543699475954</v>
      </c>
      <c r="F238" s="16" t="e">
        <f t="shared" si="24"/>
        <v>#N/A</v>
      </c>
      <c r="G238" s="16" t="e">
        <f t="shared" si="25"/>
        <v>#N/A</v>
      </c>
      <c r="I238" s="16">
        <f t="shared" si="26"/>
        <v>3.9793506945470716</v>
      </c>
    </row>
    <row r="239" spans="1:9" x14ac:dyDescent="0.2">
      <c r="A239" s="16">
        <v>229</v>
      </c>
      <c r="B239" s="16">
        <f t="shared" si="21"/>
        <v>-3.9968039870670147</v>
      </c>
      <c r="C239" s="16">
        <f t="shared" si="22"/>
        <v>-1.9681770869715218</v>
      </c>
      <c r="D239" s="16">
        <f t="shared" si="23"/>
        <v>2.2641287406683159</v>
      </c>
      <c r="E239" s="16">
        <f t="shared" si="27"/>
        <v>7.7541136794813816</v>
      </c>
      <c r="F239" s="16" t="e">
        <f t="shared" si="24"/>
        <v>#N/A</v>
      </c>
      <c r="G239" s="16" t="e">
        <f t="shared" si="25"/>
        <v>#N/A</v>
      </c>
      <c r="I239" s="16">
        <f t="shared" si="26"/>
        <v>3.9968039870670147</v>
      </c>
    </row>
    <row r="240" spans="1:9" x14ac:dyDescent="0.2">
      <c r="A240" s="16">
        <v>230</v>
      </c>
      <c r="B240" s="16">
        <f t="shared" si="21"/>
        <v>-4.0142572795869578</v>
      </c>
      <c r="C240" s="16">
        <f t="shared" si="22"/>
        <v>-1.9283628290596184</v>
      </c>
      <c r="D240" s="16">
        <f t="shared" si="23"/>
        <v>2.2981333293569337</v>
      </c>
      <c r="E240" s="16">
        <f t="shared" si="27"/>
        <v>7.7641108183423801</v>
      </c>
      <c r="F240" s="16" t="e">
        <f t="shared" si="24"/>
        <v>#N/A</v>
      </c>
      <c r="G240" s="16" t="e">
        <f t="shared" si="25"/>
        <v>#N/A</v>
      </c>
      <c r="I240" s="16">
        <f t="shared" si="26"/>
        <v>4.0142572795869578</v>
      </c>
    </row>
    <row r="241" spans="1:9" x14ac:dyDescent="0.2">
      <c r="A241" s="16">
        <v>231</v>
      </c>
      <c r="B241" s="16">
        <f t="shared" si="21"/>
        <v>-4.0317105721069009</v>
      </c>
      <c r="C241" s="16">
        <f t="shared" si="22"/>
        <v>-1.8879611731495136</v>
      </c>
      <c r="D241" s="16">
        <f t="shared" si="23"/>
        <v>2.3314378843709118</v>
      </c>
      <c r="E241" s="16">
        <f t="shared" si="27"/>
        <v>7.7740338697924329</v>
      </c>
      <c r="F241" s="16" t="e">
        <f t="shared" si="24"/>
        <v>#N/A</v>
      </c>
      <c r="G241" s="16" t="e">
        <f t="shared" si="25"/>
        <v>#N/A</v>
      </c>
      <c r="I241" s="16">
        <f t="shared" si="26"/>
        <v>4.0317105721069009</v>
      </c>
    </row>
    <row r="242" spans="1:9" x14ac:dyDescent="0.2">
      <c r="A242" s="16">
        <v>232</v>
      </c>
      <c r="B242" s="16">
        <f t="shared" si="21"/>
        <v>-4.0491638646268449</v>
      </c>
      <c r="C242" s="16">
        <f t="shared" si="22"/>
        <v>-1.8469844259769741</v>
      </c>
      <c r="D242" s="16">
        <f t="shared" si="23"/>
        <v>2.3640322608201663</v>
      </c>
      <c r="E242" s="16">
        <f t="shared" si="27"/>
        <v>7.7838710504605935</v>
      </c>
      <c r="F242" s="16" t="e">
        <f t="shared" si="24"/>
        <v>#N/A</v>
      </c>
      <c r="G242" s="16" t="e">
        <f t="shared" si="25"/>
        <v>#N/A</v>
      </c>
      <c r="I242" s="16">
        <f t="shared" si="26"/>
        <v>4.0491638646268449</v>
      </c>
    </row>
    <row r="243" spans="1:9" x14ac:dyDescent="0.2">
      <c r="A243" s="16">
        <v>233</v>
      </c>
      <c r="B243" s="16">
        <f t="shared" si="21"/>
        <v>-4.066617157146788</v>
      </c>
      <c r="C243" s="16">
        <f t="shared" si="22"/>
        <v>-1.8054450694561448</v>
      </c>
      <c r="D243" s="16">
        <f t="shared" si="23"/>
        <v>2.3959065301418785</v>
      </c>
      <c r="E243" s="16">
        <f t="shared" si="27"/>
        <v>7.7936107229689435</v>
      </c>
      <c r="F243" s="16" t="e">
        <f t="shared" si="24"/>
        <v>#N/A</v>
      </c>
      <c r="G243" s="16" t="e">
        <f t="shared" si="25"/>
        <v>#N/A</v>
      </c>
      <c r="I243" s="16">
        <f t="shared" si="26"/>
        <v>4.066617157146788</v>
      </c>
    </row>
    <row r="244" spans="1:9" x14ac:dyDescent="0.2">
      <c r="A244" s="16">
        <v>234</v>
      </c>
      <c r="B244" s="16">
        <f t="shared" si="21"/>
        <v>-4.0840704496667311</v>
      </c>
      <c r="C244" s="16">
        <f t="shared" si="22"/>
        <v>-1.7633557568774196</v>
      </c>
      <c r="D244" s="16">
        <f t="shared" si="23"/>
        <v>2.4270509831248419</v>
      </c>
      <c r="E244" s="16">
        <f t="shared" si="27"/>
        <v>7.8032414082025721</v>
      </c>
      <c r="F244" s="16" t="e">
        <f t="shared" si="24"/>
        <v>#N/A</v>
      </c>
      <c r="G244" s="16" t="e">
        <f t="shared" si="25"/>
        <v>#N/A</v>
      </c>
      <c r="I244" s="16">
        <f t="shared" si="26"/>
        <v>4.0840704496667311</v>
      </c>
    </row>
    <row r="245" spans="1:9" x14ac:dyDescent="0.2">
      <c r="A245" s="16">
        <v>235</v>
      </c>
      <c r="B245" s="16">
        <f t="shared" si="21"/>
        <v>-4.1015237421866741</v>
      </c>
      <c r="C245" s="16">
        <f t="shared" si="22"/>
        <v>-1.720729309053139</v>
      </c>
      <c r="D245" s="16">
        <f t="shared" si="23"/>
        <v>2.4574561328669748</v>
      </c>
      <c r="E245" s="16">
        <f t="shared" si="27"/>
        <v>7.8127517972200744</v>
      </c>
      <c r="F245" s="16" t="e">
        <f t="shared" si="24"/>
        <v>#N/A</v>
      </c>
      <c r="G245" s="16" t="e">
        <f t="shared" si="25"/>
        <v>#N/A</v>
      </c>
      <c r="I245" s="16">
        <f t="shared" si="26"/>
        <v>4.1015237421866741</v>
      </c>
    </row>
    <row r="246" spans="1:9" x14ac:dyDescent="0.2">
      <c r="A246" s="16">
        <v>236</v>
      </c>
      <c r="B246" s="16">
        <f t="shared" si="21"/>
        <v>-4.1189770347066181</v>
      </c>
      <c r="C246" s="16">
        <f t="shared" si="22"/>
        <v>-1.6775787104122397</v>
      </c>
      <c r="D246" s="16">
        <f t="shared" si="23"/>
        <v>2.4871127176651253</v>
      </c>
      <c r="E246" s="16">
        <f t="shared" si="27"/>
        <v>7.8221307628018852</v>
      </c>
      <c r="F246" s="16" t="e">
        <f t="shared" si="24"/>
        <v>#N/A</v>
      </c>
      <c r="G246" s="16" t="e">
        <f t="shared" si="25"/>
        <v>#N/A</v>
      </c>
      <c r="I246" s="16">
        <f t="shared" si="26"/>
        <v>4.1189770347066181</v>
      </c>
    </row>
    <row r="247" spans="1:9" x14ac:dyDescent="0.2">
      <c r="A247" s="16">
        <v>237</v>
      </c>
      <c r="B247" s="16">
        <f t="shared" si="21"/>
        <v>-4.1364303272265612</v>
      </c>
      <c r="C247" s="16">
        <f t="shared" si="22"/>
        <v>-1.6339171050450809</v>
      </c>
      <c r="D247" s="16">
        <f t="shared" si="23"/>
        <v>2.5160117038362722</v>
      </c>
      <c r="E247" s="16">
        <f t="shared" si="27"/>
        <v>7.831367370634652</v>
      </c>
      <c r="F247" s="16" t="e">
        <f t="shared" si="24"/>
        <v>#N/A</v>
      </c>
      <c r="G247" s="16" t="e">
        <f t="shared" si="25"/>
        <v>#N/A</v>
      </c>
      <c r="I247" s="16">
        <f t="shared" si="26"/>
        <v>4.1364303272265612</v>
      </c>
    </row>
    <row r="248" spans="1:9" x14ac:dyDescent="0.2">
      <c r="A248" s="16">
        <v>238</v>
      </c>
      <c r="B248" s="16">
        <f t="shared" si="21"/>
        <v>-4.1538836197465043</v>
      </c>
      <c r="C248" s="16">
        <f t="shared" si="22"/>
        <v>-1.5897577926996149</v>
      </c>
      <c r="D248" s="16">
        <f t="shared" si="23"/>
        <v>2.544144288469278</v>
      </c>
      <c r="E248" s="16">
        <f t="shared" si="27"/>
        <v>7.840450890130672</v>
      </c>
      <c r="F248" s="16" t="e">
        <f t="shared" si="24"/>
        <v>#N/A</v>
      </c>
      <c r="G248" s="16" t="e">
        <f t="shared" si="25"/>
        <v>#N/A</v>
      </c>
      <c r="I248" s="16">
        <f t="shared" si="26"/>
        <v>4.1538836197465043</v>
      </c>
    </row>
    <row r="249" spans="1:9" x14ac:dyDescent="0.2">
      <c r="A249" s="16">
        <v>239</v>
      </c>
      <c r="B249" s="16">
        <f t="shared" si="21"/>
        <v>-4.1713369122664474</v>
      </c>
      <c r="C249" s="16">
        <f t="shared" si="22"/>
        <v>-1.5451142247301635</v>
      </c>
      <c r="D249" s="16">
        <f t="shared" si="23"/>
        <v>2.5715019021063363</v>
      </c>
      <c r="E249" s="16">
        <f t="shared" si="27"/>
        <v>7.8493708048821667</v>
      </c>
      <c r="F249" s="16" t="e">
        <f t="shared" si="24"/>
        <v>#N/A</v>
      </c>
      <c r="G249" s="16" t="e">
        <f t="shared" si="25"/>
        <v>#N/A</v>
      </c>
      <c r="I249" s="16">
        <f t="shared" si="26"/>
        <v>4.1713369122664474</v>
      </c>
    </row>
    <row r="250" spans="1:9" x14ac:dyDescent="0.2">
      <c r="A250" s="16">
        <v>240</v>
      </c>
      <c r="B250" s="16">
        <f t="shared" si="21"/>
        <v>-4.1887902047863905</v>
      </c>
      <c r="C250" s="16">
        <f t="shared" si="22"/>
        <v>-1.5000000000000013</v>
      </c>
      <c r="D250" s="16">
        <f t="shared" si="23"/>
        <v>2.5980762113533151</v>
      </c>
      <c r="E250" s="16">
        <f t="shared" si="27"/>
        <v>7.8581168227508549</v>
      </c>
      <c r="F250" s="16" t="e">
        <f t="shared" si="24"/>
        <v>#N/A</v>
      </c>
      <c r="G250" s="16" t="e">
        <f t="shared" si="25"/>
        <v>#N/A</v>
      </c>
      <c r="I250" s="16">
        <f t="shared" si="26"/>
        <v>4.1887902047863905</v>
      </c>
    </row>
    <row r="251" spans="1:9" x14ac:dyDescent="0.2">
      <c r="A251" s="16">
        <v>241</v>
      </c>
      <c r="B251" s="16">
        <f t="shared" si="21"/>
        <v>-4.2062434973063345</v>
      </c>
      <c r="C251" s="16">
        <f t="shared" si="22"/>
        <v>-1.4544288607390106</v>
      </c>
      <c r="D251" s="16">
        <f t="shared" si="23"/>
        <v>2.6238591214181879</v>
      </c>
      <c r="E251" s="16">
        <f t="shared" si="27"/>
        <v>7.8666788855939345</v>
      </c>
      <c r="F251" s="16" t="e">
        <f t="shared" si="24"/>
        <v>#N/A</v>
      </c>
      <c r="G251" s="16" t="e">
        <f t="shared" si="25"/>
        <v>#N/A</v>
      </c>
      <c r="I251" s="16">
        <f t="shared" si="26"/>
        <v>4.2062434973063345</v>
      </c>
    </row>
    <row r="252" spans="1:9" x14ac:dyDescent="0.2">
      <c r="A252" s="16">
        <v>242</v>
      </c>
      <c r="B252" s="16">
        <f t="shared" si="21"/>
        <v>-4.2236967898262776</v>
      </c>
      <c r="C252" s="16">
        <f t="shared" si="22"/>
        <v>-1.4084146883576723</v>
      </c>
      <c r="D252" s="16">
        <f t="shared" si="23"/>
        <v>2.648842778576781</v>
      </c>
      <c r="E252" s="16">
        <f t="shared" si="27"/>
        <v>7.8750471786280976</v>
      </c>
      <c r="F252" s="16" t="e">
        <f t="shared" si="24"/>
        <v>#N/A</v>
      </c>
      <c r="G252" s="16" t="e">
        <f t="shared" si="25"/>
        <v>#N/A</v>
      </c>
      <c r="I252" s="16">
        <f t="shared" si="26"/>
        <v>4.2236967898262776</v>
      </c>
    </row>
    <row r="253" spans="1:9" x14ac:dyDescent="0.2">
      <c r="A253" s="16">
        <v>243</v>
      </c>
      <c r="B253" s="16">
        <f t="shared" si="21"/>
        <v>-4.2411500823462207</v>
      </c>
      <c r="C253" s="16">
        <f t="shared" si="22"/>
        <v>-1.3619714992186407</v>
      </c>
      <c r="D253" s="16">
        <f t="shared" si="23"/>
        <v>2.6730195725651034</v>
      </c>
      <c r="E253" s="16">
        <f t="shared" si="27"/>
        <v>7.8832121394337813</v>
      </c>
      <c r="F253" s="16" t="e">
        <f t="shared" si="24"/>
        <v>#N/A</v>
      </c>
      <c r="G253" s="16" t="e">
        <f t="shared" si="25"/>
        <v>#N/A</v>
      </c>
      <c r="I253" s="16">
        <f t="shared" si="26"/>
        <v>4.2411500823462207</v>
      </c>
    </row>
    <row r="254" spans="1:9" x14ac:dyDescent="0.2">
      <c r="A254" s="16">
        <v>244</v>
      </c>
      <c r="B254" s="16">
        <f t="shared" si="21"/>
        <v>-4.2586033748661638</v>
      </c>
      <c r="C254" s="16">
        <f t="shared" si="22"/>
        <v>-1.3151134403672331</v>
      </c>
      <c r="D254" s="16">
        <f t="shared" si="23"/>
        <v>2.6963821388975004</v>
      </c>
      <c r="E254" s="16">
        <f t="shared" si="27"/>
        <v>7.8911644666022172</v>
      </c>
      <c r="F254" s="16" t="e">
        <f t="shared" si="24"/>
        <v>#N/A</v>
      </c>
      <c r="G254" s="16" t="e">
        <f t="shared" si="25"/>
        <v>#N/A</v>
      </c>
      <c r="I254" s="16">
        <f t="shared" si="26"/>
        <v>4.2586033748661638</v>
      </c>
    </row>
    <row r="255" spans="1:9" x14ac:dyDescent="0.2">
      <c r="A255" s="16">
        <v>245</v>
      </c>
      <c r="B255" s="16">
        <f t="shared" si="21"/>
        <v>-4.2760566673861078</v>
      </c>
      <c r="C255" s="16">
        <f t="shared" si="22"/>
        <v>-1.2678547852220974</v>
      </c>
      <c r="D255" s="16">
        <f t="shared" si="23"/>
        <v>2.7189233611099501</v>
      </c>
      <c r="E255" s="16">
        <f t="shared" si="27"/>
        <v>7.8988951280283137</v>
      </c>
      <c r="F255" s="16" t="e">
        <f t="shared" si="24"/>
        <v>#N/A</v>
      </c>
      <c r="G255" s="16" t="e">
        <f t="shared" si="25"/>
        <v>#N/A</v>
      </c>
      <c r="I255" s="16">
        <f t="shared" si="26"/>
        <v>4.2760566673861078</v>
      </c>
    </row>
    <row r="256" spans="1:9" x14ac:dyDescent="0.2">
      <c r="A256" s="16">
        <v>246</v>
      </c>
      <c r="B256" s="16">
        <f t="shared" si="21"/>
        <v>-4.2935099599060509</v>
      </c>
      <c r="C256" s="16">
        <f t="shared" si="22"/>
        <v>-1.2202099292274002</v>
      </c>
      <c r="D256" s="16">
        <f t="shared" si="23"/>
        <v>2.7406363729278027</v>
      </c>
      <c r="E256" s="16">
        <f t="shared" si="27"/>
        <v>7.9063953688526647</v>
      </c>
      <c r="F256" s="16" t="e">
        <f t="shared" si="24"/>
        <v>#N/A</v>
      </c>
      <c r="G256" s="16" t="e">
        <f t="shared" si="25"/>
        <v>#N/A</v>
      </c>
      <c r="I256" s="16">
        <f t="shared" si="26"/>
        <v>4.2935099599060509</v>
      </c>
    </row>
    <row r="257" spans="1:9" x14ac:dyDescent="0.2">
      <c r="A257" s="16">
        <v>247</v>
      </c>
      <c r="B257" s="16">
        <f t="shared" si="21"/>
        <v>-4.310963252425994</v>
      </c>
      <c r="C257" s="16">
        <f t="shared" si="22"/>
        <v>-1.1721933854678215</v>
      </c>
      <c r="D257" s="16">
        <f t="shared" si="23"/>
        <v>2.7615145603573206</v>
      </c>
      <c r="E257" s="16">
        <f t="shared" si="27"/>
        <v>7.9136567190563358</v>
      </c>
      <c r="F257" s="16" t="e">
        <f t="shared" si="24"/>
        <v>#N/A</v>
      </c>
      <c r="G257" s="16" t="e">
        <f t="shared" si="25"/>
        <v>#N/A</v>
      </c>
      <c r="I257" s="16">
        <f t="shared" si="26"/>
        <v>4.310963252425994</v>
      </c>
    </row>
    <row r="258" spans="1:9" x14ac:dyDescent="0.2">
      <c r="A258" s="16">
        <v>248</v>
      </c>
      <c r="B258" s="16">
        <f t="shared" si="21"/>
        <v>-4.3284165449459371</v>
      </c>
      <c r="C258" s="16">
        <f t="shared" si="22"/>
        <v>-1.1238197802477368</v>
      </c>
      <c r="D258" s="16">
        <f t="shared" si="23"/>
        <v>2.7815515637003618</v>
      </c>
      <c r="E258" s="16">
        <f t="shared" si="27"/>
        <v>7.9206710007122458</v>
      </c>
      <c r="F258" s="16" t="e">
        <f t="shared" si="24"/>
        <v>#N/A</v>
      </c>
      <c r="G258" s="16" t="e">
        <f t="shared" si="25"/>
        <v>#N/A</v>
      </c>
      <c r="I258" s="16">
        <f t="shared" si="26"/>
        <v>4.3284165449459371</v>
      </c>
    </row>
    <row r="259" spans="1:9" x14ac:dyDescent="0.2">
      <c r="A259" s="16">
        <v>249</v>
      </c>
      <c r="B259" s="16">
        <f t="shared" si="21"/>
        <v>-4.3458698374658802</v>
      </c>
      <c r="C259" s="16">
        <f t="shared" si="22"/>
        <v>-1.0751038486359021</v>
      </c>
      <c r="D259" s="16">
        <f t="shared" si="23"/>
        <v>2.8007412794916049</v>
      </c>
      <c r="E259" s="16">
        <f t="shared" si="27"/>
        <v>7.9274303348971964</v>
      </c>
      <c r="F259" s="16" t="e">
        <f t="shared" si="24"/>
        <v>#N/A</v>
      </c>
      <c r="G259" s="16" t="e">
        <f t="shared" si="25"/>
        <v>#N/A</v>
      </c>
      <c r="I259" s="16">
        <f t="shared" si="26"/>
        <v>4.3458698374658802</v>
      </c>
    </row>
    <row r="260" spans="1:9" x14ac:dyDescent="0.2">
      <c r="A260" s="16">
        <v>250</v>
      </c>
      <c r="B260" s="16">
        <f t="shared" si="21"/>
        <v>-4.3633231299858242</v>
      </c>
      <c r="C260" s="16">
        <f t="shared" si="22"/>
        <v>-1.0260604299770058</v>
      </c>
      <c r="D260" s="16">
        <f t="shared" si="23"/>
        <v>2.8190778623577253</v>
      </c>
      <c r="E260" s="16">
        <f t="shared" si="27"/>
        <v>7.9339271482687188</v>
      </c>
      <c r="F260" s="16" t="e">
        <f t="shared" si="24"/>
        <v>#N/A</v>
      </c>
      <c r="G260" s="16" t="e">
        <f t="shared" si="25"/>
        <v>#N/A</v>
      </c>
      <c r="I260" s="16">
        <f t="shared" si="26"/>
        <v>4.3633231299858242</v>
      </c>
    </row>
    <row r="261" spans="1:9" x14ac:dyDescent="0.2">
      <c r="A261" s="16">
        <v>251</v>
      </c>
      <c r="B261" s="16">
        <f t="shared" si="21"/>
        <v>-4.3807764225057673</v>
      </c>
      <c r="C261" s="16">
        <f t="shared" si="22"/>
        <v>-0.97670446337146988</v>
      </c>
      <c r="D261" s="16">
        <f t="shared" si="23"/>
        <v>2.8365557267979504</v>
      </c>
      <c r="E261" s="16">
        <f t="shared" si="27"/>
        <v>7.9401541793110191</v>
      </c>
      <c r="F261" s="16" t="e">
        <f t="shared" si="24"/>
        <v>#N/A</v>
      </c>
      <c r="G261" s="16" t="e">
        <f t="shared" si="25"/>
        <v>#N/A</v>
      </c>
      <c r="I261" s="16">
        <f t="shared" si="26"/>
        <v>4.3807764225057673</v>
      </c>
    </row>
    <row r="262" spans="1:9" x14ac:dyDescent="0.2">
      <c r="A262" s="16">
        <v>252</v>
      </c>
      <c r="B262" s="16">
        <f t="shared" si="21"/>
        <v>-4.3982297150257104</v>
      </c>
      <c r="C262" s="16">
        <f t="shared" si="22"/>
        <v>-0.92705098312484269</v>
      </c>
      <c r="D262" s="16">
        <f t="shared" si="23"/>
        <v>2.8531695488854605</v>
      </c>
      <c r="E262" s="16">
        <f t="shared" si="27"/>
        <v>7.9461044842543611</v>
      </c>
      <c r="F262" s="16" t="e">
        <f t="shared" si="24"/>
        <v>#N/A</v>
      </c>
      <c r="G262" s="16" t="e">
        <f t="shared" si="25"/>
        <v>#N/A</v>
      </c>
      <c r="I262" s="16">
        <f t="shared" si="26"/>
        <v>4.3982297150257104</v>
      </c>
    </row>
    <row r="263" spans="1:9" x14ac:dyDescent="0.2">
      <c r="A263" s="16">
        <v>253</v>
      </c>
      <c r="B263" s="16">
        <f t="shared" si="21"/>
        <v>-4.4156830075456535</v>
      </c>
      <c r="C263" s="16">
        <f t="shared" si="22"/>
        <v>-0.87711511416821131</v>
      </c>
      <c r="D263" s="16">
        <f t="shared" si="23"/>
        <v>2.8689142678891058</v>
      </c>
      <c r="E263" s="16">
        <f t="shared" si="27"/>
        <v>7.9517714426722357</v>
      </c>
      <c r="F263" s="16" t="e">
        <f t="shared" si="24"/>
        <v>#N/A</v>
      </c>
      <c r="G263" s="16" t="e">
        <f t="shared" si="25"/>
        <v>#N/A</v>
      </c>
      <c r="I263" s="16">
        <f t="shared" si="26"/>
        <v>4.4156830075456535</v>
      </c>
    </row>
    <row r="264" spans="1:9" x14ac:dyDescent="0.2">
      <c r="A264" s="16">
        <v>254</v>
      </c>
      <c r="B264" s="16">
        <f t="shared" si="21"/>
        <v>-4.4331363000655974</v>
      </c>
      <c r="C264" s="16">
        <f t="shared" si="22"/>
        <v>-0.82691206745099666</v>
      </c>
      <c r="D264" s="16">
        <f t="shared" si="23"/>
        <v>2.8837850878149571</v>
      </c>
      <c r="E264" s="16">
        <f t="shared" si="27"/>
        <v>7.9571487627606858</v>
      </c>
      <c r="F264" s="16" t="e">
        <f t="shared" si="24"/>
        <v>#N/A</v>
      </c>
      <c r="G264" s="16" t="e">
        <f t="shared" si="25"/>
        <v>#N/A</v>
      </c>
      <c r="I264" s="16">
        <f t="shared" si="26"/>
        <v>4.4331363000655974</v>
      </c>
    </row>
    <row r="265" spans="1:9" x14ac:dyDescent="0.2">
      <c r="A265" s="16">
        <v>255</v>
      </c>
      <c r="B265" s="16">
        <f t="shared" si="21"/>
        <v>-4.4505895925855405</v>
      </c>
      <c r="C265" s="16">
        <f t="shared" si="22"/>
        <v>-0.77645713530756189</v>
      </c>
      <c r="D265" s="16">
        <f t="shared" si="23"/>
        <v>2.897777478867205</v>
      </c>
      <c r="E265" s="16">
        <f t="shared" si="27"/>
        <v>7.9622304863040716</v>
      </c>
      <c r="F265" s="16" t="e">
        <f t="shared" si="24"/>
        <v>#N/A</v>
      </c>
      <c r="G265" s="16" t="e">
        <f t="shared" si="25"/>
        <v>#N/A</v>
      </c>
      <c r="I265" s="16">
        <f t="shared" si="26"/>
        <v>4.4505895925855405</v>
      </c>
    </row>
    <row r="266" spans="1:9" x14ac:dyDescent="0.2">
      <c r="A266" s="16">
        <v>256</v>
      </c>
      <c r="B266" s="16">
        <f t="shared" si="21"/>
        <v>-4.4680428851054836</v>
      </c>
      <c r="C266" s="16">
        <f t="shared" si="22"/>
        <v>-0.72576568679900333</v>
      </c>
      <c r="D266" s="16">
        <f t="shared" si="23"/>
        <v>2.9108871788279895</v>
      </c>
      <c r="E266" s="16">
        <f t="shared" si="27"/>
        <v>7.9670109933315123</v>
      </c>
      <c r="F266" s="16" t="e">
        <f t="shared" si="24"/>
        <v>#N/A</v>
      </c>
      <c r="G266" s="16" t="e">
        <f t="shared" si="25"/>
        <v>#N/A</v>
      </c>
      <c r="I266" s="16">
        <f t="shared" si="26"/>
        <v>4.4680428851054836</v>
      </c>
    </row>
    <row r="267" spans="1:9" x14ac:dyDescent="0.2">
      <c r="A267" s="16">
        <v>257</v>
      </c>
      <c r="B267" s="16">
        <f t="shared" ref="B267:B330" si="28">-RADIANS(A267)</f>
        <v>-4.4854961776254267</v>
      </c>
      <c r="C267" s="16">
        <f t="shared" ref="C267:C330" si="29">(C$6)*COS(B267)</f>
        <v>-0.6748531630315957</v>
      </c>
      <c r="D267" s="16">
        <f t="shared" ref="D267:D330" si="30">(C$6)*SIN(B267)</f>
        <v>2.9231101943557052</v>
      </c>
      <c r="E267" s="16">
        <f t="shared" si="27"/>
        <v>7.9714850064681331</v>
      </c>
      <c r="F267" s="16" t="e">
        <f t="shared" ref="F267:F330" si="31">IF(A267&lt;=$E$1,C267,NA())</f>
        <v>#N/A</v>
      </c>
      <c r="G267" s="16" t="e">
        <f t="shared" ref="G267:G330" si="32">IF(A267&lt;=$E$1,E267,NA())</f>
        <v>#N/A</v>
      </c>
      <c r="I267" s="16">
        <f t="shared" ref="I267:I330" si="33">RADIANS(A267)</f>
        <v>4.4854961776254267</v>
      </c>
    </row>
    <row r="268" spans="1:9" x14ac:dyDescent="0.2">
      <c r="A268" s="16">
        <v>258</v>
      </c>
      <c r="B268" s="16">
        <f t="shared" si="28"/>
        <v>-4.5029494701453698</v>
      </c>
      <c r="C268" s="16">
        <f t="shared" si="29"/>
        <v>-0.6237350724532793</v>
      </c>
      <c r="D268" s="16">
        <f t="shared" si="30"/>
        <v>2.9344428022014166</v>
      </c>
      <c r="E268" s="16">
        <f t="shared" ref="E268:E331" si="34">D$10+(2*C$6+C$4)*COS(ASIN(C268/(2*C$6+C$4)))</f>
        <v>7.975647594985106</v>
      </c>
      <c r="F268" s="16" t="e">
        <f t="shared" si="31"/>
        <v>#N/A</v>
      </c>
      <c r="G268" s="16" t="e">
        <f t="shared" si="32"/>
        <v>#N/A</v>
      </c>
      <c r="I268" s="16">
        <f t="shared" si="33"/>
        <v>4.5029494701453698</v>
      </c>
    </row>
    <row r="269" spans="1:9" x14ac:dyDescent="0.2">
      <c r="A269" s="16">
        <v>259</v>
      </c>
      <c r="B269" s="16">
        <f t="shared" si="28"/>
        <v>-4.5204027626653138</v>
      </c>
      <c r="C269" s="16">
        <f t="shared" si="29"/>
        <v>-0.57242698612963383</v>
      </c>
      <c r="D269" s="16">
        <f t="shared" si="30"/>
        <v>2.9448815503429921</v>
      </c>
      <c r="E269" s="16">
        <f t="shared" si="34"/>
        <v>7.979494178552331</v>
      </c>
      <c r="F269" s="16" t="e">
        <f t="shared" si="31"/>
        <v>#N/A</v>
      </c>
      <c r="G269" s="16" t="e">
        <f t="shared" si="32"/>
        <v>#N/A</v>
      </c>
      <c r="I269" s="16">
        <f t="shared" si="33"/>
        <v>4.5204027626653138</v>
      </c>
    </row>
    <row r="270" spans="1:9" x14ac:dyDescent="0.2">
      <c r="A270" s="16">
        <v>260</v>
      </c>
      <c r="B270" s="16">
        <f t="shared" si="28"/>
        <v>-4.5378560551852569</v>
      </c>
      <c r="C270" s="16">
        <f t="shared" si="29"/>
        <v>-0.52094453300079102</v>
      </c>
      <c r="D270" s="16">
        <f t="shared" si="30"/>
        <v>2.9544232590366239</v>
      </c>
      <c r="E270" s="16">
        <f t="shared" si="34"/>
        <v>7.9830205306974245</v>
      </c>
      <c r="F270" s="16" t="e">
        <f t="shared" si="31"/>
        <v>#N/A</v>
      </c>
      <c r="G270" s="16" t="e">
        <f t="shared" si="32"/>
        <v>#N/A</v>
      </c>
      <c r="I270" s="16">
        <f t="shared" si="33"/>
        <v>4.5378560551852569</v>
      </c>
    </row>
    <row r="271" spans="1:9" x14ac:dyDescent="0.2">
      <c r="A271" s="16">
        <v>261</v>
      </c>
      <c r="B271" s="16">
        <f t="shared" si="28"/>
        <v>-4.5553093477052</v>
      </c>
      <c r="C271" s="16">
        <f t="shared" si="29"/>
        <v>-0.46930339512069308</v>
      </c>
      <c r="D271" s="16">
        <f t="shared" si="30"/>
        <v>2.9630650217854129</v>
      </c>
      <c r="E271" s="16">
        <f t="shared" si="34"/>
        <v>7.9862227819744795</v>
      </c>
      <c r="F271" s="16" t="e">
        <f t="shared" si="31"/>
        <v>#N/A</v>
      </c>
      <c r="G271" s="16" t="e">
        <f t="shared" si="32"/>
        <v>#N/A</v>
      </c>
      <c r="I271" s="16">
        <f t="shared" si="33"/>
        <v>4.5553093477052</v>
      </c>
    </row>
    <row r="272" spans="1:9" x14ac:dyDescent="0.2">
      <c r="A272" s="16">
        <v>262</v>
      </c>
      <c r="B272" s="16">
        <f t="shared" si="28"/>
        <v>-4.5727626402251431</v>
      </c>
      <c r="C272" s="16">
        <f t="shared" si="29"/>
        <v>-0.41751930288019745</v>
      </c>
      <c r="D272" s="16">
        <f t="shared" si="30"/>
        <v>2.9708042062247109</v>
      </c>
      <c r="E272" s="16">
        <f t="shared" si="34"/>
        <v>7.9890974228458642</v>
      </c>
      <c r="F272" s="16" t="e">
        <f t="shared" si="31"/>
        <v>#N/A</v>
      </c>
      <c r="G272" s="16" t="e">
        <f t="shared" si="32"/>
        <v>#N/A</v>
      </c>
      <c r="I272" s="16">
        <f t="shared" si="33"/>
        <v>4.5727626402251431</v>
      </c>
    </row>
    <row r="273" spans="1:9" x14ac:dyDescent="0.2">
      <c r="A273" s="16">
        <v>263</v>
      </c>
      <c r="B273" s="16">
        <f t="shared" si="28"/>
        <v>-4.5902159327450871</v>
      </c>
      <c r="C273" s="16">
        <f t="shared" si="29"/>
        <v>-0.36560803021544153</v>
      </c>
      <c r="D273" s="16">
        <f t="shared" si="30"/>
        <v>2.9776384549239663</v>
      </c>
      <c r="E273" s="16">
        <f t="shared" si="34"/>
        <v>7.99164130628008</v>
      </c>
      <c r="F273" s="16" t="e">
        <f t="shared" si="31"/>
        <v>#N/A</v>
      </c>
      <c r="G273" s="16" t="e">
        <f t="shared" si="32"/>
        <v>#N/A</v>
      </c>
      <c r="I273" s="16">
        <f t="shared" si="33"/>
        <v>4.5902159327450871</v>
      </c>
    </row>
    <row r="274" spans="1:9" x14ac:dyDescent="0.2">
      <c r="A274" s="16">
        <v>264</v>
      </c>
      <c r="B274" s="16">
        <f t="shared" si="28"/>
        <v>-4.6076692252650302</v>
      </c>
      <c r="C274" s="16">
        <f t="shared" si="29"/>
        <v>-0.31358538980296008</v>
      </c>
      <c r="D274" s="16">
        <f t="shared" si="30"/>
        <v>2.9835656861048201</v>
      </c>
      <c r="E274" s="16">
        <f t="shared" si="34"/>
        <v>7.9938516500684527</v>
      </c>
      <c r="F274" s="16" t="e">
        <f t="shared" si="31"/>
        <v>#N/A</v>
      </c>
      <c r="G274" s="16" t="e">
        <f t="shared" si="32"/>
        <v>#N/A</v>
      </c>
      <c r="I274" s="16">
        <f t="shared" si="33"/>
        <v>4.6076692252650302</v>
      </c>
    </row>
    <row r="275" spans="1:9" x14ac:dyDescent="0.2">
      <c r="A275" s="16">
        <v>265</v>
      </c>
      <c r="B275" s="16">
        <f t="shared" si="28"/>
        <v>-4.6251225177849733</v>
      </c>
      <c r="C275" s="16">
        <f t="shared" si="29"/>
        <v>-0.26146722824297475</v>
      </c>
      <c r="D275" s="16">
        <f t="shared" si="30"/>
        <v>2.9885840942752369</v>
      </c>
      <c r="E275" s="16">
        <f t="shared" si="34"/>
        <v>7.9957260388631957</v>
      </c>
      <c r="F275" s="16" t="e">
        <f t="shared" si="31"/>
        <v>#N/A</v>
      </c>
      <c r="G275" s="16" t="e">
        <f t="shared" si="32"/>
        <v>#N/A</v>
      </c>
      <c r="I275" s="16">
        <f t="shared" si="33"/>
        <v>4.6251225177849733</v>
      </c>
    </row>
    <row r="276" spans="1:9" x14ac:dyDescent="0.2">
      <c r="A276" s="16">
        <v>266</v>
      </c>
      <c r="B276" s="16">
        <f t="shared" si="28"/>
        <v>-4.6425758103049164</v>
      </c>
      <c r="C276" s="16">
        <f t="shared" si="29"/>
        <v>-0.20926942123237674</v>
      </c>
      <c r="D276" s="16">
        <f t="shared" si="30"/>
        <v>2.9926921507794724</v>
      </c>
      <c r="E276" s="16">
        <f t="shared" si="34"/>
        <v>7.9972624259390832</v>
      </c>
      <c r="F276" s="16" t="e">
        <f t="shared" si="31"/>
        <v>#N/A</v>
      </c>
      <c r="G276" s="16" t="e">
        <f t="shared" si="32"/>
        <v>#N/A</v>
      </c>
      <c r="I276" s="16">
        <f t="shared" si="33"/>
        <v>4.6425758103049164</v>
      </c>
    </row>
    <row r="277" spans="1:9" x14ac:dyDescent="0.2">
      <c r="A277" s="16">
        <v>267</v>
      </c>
      <c r="B277" s="16">
        <f t="shared" si="28"/>
        <v>-4.6600291028248595</v>
      </c>
      <c r="C277" s="16">
        <f t="shared" si="29"/>
        <v>-0.15700786872883293</v>
      </c>
      <c r="D277" s="16">
        <f t="shared" si="30"/>
        <v>2.9958886042637216</v>
      </c>
      <c r="E277" s="16">
        <f t="shared" si="34"/>
        <v>7.9984591346807061</v>
      </c>
      <c r="F277" s="16" t="e">
        <f t="shared" si="31"/>
        <v>#N/A</v>
      </c>
      <c r="G277" s="16" t="e">
        <f t="shared" si="32"/>
        <v>#N/A</v>
      </c>
      <c r="I277" s="16">
        <f t="shared" si="33"/>
        <v>4.6600291028248595</v>
      </c>
    </row>
    <row r="278" spans="1:9" x14ac:dyDescent="0.2">
      <c r="A278" s="16">
        <v>268</v>
      </c>
      <c r="B278" s="16">
        <f t="shared" si="28"/>
        <v>-4.6774823953448035</v>
      </c>
      <c r="C278" s="16">
        <f t="shared" si="29"/>
        <v>-0.10469849010750229</v>
      </c>
      <c r="D278" s="16">
        <f t="shared" si="30"/>
        <v>2.9981724810572872</v>
      </c>
      <c r="E278" s="16">
        <f t="shared" si="34"/>
        <v>7.999314859797007</v>
      </c>
      <c r="F278" s="16" t="e">
        <f t="shared" si="31"/>
        <v>#N/A</v>
      </c>
      <c r="G278" s="16" t="e">
        <f t="shared" si="32"/>
        <v>#N/A</v>
      </c>
      <c r="I278" s="16">
        <f t="shared" si="33"/>
        <v>4.6774823953448035</v>
      </c>
    </row>
    <row r="279" spans="1:9" x14ac:dyDescent="0.2">
      <c r="A279" s="16">
        <v>269</v>
      </c>
      <c r="B279" s="16">
        <f t="shared" si="28"/>
        <v>-4.6949356878647466</v>
      </c>
      <c r="C279" s="16">
        <f t="shared" si="29"/>
        <v>-5.2357219311850493E-2</v>
      </c>
      <c r="D279" s="16">
        <f t="shared" si="30"/>
        <v>2.999543085469174</v>
      </c>
      <c r="E279" s="16">
        <f t="shared" si="34"/>
        <v>7.9998286682644606</v>
      </c>
      <c r="F279" s="16" t="e">
        <f t="shared" si="31"/>
        <v>#N/A</v>
      </c>
      <c r="G279" s="16" t="e">
        <f t="shared" si="32"/>
        <v>#N/A</v>
      </c>
      <c r="I279" s="16">
        <f t="shared" si="33"/>
        <v>4.6949356878647466</v>
      </c>
    </row>
    <row r="280" spans="1:9" x14ac:dyDescent="0.2">
      <c r="A280" s="16">
        <v>270</v>
      </c>
      <c r="B280" s="16">
        <f t="shared" si="28"/>
        <v>-4.7123889803846897</v>
      </c>
      <c r="C280" s="16">
        <f t="shared" si="29"/>
        <v>-5.51316804708879E-16</v>
      </c>
      <c r="D280" s="16">
        <f t="shared" si="30"/>
        <v>3</v>
      </c>
      <c r="E280" s="16">
        <f t="shared" si="34"/>
        <v>8</v>
      </c>
      <c r="F280" s="16" t="e">
        <f t="shared" si="31"/>
        <v>#N/A</v>
      </c>
      <c r="G280" s="16" t="e">
        <f t="shared" si="32"/>
        <v>#N/A</v>
      </c>
      <c r="I280" s="16">
        <f t="shared" si="33"/>
        <v>4.7123889803846897</v>
      </c>
    </row>
    <row r="281" spans="1:9" x14ac:dyDescent="0.2">
      <c r="A281" s="16">
        <v>271</v>
      </c>
      <c r="B281" s="16">
        <f t="shared" si="28"/>
        <v>-4.7298422729046328</v>
      </c>
      <c r="C281" s="16">
        <f t="shared" si="29"/>
        <v>5.235721931184939E-2</v>
      </c>
      <c r="D281" s="16">
        <f t="shared" si="30"/>
        <v>2.999543085469174</v>
      </c>
      <c r="E281" s="16">
        <f t="shared" si="34"/>
        <v>7.9998286682644606</v>
      </c>
      <c r="F281" s="16" t="e">
        <f t="shared" si="31"/>
        <v>#N/A</v>
      </c>
      <c r="G281" s="16" t="e">
        <f t="shared" si="32"/>
        <v>#N/A</v>
      </c>
      <c r="I281" s="16">
        <f t="shared" si="33"/>
        <v>4.7298422729046328</v>
      </c>
    </row>
    <row r="282" spans="1:9" x14ac:dyDescent="0.2">
      <c r="A282" s="16">
        <v>272</v>
      </c>
      <c r="B282" s="16">
        <f t="shared" si="28"/>
        <v>-4.7472955654245768</v>
      </c>
      <c r="C282" s="16">
        <f t="shared" si="29"/>
        <v>0.10469849010750384</v>
      </c>
      <c r="D282" s="16">
        <f t="shared" si="30"/>
        <v>2.9981724810572872</v>
      </c>
      <c r="E282" s="16">
        <f t="shared" si="34"/>
        <v>7.999314859797007</v>
      </c>
      <c r="F282" s="16" t="e">
        <f t="shared" si="31"/>
        <v>#N/A</v>
      </c>
      <c r="G282" s="16" t="e">
        <f t="shared" si="32"/>
        <v>#N/A</v>
      </c>
      <c r="I282" s="16">
        <f t="shared" si="33"/>
        <v>4.7472955654245768</v>
      </c>
    </row>
    <row r="283" spans="1:9" x14ac:dyDescent="0.2">
      <c r="A283" s="16">
        <v>273</v>
      </c>
      <c r="B283" s="16">
        <f t="shared" si="28"/>
        <v>-4.7647488579445199</v>
      </c>
      <c r="C283" s="16">
        <f t="shared" si="29"/>
        <v>0.15700786872883182</v>
      </c>
      <c r="D283" s="16">
        <f t="shared" si="30"/>
        <v>2.9958886042637216</v>
      </c>
      <c r="E283" s="16">
        <f t="shared" si="34"/>
        <v>7.9984591346807061</v>
      </c>
      <c r="F283" s="16" t="e">
        <f t="shared" si="31"/>
        <v>#N/A</v>
      </c>
      <c r="G283" s="16" t="e">
        <f t="shared" si="32"/>
        <v>#N/A</v>
      </c>
      <c r="I283" s="16">
        <f t="shared" si="33"/>
        <v>4.7647488579445199</v>
      </c>
    </row>
    <row r="284" spans="1:9" x14ac:dyDescent="0.2">
      <c r="A284" s="16">
        <v>274</v>
      </c>
      <c r="B284" s="16">
        <f t="shared" si="28"/>
        <v>-4.782202150464463</v>
      </c>
      <c r="C284" s="16">
        <f t="shared" si="29"/>
        <v>0.20926942123237566</v>
      </c>
      <c r="D284" s="16">
        <f t="shared" si="30"/>
        <v>2.9926921507794728</v>
      </c>
      <c r="E284" s="16">
        <f t="shared" si="34"/>
        <v>7.9972624259390832</v>
      </c>
      <c r="F284" s="16" t="e">
        <f t="shared" si="31"/>
        <v>#N/A</v>
      </c>
      <c r="G284" s="16" t="e">
        <f t="shared" si="32"/>
        <v>#N/A</v>
      </c>
      <c r="I284" s="16">
        <f t="shared" si="33"/>
        <v>4.782202150464463</v>
      </c>
    </row>
    <row r="285" spans="1:9" x14ac:dyDescent="0.2">
      <c r="A285" s="16">
        <v>275</v>
      </c>
      <c r="B285" s="16">
        <f t="shared" si="28"/>
        <v>-4.7996554429844061</v>
      </c>
      <c r="C285" s="16">
        <f t="shared" si="29"/>
        <v>0.26146722824297364</v>
      </c>
      <c r="D285" s="16">
        <f t="shared" si="30"/>
        <v>2.9885840942752369</v>
      </c>
      <c r="E285" s="16">
        <f t="shared" si="34"/>
        <v>7.9957260388631965</v>
      </c>
      <c r="F285" s="16" t="e">
        <f t="shared" si="31"/>
        <v>#N/A</v>
      </c>
      <c r="G285" s="16" t="e">
        <f t="shared" si="32"/>
        <v>#N/A</v>
      </c>
      <c r="I285" s="16">
        <f t="shared" si="33"/>
        <v>4.7996554429844061</v>
      </c>
    </row>
    <row r="286" spans="1:9" x14ac:dyDescent="0.2">
      <c r="A286" s="16">
        <v>276</v>
      </c>
      <c r="B286" s="16">
        <f t="shared" si="28"/>
        <v>-4.8171087355043491</v>
      </c>
      <c r="C286" s="16">
        <f t="shared" si="29"/>
        <v>0.31358538980295897</v>
      </c>
      <c r="D286" s="16">
        <f t="shared" si="30"/>
        <v>2.9835656861048201</v>
      </c>
      <c r="E286" s="16">
        <f t="shared" si="34"/>
        <v>7.9938516500684527</v>
      </c>
      <c r="F286" s="16" t="e">
        <f t="shared" si="31"/>
        <v>#N/A</v>
      </c>
      <c r="G286" s="16" t="e">
        <f t="shared" si="32"/>
        <v>#N/A</v>
      </c>
      <c r="I286" s="16">
        <f t="shared" si="33"/>
        <v>4.8171087355043491</v>
      </c>
    </row>
    <row r="287" spans="1:9" x14ac:dyDescent="0.2">
      <c r="A287" s="16">
        <v>277</v>
      </c>
      <c r="B287" s="16">
        <f t="shared" si="28"/>
        <v>-4.8345620280242931</v>
      </c>
      <c r="C287" s="16">
        <f t="shared" si="29"/>
        <v>0.36560803021544308</v>
      </c>
      <c r="D287" s="16">
        <f t="shared" si="30"/>
        <v>2.9776384549239658</v>
      </c>
      <c r="E287" s="16">
        <f t="shared" si="34"/>
        <v>7.99164130628008</v>
      </c>
      <c r="F287" s="16" t="e">
        <f t="shared" si="31"/>
        <v>#N/A</v>
      </c>
      <c r="G287" s="16" t="e">
        <f t="shared" si="32"/>
        <v>#N/A</v>
      </c>
      <c r="I287" s="16">
        <f t="shared" si="33"/>
        <v>4.8345620280242931</v>
      </c>
    </row>
    <row r="288" spans="1:9" x14ac:dyDescent="0.2">
      <c r="A288" s="16">
        <v>278</v>
      </c>
      <c r="B288" s="16">
        <f t="shared" si="28"/>
        <v>-4.8520153205442362</v>
      </c>
      <c r="C288" s="16">
        <f t="shared" si="29"/>
        <v>0.4175193028801964</v>
      </c>
      <c r="D288" s="16">
        <f t="shared" si="30"/>
        <v>2.9708042062247113</v>
      </c>
      <c r="E288" s="16">
        <f t="shared" si="34"/>
        <v>7.9890974228458642</v>
      </c>
      <c r="F288" s="16" t="e">
        <f t="shared" si="31"/>
        <v>#N/A</v>
      </c>
      <c r="G288" s="16" t="e">
        <f t="shared" si="32"/>
        <v>#N/A</v>
      </c>
      <c r="I288" s="16">
        <f t="shared" si="33"/>
        <v>4.8520153205442362</v>
      </c>
    </row>
    <row r="289" spans="1:9" x14ac:dyDescent="0.2">
      <c r="A289" s="16">
        <v>279</v>
      </c>
      <c r="B289" s="16">
        <f t="shared" si="28"/>
        <v>-4.8694686130641793</v>
      </c>
      <c r="C289" s="16">
        <f t="shared" si="29"/>
        <v>0.46930339512069202</v>
      </c>
      <c r="D289" s="16">
        <f t="shared" si="30"/>
        <v>2.9630650217854133</v>
      </c>
      <c r="E289" s="16">
        <f t="shared" si="34"/>
        <v>7.9862227819744795</v>
      </c>
      <c r="F289" s="16" t="e">
        <f t="shared" si="31"/>
        <v>#N/A</v>
      </c>
      <c r="G289" s="16" t="e">
        <f t="shared" si="32"/>
        <v>#N/A</v>
      </c>
      <c r="I289" s="16">
        <f t="shared" si="33"/>
        <v>4.8694686130641793</v>
      </c>
    </row>
    <row r="290" spans="1:9" x14ac:dyDescent="0.2">
      <c r="A290" s="16">
        <v>280</v>
      </c>
      <c r="B290" s="16">
        <f t="shared" si="28"/>
        <v>-4.8869219055841224</v>
      </c>
      <c r="C290" s="16">
        <f t="shared" si="29"/>
        <v>0.52094453300078991</v>
      </c>
      <c r="D290" s="16">
        <f t="shared" si="30"/>
        <v>2.9544232590366244</v>
      </c>
      <c r="E290" s="16">
        <f t="shared" si="34"/>
        <v>7.9830205306974245</v>
      </c>
      <c r="F290" s="16" t="e">
        <f t="shared" si="31"/>
        <v>#N/A</v>
      </c>
      <c r="G290" s="16" t="e">
        <f t="shared" si="32"/>
        <v>#N/A</v>
      </c>
      <c r="I290" s="16">
        <f t="shared" si="33"/>
        <v>4.8869219055841224</v>
      </c>
    </row>
    <row r="291" spans="1:9" x14ac:dyDescent="0.2">
      <c r="A291" s="16">
        <v>281</v>
      </c>
      <c r="B291" s="16">
        <f t="shared" si="28"/>
        <v>-4.9043751981040664</v>
      </c>
      <c r="C291" s="16">
        <f t="shared" si="29"/>
        <v>0.57242698612963538</v>
      </c>
      <c r="D291" s="16">
        <f t="shared" si="30"/>
        <v>2.9448815503429917</v>
      </c>
      <c r="E291" s="16">
        <f t="shared" si="34"/>
        <v>7.979494178552331</v>
      </c>
      <c r="F291" s="16" t="e">
        <f t="shared" si="31"/>
        <v>#N/A</v>
      </c>
      <c r="G291" s="16" t="e">
        <f t="shared" si="32"/>
        <v>#N/A</v>
      </c>
      <c r="I291" s="16">
        <f t="shared" si="33"/>
        <v>4.9043751981040664</v>
      </c>
    </row>
    <row r="292" spans="1:9" x14ac:dyDescent="0.2">
      <c r="A292" s="16">
        <v>282</v>
      </c>
      <c r="B292" s="16">
        <f t="shared" si="28"/>
        <v>-4.9218284906240095</v>
      </c>
      <c r="C292" s="16">
        <f t="shared" si="29"/>
        <v>0.62373507245327831</v>
      </c>
      <c r="D292" s="16">
        <f t="shared" si="30"/>
        <v>2.9344428022014166</v>
      </c>
      <c r="E292" s="16">
        <f t="shared" si="34"/>
        <v>7.975647594985106</v>
      </c>
      <c r="F292" s="16" t="e">
        <f t="shared" si="31"/>
        <v>#N/A</v>
      </c>
      <c r="G292" s="16" t="e">
        <f t="shared" si="32"/>
        <v>#N/A</v>
      </c>
      <c r="I292" s="16">
        <f t="shared" si="33"/>
        <v>4.9218284906240095</v>
      </c>
    </row>
    <row r="293" spans="1:9" x14ac:dyDescent="0.2">
      <c r="A293" s="16">
        <v>283</v>
      </c>
      <c r="B293" s="16">
        <f t="shared" si="28"/>
        <v>-4.9392817831439526</v>
      </c>
      <c r="C293" s="16">
        <f t="shared" si="29"/>
        <v>0.67485316303159482</v>
      </c>
      <c r="D293" s="16">
        <f t="shared" si="30"/>
        <v>2.9231101943557056</v>
      </c>
      <c r="E293" s="16">
        <f t="shared" si="34"/>
        <v>7.9714850064681331</v>
      </c>
      <c r="F293" s="16" t="e">
        <f t="shared" si="31"/>
        <v>#N/A</v>
      </c>
      <c r="G293" s="16" t="e">
        <f t="shared" si="32"/>
        <v>#N/A</v>
      </c>
      <c r="I293" s="16">
        <f t="shared" si="33"/>
        <v>4.9392817831439526</v>
      </c>
    </row>
    <row r="294" spans="1:9" x14ac:dyDescent="0.2">
      <c r="A294" s="16">
        <v>284</v>
      </c>
      <c r="B294" s="16">
        <f t="shared" si="28"/>
        <v>-4.9567350756638957</v>
      </c>
      <c r="C294" s="16">
        <f t="shared" si="29"/>
        <v>0.72576568679900233</v>
      </c>
      <c r="D294" s="16">
        <f t="shared" si="30"/>
        <v>2.9108871788279895</v>
      </c>
      <c r="E294" s="16">
        <f t="shared" si="34"/>
        <v>7.9670109933315123</v>
      </c>
      <c r="F294" s="16" t="e">
        <f t="shared" si="31"/>
        <v>#N/A</v>
      </c>
      <c r="G294" s="16" t="e">
        <f t="shared" si="32"/>
        <v>#N/A</v>
      </c>
      <c r="I294" s="16">
        <f t="shared" si="33"/>
        <v>4.9567350756638957</v>
      </c>
    </row>
    <row r="295" spans="1:9" x14ac:dyDescent="0.2">
      <c r="A295" s="16">
        <v>285</v>
      </c>
      <c r="B295" s="16">
        <f t="shared" si="28"/>
        <v>-4.9741883681838388</v>
      </c>
      <c r="C295" s="16">
        <f t="shared" si="29"/>
        <v>0.77645713530756089</v>
      </c>
      <c r="D295" s="16">
        <f t="shared" si="30"/>
        <v>2.897777478867205</v>
      </c>
      <c r="E295" s="16">
        <f t="shared" si="34"/>
        <v>7.9622304863040716</v>
      </c>
      <c r="F295" s="16" t="e">
        <f t="shared" si="31"/>
        <v>#N/A</v>
      </c>
      <c r="G295" s="16" t="e">
        <f t="shared" si="32"/>
        <v>#N/A</v>
      </c>
      <c r="I295" s="16">
        <f t="shared" si="33"/>
        <v>4.9741883681838388</v>
      </c>
    </row>
    <row r="296" spans="1:9" x14ac:dyDescent="0.2">
      <c r="A296" s="16">
        <v>286</v>
      </c>
      <c r="B296" s="16">
        <f t="shared" si="28"/>
        <v>-4.9916416607037828</v>
      </c>
      <c r="C296" s="16">
        <f t="shared" si="29"/>
        <v>0.82691206745099821</v>
      </c>
      <c r="D296" s="16">
        <f t="shared" si="30"/>
        <v>2.8837850878149562</v>
      </c>
      <c r="E296" s="16">
        <f t="shared" si="34"/>
        <v>7.9571487627606858</v>
      </c>
      <c r="F296" s="16" t="e">
        <f t="shared" si="31"/>
        <v>#N/A</v>
      </c>
      <c r="G296" s="16" t="e">
        <f t="shared" si="32"/>
        <v>#N/A</v>
      </c>
      <c r="I296" s="16">
        <f t="shared" si="33"/>
        <v>4.9916416607037828</v>
      </c>
    </row>
    <row r="297" spans="1:9" x14ac:dyDescent="0.2">
      <c r="A297" s="16">
        <v>287</v>
      </c>
      <c r="B297" s="16">
        <f t="shared" si="28"/>
        <v>-5.0090949532237259</v>
      </c>
      <c r="C297" s="16">
        <f t="shared" si="29"/>
        <v>0.87711511416821009</v>
      </c>
      <c r="D297" s="16">
        <f t="shared" si="30"/>
        <v>2.8689142678891062</v>
      </c>
      <c r="E297" s="16">
        <f t="shared" si="34"/>
        <v>7.9517714426722357</v>
      </c>
      <c r="F297" s="16" t="e">
        <f t="shared" si="31"/>
        <v>#N/A</v>
      </c>
      <c r="G297" s="16" t="e">
        <f t="shared" si="32"/>
        <v>#N/A</v>
      </c>
      <c r="I297" s="16">
        <f t="shared" si="33"/>
        <v>5.0090949532237259</v>
      </c>
    </row>
    <row r="298" spans="1:9" x14ac:dyDescent="0.2">
      <c r="A298" s="16">
        <v>288</v>
      </c>
      <c r="B298" s="16">
        <f t="shared" si="28"/>
        <v>-5.026548245743669</v>
      </c>
      <c r="C298" s="16">
        <f t="shared" si="29"/>
        <v>0.92705098312484169</v>
      </c>
      <c r="D298" s="16">
        <f t="shared" si="30"/>
        <v>2.8531695488854609</v>
      </c>
      <c r="E298" s="16">
        <f t="shared" si="34"/>
        <v>7.9461044842543611</v>
      </c>
      <c r="F298" s="16" t="e">
        <f t="shared" si="31"/>
        <v>#N/A</v>
      </c>
      <c r="G298" s="16" t="e">
        <f t="shared" si="32"/>
        <v>#N/A</v>
      </c>
      <c r="I298" s="16">
        <f t="shared" si="33"/>
        <v>5.026548245743669</v>
      </c>
    </row>
    <row r="299" spans="1:9" x14ac:dyDescent="0.2">
      <c r="A299" s="16">
        <v>289</v>
      </c>
      <c r="B299" s="16">
        <f t="shared" si="28"/>
        <v>-5.0440015382636121</v>
      </c>
      <c r="C299" s="16">
        <f t="shared" si="29"/>
        <v>0.97670446337146899</v>
      </c>
      <c r="D299" s="16">
        <f t="shared" si="30"/>
        <v>2.8365557267979509</v>
      </c>
      <c r="E299" s="16">
        <f t="shared" si="34"/>
        <v>7.94015417931102</v>
      </c>
      <c r="F299" s="16" t="e">
        <f t="shared" si="31"/>
        <v>#N/A</v>
      </c>
      <c r="G299" s="16" t="e">
        <f t="shared" si="32"/>
        <v>#N/A</v>
      </c>
      <c r="I299" s="16">
        <f t="shared" si="33"/>
        <v>5.0440015382636121</v>
      </c>
    </row>
    <row r="300" spans="1:9" x14ac:dyDescent="0.2">
      <c r="A300" s="16">
        <v>290</v>
      </c>
      <c r="B300" s="16">
        <f t="shared" si="28"/>
        <v>-5.0614548307835561</v>
      </c>
      <c r="C300" s="16">
        <f t="shared" si="29"/>
        <v>1.0260604299770071</v>
      </c>
      <c r="D300" s="16">
        <f t="shared" si="30"/>
        <v>2.8190778623577248</v>
      </c>
      <c r="E300" s="16">
        <f t="shared" si="34"/>
        <v>7.9339271482687188</v>
      </c>
      <c r="F300" s="16" t="e">
        <f t="shared" si="31"/>
        <v>#N/A</v>
      </c>
      <c r="G300" s="16" t="e">
        <f t="shared" si="32"/>
        <v>#N/A</v>
      </c>
      <c r="I300" s="16">
        <f t="shared" si="33"/>
        <v>5.0614548307835561</v>
      </c>
    </row>
    <row r="301" spans="1:9" x14ac:dyDescent="0.2">
      <c r="A301" s="16">
        <v>291</v>
      </c>
      <c r="B301" s="16">
        <f t="shared" si="28"/>
        <v>-5.0789081233034992</v>
      </c>
      <c r="C301" s="16">
        <f t="shared" si="29"/>
        <v>1.075103848635901</v>
      </c>
      <c r="D301" s="16">
        <f t="shared" si="30"/>
        <v>2.8007412794916053</v>
      </c>
      <c r="E301" s="16">
        <f t="shared" si="34"/>
        <v>7.9274303348971964</v>
      </c>
      <c r="F301" s="16" t="e">
        <f t="shared" si="31"/>
        <v>#N/A</v>
      </c>
      <c r="G301" s="16" t="e">
        <f t="shared" si="32"/>
        <v>#N/A</v>
      </c>
      <c r="I301" s="16">
        <f t="shared" si="33"/>
        <v>5.0789081233034992</v>
      </c>
    </row>
    <row r="302" spans="1:9" x14ac:dyDescent="0.2">
      <c r="A302" s="16">
        <v>292</v>
      </c>
      <c r="B302" s="16">
        <f t="shared" si="28"/>
        <v>-5.0963614158234423</v>
      </c>
      <c r="C302" s="16">
        <f t="shared" si="29"/>
        <v>1.1238197802477359</v>
      </c>
      <c r="D302" s="16">
        <f t="shared" si="30"/>
        <v>2.7815515637003623</v>
      </c>
      <c r="E302" s="16">
        <f t="shared" si="34"/>
        <v>7.9206710007122458</v>
      </c>
      <c r="F302" s="16" t="e">
        <f t="shared" si="31"/>
        <v>#N/A</v>
      </c>
      <c r="G302" s="16" t="e">
        <f t="shared" si="32"/>
        <v>#N/A</v>
      </c>
      <c r="I302" s="16">
        <f t="shared" si="33"/>
        <v>5.0963614158234423</v>
      </c>
    </row>
    <row r="303" spans="1:9" x14ac:dyDescent="0.2">
      <c r="A303" s="16">
        <v>293</v>
      </c>
      <c r="B303" s="16">
        <f t="shared" si="28"/>
        <v>-5.1138147083433854</v>
      </c>
      <c r="C303" s="16">
        <f t="shared" si="29"/>
        <v>1.1721933854678204</v>
      </c>
      <c r="D303" s="16">
        <f t="shared" si="30"/>
        <v>2.7615145603573215</v>
      </c>
      <c r="E303" s="16">
        <f t="shared" si="34"/>
        <v>7.9136567190563358</v>
      </c>
      <c r="F303" s="16" t="e">
        <f t="shared" si="31"/>
        <v>#N/A</v>
      </c>
      <c r="G303" s="16" t="e">
        <f t="shared" si="32"/>
        <v>#N/A</v>
      </c>
      <c r="I303" s="16">
        <f t="shared" si="33"/>
        <v>5.1138147083433854</v>
      </c>
    </row>
    <row r="304" spans="1:9" x14ac:dyDescent="0.2">
      <c r="A304" s="16">
        <v>294</v>
      </c>
      <c r="B304" s="16">
        <f t="shared" si="28"/>
        <v>-5.1312680008633285</v>
      </c>
      <c r="C304" s="16">
        <f t="shared" si="29"/>
        <v>1.2202099292273993</v>
      </c>
      <c r="D304" s="16">
        <f t="shared" si="30"/>
        <v>2.7406363729278032</v>
      </c>
      <c r="E304" s="16">
        <f t="shared" si="34"/>
        <v>7.9063953688526647</v>
      </c>
      <c r="F304" s="16" t="e">
        <f t="shared" si="31"/>
        <v>#N/A</v>
      </c>
      <c r="G304" s="16" t="e">
        <f t="shared" si="32"/>
        <v>#N/A</v>
      </c>
      <c r="I304" s="16">
        <f t="shared" si="33"/>
        <v>5.1312680008633285</v>
      </c>
    </row>
    <row r="305" spans="1:9" x14ac:dyDescent="0.2">
      <c r="A305" s="16">
        <v>295</v>
      </c>
      <c r="B305" s="16">
        <f t="shared" si="28"/>
        <v>-5.1487212933832724</v>
      </c>
      <c r="C305" s="16">
        <f t="shared" si="29"/>
        <v>1.2678547852220987</v>
      </c>
      <c r="D305" s="16">
        <f t="shared" si="30"/>
        <v>2.7189233611099497</v>
      </c>
      <c r="E305" s="16">
        <f t="shared" si="34"/>
        <v>7.8988951280283137</v>
      </c>
      <c r="F305" s="16" t="e">
        <f t="shared" si="31"/>
        <v>#N/A</v>
      </c>
      <c r="G305" s="16" t="e">
        <f t="shared" si="32"/>
        <v>#N/A</v>
      </c>
      <c r="I305" s="16">
        <f t="shared" si="33"/>
        <v>5.1487212933832724</v>
      </c>
    </row>
    <row r="306" spans="1:9" x14ac:dyDescent="0.2">
      <c r="A306" s="16">
        <v>296</v>
      </c>
      <c r="B306" s="16">
        <f t="shared" si="28"/>
        <v>-5.1661745859032155</v>
      </c>
      <c r="C306" s="16">
        <f t="shared" si="29"/>
        <v>1.3151134403672322</v>
      </c>
      <c r="D306" s="16">
        <f t="shared" si="30"/>
        <v>2.6963821388975013</v>
      </c>
      <c r="E306" s="16">
        <f t="shared" si="34"/>
        <v>7.891164466602218</v>
      </c>
      <c r="F306" s="16" t="e">
        <f t="shared" si="31"/>
        <v>#N/A</v>
      </c>
      <c r="G306" s="16" t="e">
        <f t="shared" si="32"/>
        <v>#N/A</v>
      </c>
      <c r="I306" s="16">
        <f t="shared" si="33"/>
        <v>5.1661745859032155</v>
      </c>
    </row>
    <row r="307" spans="1:9" x14ac:dyDescent="0.2">
      <c r="A307" s="16">
        <v>297</v>
      </c>
      <c r="B307" s="16">
        <f t="shared" si="28"/>
        <v>-5.1836278784231586</v>
      </c>
      <c r="C307" s="16">
        <f t="shared" si="29"/>
        <v>1.3619714992186398</v>
      </c>
      <c r="D307" s="16">
        <f t="shared" si="30"/>
        <v>2.6730195725651038</v>
      </c>
      <c r="E307" s="16">
        <f t="shared" si="34"/>
        <v>7.8832121394337813</v>
      </c>
      <c r="F307" s="16" t="e">
        <f t="shared" si="31"/>
        <v>#N/A</v>
      </c>
      <c r="G307" s="16" t="e">
        <f t="shared" si="32"/>
        <v>#N/A</v>
      </c>
      <c r="I307" s="16">
        <f t="shared" si="33"/>
        <v>5.1836278784231586</v>
      </c>
    </row>
    <row r="308" spans="1:9" x14ac:dyDescent="0.2">
      <c r="A308" s="16">
        <v>298</v>
      </c>
      <c r="B308" s="16">
        <f t="shared" si="28"/>
        <v>-5.2010811709431017</v>
      </c>
      <c r="C308" s="16">
        <f t="shared" si="29"/>
        <v>1.4084146883576714</v>
      </c>
      <c r="D308" s="16">
        <f t="shared" si="30"/>
        <v>2.6488427785767814</v>
      </c>
      <c r="E308" s="16">
        <f t="shared" si="34"/>
        <v>7.8750471786280976</v>
      </c>
      <c r="F308" s="16" t="e">
        <f t="shared" si="31"/>
        <v>#N/A</v>
      </c>
      <c r="G308" s="16" t="e">
        <f t="shared" si="32"/>
        <v>#N/A</v>
      </c>
      <c r="I308" s="16">
        <f t="shared" si="33"/>
        <v>5.2010811709431017</v>
      </c>
    </row>
    <row r="309" spans="1:9" x14ac:dyDescent="0.2">
      <c r="A309" s="16">
        <v>299</v>
      </c>
      <c r="B309" s="16">
        <f t="shared" si="28"/>
        <v>-5.2185344634630457</v>
      </c>
      <c r="C309" s="16">
        <f t="shared" si="29"/>
        <v>1.4544288607390119</v>
      </c>
      <c r="D309" s="16">
        <f t="shared" si="30"/>
        <v>2.623859121418187</v>
      </c>
      <c r="E309" s="16">
        <f t="shared" si="34"/>
        <v>7.8666788855939345</v>
      </c>
      <c r="F309" s="16" t="e">
        <f t="shared" si="31"/>
        <v>#N/A</v>
      </c>
      <c r="G309" s="16" t="e">
        <f t="shared" si="32"/>
        <v>#N/A</v>
      </c>
      <c r="I309" s="16">
        <f t="shared" si="33"/>
        <v>5.2185344634630457</v>
      </c>
    </row>
    <row r="310" spans="1:9" x14ac:dyDescent="0.2">
      <c r="A310" s="16">
        <v>300</v>
      </c>
      <c r="B310" s="16">
        <f t="shared" si="28"/>
        <v>-5.2359877559829888</v>
      </c>
      <c r="C310" s="16">
        <f t="shared" si="29"/>
        <v>1.5000000000000004</v>
      </c>
      <c r="D310" s="16">
        <f t="shared" si="30"/>
        <v>2.598076211353316</v>
      </c>
      <c r="E310" s="16">
        <f t="shared" si="34"/>
        <v>7.8581168227508558</v>
      </c>
      <c r="F310" s="16" t="e">
        <f t="shared" si="31"/>
        <v>#N/A</v>
      </c>
      <c r="G310" s="16" t="e">
        <f t="shared" si="32"/>
        <v>#N/A</v>
      </c>
      <c r="I310" s="16">
        <f t="shared" si="33"/>
        <v>5.2359877559829888</v>
      </c>
    </row>
    <row r="311" spans="1:9" x14ac:dyDescent="0.2">
      <c r="A311" s="16">
        <v>301</v>
      </c>
      <c r="B311" s="16">
        <f t="shared" si="28"/>
        <v>-5.2534410485029319</v>
      </c>
      <c r="C311" s="16">
        <f t="shared" si="29"/>
        <v>1.5451142247301624</v>
      </c>
      <c r="D311" s="16">
        <f t="shared" si="30"/>
        <v>2.5715019021063368</v>
      </c>
      <c r="E311" s="16">
        <f t="shared" si="34"/>
        <v>7.8493708048821667</v>
      </c>
      <c r="F311" s="16" t="e">
        <f t="shared" si="31"/>
        <v>#N/A</v>
      </c>
      <c r="G311" s="16" t="e">
        <f t="shared" si="32"/>
        <v>#N/A</v>
      </c>
      <c r="I311" s="16">
        <f t="shared" si="33"/>
        <v>5.2534410485029319</v>
      </c>
    </row>
    <row r="312" spans="1:9" x14ac:dyDescent="0.2">
      <c r="A312" s="16">
        <v>302</v>
      </c>
      <c r="B312" s="16">
        <f t="shared" si="28"/>
        <v>-5.270894341022875</v>
      </c>
      <c r="C312" s="16">
        <f t="shared" si="29"/>
        <v>1.589757792699614</v>
      </c>
      <c r="D312" s="16">
        <f t="shared" si="30"/>
        <v>2.5441442884692784</v>
      </c>
      <c r="E312" s="16">
        <f t="shared" si="34"/>
        <v>7.840450890130672</v>
      </c>
      <c r="F312" s="16" t="e">
        <f t="shared" si="31"/>
        <v>#N/A</v>
      </c>
      <c r="G312" s="16" t="e">
        <f t="shared" si="32"/>
        <v>#N/A</v>
      </c>
      <c r="I312" s="16">
        <f t="shared" si="33"/>
        <v>5.270894341022875</v>
      </c>
    </row>
    <row r="313" spans="1:9" x14ac:dyDescent="0.2">
      <c r="A313" s="16">
        <v>303</v>
      </c>
      <c r="B313" s="16">
        <f t="shared" si="28"/>
        <v>-5.2883476335428181</v>
      </c>
      <c r="C313" s="16">
        <f t="shared" si="29"/>
        <v>1.63391710504508</v>
      </c>
      <c r="D313" s="16">
        <f t="shared" si="30"/>
        <v>2.5160117038362726</v>
      </c>
      <c r="E313" s="16">
        <f t="shared" si="34"/>
        <v>7.831367370634652</v>
      </c>
      <c r="F313" s="16" t="e">
        <f t="shared" si="31"/>
        <v>#N/A</v>
      </c>
      <c r="G313" s="16" t="e">
        <f t="shared" si="32"/>
        <v>#N/A</v>
      </c>
      <c r="I313" s="16">
        <f t="shared" si="33"/>
        <v>5.2883476335428181</v>
      </c>
    </row>
    <row r="314" spans="1:9" x14ac:dyDescent="0.2">
      <c r="A314" s="16">
        <v>304</v>
      </c>
      <c r="B314" s="16">
        <f t="shared" si="28"/>
        <v>-5.3058009260627621</v>
      </c>
      <c r="C314" s="16">
        <f t="shared" si="29"/>
        <v>1.677578710412241</v>
      </c>
      <c r="D314" s="16">
        <f t="shared" si="30"/>
        <v>2.4871127176651249</v>
      </c>
      <c r="E314" s="16">
        <f t="shared" si="34"/>
        <v>7.8221307628018852</v>
      </c>
      <c r="F314" s="16" t="e">
        <f t="shared" si="31"/>
        <v>#N/A</v>
      </c>
      <c r="G314" s="16" t="e">
        <f t="shared" si="32"/>
        <v>#N/A</v>
      </c>
      <c r="I314" s="16">
        <f t="shared" si="33"/>
        <v>5.3058009260627621</v>
      </c>
    </row>
    <row r="315" spans="1:9" x14ac:dyDescent="0.2">
      <c r="A315" s="16">
        <v>305</v>
      </c>
      <c r="B315" s="16">
        <f t="shared" si="28"/>
        <v>-5.3232542185827052</v>
      </c>
      <c r="C315" s="16">
        <f t="shared" si="29"/>
        <v>1.7207293090531381</v>
      </c>
      <c r="D315" s="16">
        <f t="shared" si="30"/>
        <v>2.4574561328669753</v>
      </c>
      <c r="E315" s="16">
        <f t="shared" si="34"/>
        <v>7.8127517972200744</v>
      </c>
      <c r="F315" s="16" t="e">
        <f t="shared" si="31"/>
        <v>#N/A</v>
      </c>
      <c r="G315" s="16" t="e">
        <f t="shared" si="32"/>
        <v>#N/A</v>
      </c>
      <c r="I315" s="16">
        <f t="shared" si="33"/>
        <v>5.3232542185827052</v>
      </c>
    </row>
    <row r="316" spans="1:9" x14ac:dyDescent="0.2">
      <c r="A316" s="16">
        <v>306</v>
      </c>
      <c r="B316" s="16">
        <f t="shared" si="28"/>
        <v>-5.3407075111026483</v>
      </c>
      <c r="C316" s="16">
        <f t="shared" si="29"/>
        <v>1.7633557568774187</v>
      </c>
      <c r="D316" s="16">
        <f t="shared" si="30"/>
        <v>2.4270509831248428</v>
      </c>
      <c r="E316" s="16">
        <f t="shared" si="34"/>
        <v>7.8032414082025721</v>
      </c>
      <c r="F316" s="16" t="e">
        <f t="shared" si="31"/>
        <v>#N/A</v>
      </c>
      <c r="G316" s="16" t="e">
        <f t="shared" si="32"/>
        <v>#N/A</v>
      </c>
      <c r="I316" s="16">
        <f t="shared" si="33"/>
        <v>5.3407075111026483</v>
      </c>
    </row>
    <row r="317" spans="1:9" x14ac:dyDescent="0.2">
      <c r="A317" s="16">
        <v>307</v>
      </c>
      <c r="B317" s="16">
        <f t="shared" si="28"/>
        <v>-5.3581608036225914</v>
      </c>
      <c r="C317" s="16">
        <f t="shared" si="29"/>
        <v>1.8054450694561437</v>
      </c>
      <c r="D317" s="16">
        <f t="shared" si="30"/>
        <v>2.3959065301418789</v>
      </c>
      <c r="E317" s="16">
        <f t="shared" si="34"/>
        <v>7.7936107229689435</v>
      </c>
      <c r="F317" s="16" t="e">
        <f t="shared" si="31"/>
        <v>#N/A</v>
      </c>
      <c r="G317" s="16" t="e">
        <f t="shared" si="32"/>
        <v>#N/A</v>
      </c>
      <c r="I317" s="16">
        <f t="shared" si="33"/>
        <v>5.3581608036225914</v>
      </c>
    </row>
    <row r="318" spans="1:9" x14ac:dyDescent="0.2">
      <c r="A318" s="16">
        <v>308</v>
      </c>
      <c r="B318" s="16">
        <f t="shared" si="28"/>
        <v>-5.3756140961425354</v>
      </c>
      <c r="C318" s="16">
        <f t="shared" si="29"/>
        <v>1.8469844259769754</v>
      </c>
      <c r="D318" s="16">
        <f t="shared" si="30"/>
        <v>2.3640322608201654</v>
      </c>
      <c r="E318" s="16">
        <f t="shared" si="34"/>
        <v>7.7838710504605935</v>
      </c>
      <c r="F318" s="16" t="e">
        <f t="shared" si="31"/>
        <v>#N/A</v>
      </c>
      <c r="G318" s="16" t="e">
        <f t="shared" si="32"/>
        <v>#N/A</v>
      </c>
      <c r="I318" s="16">
        <f t="shared" si="33"/>
        <v>5.3756140961425354</v>
      </c>
    </row>
    <row r="319" spans="1:9" x14ac:dyDescent="0.2">
      <c r="A319" s="16">
        <v>309</v>
      </c>
      <c r="B319" s="16">
        <f t="shared" si="28"/>
        <v>-5.3930673886624785</v>
      </c>
      <c r="C319" s="16">
        <f t="shared" si="29"/>
        <v>1.8879611731495125</v>
      </c>
      <c r="D319" s="16">
        <f t="shared" si="30"/>
        <v>2.3314378843709123</v>
      </c>
      <c r="E319" s="16">
        <f t="shared" si="34"/>
        <v>7.7740338697924338</v>
      </c>
      <c r="F319" s="16" t="e">
        <f t="shared" si="31"/>
        <v>#N/A</v>
      </c>
      <c r="G319" s="16" t="e">
        <f t="shared" si="32"/>
        <v>#N/A</v>
      </c>
      <c r="I319" s="16">
        <f t="shared" si="33"/>
        <v>5.3930673886624785</v>
      </c>
    </row>
    <row r="320" spans="1:9" x14ac:dyDescent="0.2">
      <c r="A320" s="16">
        <v>310</v>
      </c>
      <c r="B320" s="16">
        <f t="shared" si="28"/>
        <v>-5.4105206811824216</v>
      </c>
      <c r="C320" s="16">
        <f t="shared" si="29"/>
        <v>1.9283628290596178</v>
      </c>
      <c r="D320" s="16">
        <f t="shared" si="30"/>
        <v>2.2981333293569346</v>
      </c>
      <c r="E320" s="16">
        <f t="shared" si="34"/>
        <v>7.7641108183423801</v>
      </c>
      <c r="F320" s="16" t="e">
        <f t="shared" si="31"/>
        <v>#N/A</v>
      </c>
      <c r="G320" s="16" t="e">
        <f t="shared" si="32"/>
        <v>#N/A</v>
      </c>
      <c r="I320" s="16">
        <f t="shared" si="33"/>
        <v>5.4105206811824216</v>
      </c>
    </row>
    <row r="321" spans="1:9" x14ac:dyDescent="0.2">
      <c r="A321" s="16">
        <v>311</v>
      </c>
      <c r="B321" s="16">
        <f t="shared" si="28"/>
        <v>-5.4279739737023647</v>
      </c>
      <c r="C321" s="16">
        <f t="shared" si="29"/>
        <v>1.9681770869715212</v>
      </c>
      <c r="D321" s="16">
        <f t="shared" si="30"/>
        <v>2.2641287406683168</v>
      </c>
      <c r="E321" s="16">
        <f t="shared" si="34"/>
        <v>7.7541136794813825</v>
      </c>
      <c r="F321" s="16" t="e">
        <f t="shared" si="31"/>
        <v>#N/A</v>
      </c>
      <c r="G321" s="16" t="e">
        <f t="shared" si="32"/>
        <v>#N/A</v>
      </c>
      <c r="I321" s="16">
        <f t="shared" si="33"/>
        <v>5.4279739737023647</v>
      </c>
    </row>
    <row r="322" spans="1:9" x14ac:dyDescent="0.2">
      <c r="A322" s="16">
        <v>312</v>
      </c>
      <c r="B322" s="16">
        <f t="shared" si="28"/>
        <v>-5.4454272662223078</v>
      </c>
      <c r="C322" s="16">
        <f t="shared" si="29"/>
        <v>2.0073918190765734</v>
      </c>
      <c r="D322" s="16">
        <f t="shared" si="30"/>
        <v>2.2294344764321838</v>
      </c>
      <c r="E322" s="16">
        <f t="shared" si="34"/>
        <v>7.7440543699475954</v>
      </c>
      <c r="F322" s="16" t="e">
        <f t="shared" si="31"/>
        <v>#N/A</v>
      </c>
      <c r="G322" s="16" t="e">
        <f t="shared" si="32"/>
        <v>#N/A</v>
      </c>
      <c r="I322" s="16">
        <f t="shared" si="33"/>
        <v>5.4454272662223078</v>
      </c>
    </row>
    <row r="323" spans="1:9" x14ac:dyDescent="0.2">
      <c r="A323" s="16">
        <v>313</v>
      </c>
      <c r="B323" s="16">
        <f t="shared" si="28"/>
        <v>-5.4628805587422518</v>
      </c>
      <c r="C323" s="16">
        <f t="shared" si="29"/>
        <v>2.0459950801874958</v>
      </c>
      <c r="D323" s="16">
        <f t="shared" si="30"/>
        <v>2.1940611048575112</v>
      </c>
      <c r="E323" s="16">
        <f t="shared" si="34"/>
        <v>7.7339449268693761</v>
      </c>
      <c r="F323" s="16" t="e">
        <f t="shared" si="31"/>
        <v>#N/A</v>
      </c>
      <c r="G323" s="16" t="e">
        <f t="shared" si="32"/>
        <v>#N/A</v>
      </c>
      <c r="I323" s="16">
        <f t="shared" si="33"/>
        <v>5.4628805587422518</v>
      </c>
    </row>
    <row r="324" spans="1:9" x14ac:dyDescent="0.2">
      <c r="A324" s="16">
        <v>314</v>
      </c>
      <c r="B324" s="16">
        <f t="shared" si="28"/>
        <v>-5.4803338512621949</v>
      </c>
      <c r="C324" s="16">
        <f t="shared" si="29"/>
        <v>2.0839751113769918</v>
      </c>
      <c r="D324" s="16">
        <f t="shared" si="30"/>
        <v>2.1580194010159537</v>
      </c>
      <c r="E324" s="16">
        <f t="shared" si="34"/>
        <v>7.7237974944428247</v>
      </c>
      <c r="F324" s="16" t="e">
        <f t="shared" si="31"/>
        <v>#N/A</v>
      </c>
      <c r="G324" s="16" t="e">
        <f t="shared" si="32"/>
        <v>#N/A</v>
      </c>
      <c r="I324" s="16">
        <f t="shared" si="33"/>
        <v>5.4803338512621949</v>
      </c>
    </row>
    <row r="325" spans="1:9" x14ac:dyDescent="0.2">
      <c r="A325" s="16">
        <v>315</v>
      </c>
      <c r="B325" s="16">
        <f t="shared" si="28"/>
        <v>-5.497787143782138</v>
      </c>
      <c r="C325" s="16">
        <f t="shared" si="29"/>
        <v>2.1213203435596419</v>
      </c>
      <c r="D325" s="16">
        <f t="shared" si="30"/>
        <v>2.1213203435596428</v>
      </c>
      <c r="E325" s="16">
        <f t="shared" si="34"/>
        <v>7.713624310270756</v>
      </c>
      <c r="F325" s="16" t="e">
        <f t="shared" si="31"/>
        <v>#N/A</v>
      </c>
      <c r="G325" s="16" t="e">
        <f t="shared" si="32"/>
        <v>#N/A</v>
      </c>
      <c r="I325" s="16">
        <f t="shared" si="33"/>
        <v>5.497787143782138</v>
      </c>
    </row>
    <row r="326" spans="1:9" x14ac:dyDescent="0.2">
      <c r="A326" s="16">
        <v>316</v>
      </c>
      <c r="B326" s="16">
        <f t="shared" si="28"/>
        <v>-5.5152404363020811</v>
      </c>
      <c r="C326" s="16">
        <f t="shared" si="29"/>
        <v>2.1580194010159524</v>
      </c>
      <c r="D326" s="16">
        <f t="shared" si="30"/>
        <v>2.0839751113769927</v>
      </c>
      <c r="E326" s="16">
        <f t="shared" si="34"/>
        <v>7.7034376913712199</v>
      </c>
      <c r="F326" s="16" t="e">
        <f t="shared" si="31"/>
        <v>#N/A</v>
      </c>
      <c r="G326" s="16" t="e">
        <f t="shared" si="32"/>
        <v>#N/A</v>
      </c>
      <c r="I326" s="16">
        <f t="shared" si="33"/>
        <v>5.5152404363020811</v>
      </c>
    </row>
    <row r="327" spans="1:9" x14ac:dyDescent="0.2">
      <c r="A327" s="16">
        <v>317</v>
      </c>
      <c r="B327" s="16">
        <f t="shared" si="28"/>
        <v>-5.532693728822025</v>
      </c>
      <c r="C327" s="16">
        <f t="shared" si="29"/>
        <v>2.194061104857512</v>
      </c>
      <c r="D327" s="16">
        <f t="shared" si="30"/>
        <v>2.0459950801874949</v>
      </c>
      <c r="E327" s="16">
        <f t="shared" si="34"/>
        <v>7.6932500198649096</v>
      </c>
      <c r="F327" s="16" t="e">
        <f t="shared" si="31"/>
        <v>#N/A</v>
      </c>
      <c r="G327" s="16" t="e">
        <f t="shared" si="32"/>
        <v>#N/A</v>
      </c>
      <c r="I327" s="16">
        <f t="shared" si="33"/>
        <v>5.532693728822025</v>
      </c>
    </row>
    <row r="328" spans="1:9" x14ac:dyDescent="0.2">
      <c r="A328" s="16">
        <v>318</v>
      </c>
      <c r="B328" s="16">
        <f t="shared" si="28"/>
        <v>-5.5501470213419681</v>
      </c>
      <c r="C328" s="16">
        <f t="shared" si="29"/>
        <v>2.229434476432183</v>
      </c>
      <c r="D328" s="16">
        <f t="shared" si="30"/>
        <v>2.0073918190765743</v>
      </c>
      <c r="E328" s="16">
        <f t="shared" si="34"/>
        <v>7.6830737283521859</v>
      </c>
      <c r="F328" s="16" t="e">
        <f t="shared" si="31"/>
        <v>#N/A</v>
      </c>
      <c r="G328" s="16" t="e">
        <f t="shared" si="32"/>
        <v>#N/A</v>
      </c>
      <c r="I328" s="16">
        <f t="shared" si="33"/>
        <v>5.5501470213419681</v>
      </c>
    </row>
    <row r="329" spans="1:9" x14ac:dyDescent="0.2">
      <c r="A329" s="16">
        <v>319</v>
      </c>
      <c r="B329" s="16">
        <f t="shared" si="28"/>
        <v>-5.5676003138619112</v>
      </c>
      <c r="C329" s="16">
        <f t="shared" si="29"/>
        <v>2.2641287406683155</v>
      </c>
      <c r="D329" s="16">
        <f t="shared" si="30"/>
        <v>1.9681770869715223</v>
      </c>
      <c r="E329" s="16">
        <f t="shared" si="34"/>
        <v>7.6729212849917667</v>
      </c>
      <c r="F329" s="16" t="e">
        <f t="shared" si="31"/>
        <v>#N/A</v>
      </c>
      <c r="G329" s="16" t="e">
        <f t="shared" si="32"/>
        <v>#N/A</v>
      </c>
      <c r="I329" s="16">
        <f t="shared" si="33"/>
        <v>5.5676003138619112</v>
      </c>
    </row>
    <row r="330" spans="1:9" x14ac:dyDescent="0.2">
      <c r="A330" s="16">
        <v>320</v>
      </c>
      <c r="B330" s="16">
        <f t="shared" si="28"/>
        <v>-5.5850536063818543</v>
      </c>
      <c r="C330" s="16">
        <f t="shared" si="29"/>
        <v>2.2981333293569333</v>
      </c>
      <c r="D330" s="16">
        <f t="shared" si="30"/>
        <v>1.9283628290596186</v>
      </c>
      <c r="E330" s="16">
        <f t="shared" si="34"/>
        <v>7.6628051782946187</v>
      </c>
      <c r="F330" s="16" t="e">
        <f t="shared" si="31"/>
        <v>#N/A</v>
      </c>
      <c r="G330" s="16" t="e">
        <f t="shared" si="32"/>
        <v>#N/A</v>
      </c>
      <c r="I330" s="16">
        <f t="shared" si="33"/>
        <v>5.5850536063818543</v>
      </c>
    </row>
    <row r="331" spans="1:9" x14ac:dyDescent="0.2">
      <c r="A331" s="16">
        <v>321</v>
      </c>
      <c r="B331" s="16">
        <f t="shared" ref="B331:B370" si="35">-RADIANS(A331)</f>
        <v>-5.6025068989017974</v>
      </c>
      <c r="C331" s="16">
        <f t="shared" ref="C331:C370" si="36">(C$6)*COS(B331)</f>
        <v>2.3314378843709118</v>
      </c>
      <c r="D331" s="16">
        <f t="shared" ref="D331:D370" si="37">(C$6)*SIN(B331)</f>
        <v>1.8879611731495136</v>
      </c>
      <c r="E331" s="16">
        <f t="shared" si="34"/>
        <v>7.6527379016480168</v>
      </c>
      <c r="F331" s="16" t="e">
        <f t="shared" ref="F331:F370" si="38">IF(A331&lt;=$E$1,C331,NA())</f>
        <v>#N/A</v>
      </c>
      <c r="G331" s="16" t="e">
        <f t="shared" ref="G331:G370" si="39">IF(A331&lt;=$E$1,E331,NA())</f>
        <v>#N/A</v>
      </c>
      <c r="I331" s="16">
        <f t="shared" ref="I331:I370" si="40">RADIANS(A331)</f>
        <v>5.6025068989017974</v>
      </c>
    </row>
    <row r="332" spans="1:9" x14ac:dyDescent="0.2">
      <c r="A332" s="16">
        <v>322</v>
      </c>
      <c r="B332" s="16">
        <f t="shared" si="35"/>
        <v>-5.6199601914217414</v>
      </c>
      <c r="C332" s="16">
        <f t="shared" si="36"/>
        <v>2.3640322608201663</v>
      </c>
      <c r="D332" s="16">
        <f t="shared" si="37"/>
        <v>1.8469844259769745</v>
      </c>
      <c r="E332" s="16">
        <f t="shared" ref="E332:E370" si="41">D$10+(2*C$6+C$4)*COS(ASIN(C332/(2*C$6+C$4)))</f>
        <v>7.6427319375862908</v>
      </c>
      <c r="F332" s="16" t="e">
        <f t="shared" si="38"/>
        <v>#N/A</v>
      </c>
      <c r="G332" s="16" t="e">
        <f t="shared" si="39"/>
        <v>#N/A</v>
      </c>
      <c r="I332" s="16">
        <f t="shared" si="40"/>
        <v>5.6199601914217414</v>
      </c>
    </row>
    <row r="333" spans="1:9" x14ac:dyDescent="0.2">
      <c r="A333" s="16">
        <v>323</v>
      </c>
      <c r="B333" s="16">
        <f t="shared" si="35"/>
        <v>-5.6374134839416845</v>
      </c>
      <c r="C333" s="16">
        <f t="shared" si="36"/>
        <v>2.3959065301418785</v>
      </c>
      <c r="D333" s="16">
        <f t="shared" si="37"/>
        <v>1.8054450694561448</v>
      </c>
      <c r="E333" s="16">
        <f t="shared" si="41"/>
        <v>7.6327997418262914</v>
      </c>
      <c r="F333" s="16" t="e">
        <f t="shared" si="38"/>
        <v>#N/A</v>
      </c>
      <c r="G333" s="16" t="e">
        <f t="shared" si="39"/>
        <v>#N/A</v>
      </c>
      <c r="I333" s="16">
        <f t="shared" si="40"/>
        <v>5.6374134839416845</v>
      </c>
    </row>
    <row r="334" spans="1:9" x14ac:dyDescent="0.2">
      <c r="A334" s="16">
        <v>324</v>
      </c>
      <c r="B334" s="16">
        <f t="shared" si="35"/>
        <v>-5.6548667764616276</v>
      </c>
      <c r="C334" s="16">
        <f t="shared" si="36"/>
        <v>2.4270509831248419</v>
      </c>
      <c r="D334" s="16">
        <f t="shared" si="37"/>
        <v>1.7633557568774201</v>
      </c>
      <c r="E334" s="16">
        <f t="shared" si="41"/>
        <v>7.6229537270872072</v>
      </c>
      <c r="F334" s="16" t="e">
        <f t="shared" si="38"/>
        <v>#N/A</v>
      </c>
      <c r="G334" s="16" t="e">
        <f t="shared" si="39"/>
        <v>#N/A</v>
      </c>
      <c r="I334" s="16">
        <f t="shared" si="40"/>
        <v>5.6548667764616276</v>
      </c>
    </row>
    <row r="335" spans="1:9" x14ac:dyDescent="0.2">
      <c r="A335" s="16">
        <v>325</v>
      </c>
      <c r="B335" s="16">
        <f t="shared" si="35"/>
        <v>-5.6723200689815707</v>
      </c>
      <c r="C335" s="16">
        <f t="shared" si="36"/>
        <v>2.4574561328669748</v>
      </c>
      <c r="D335" s="16">
        <f t="shared" si="37"/>
        <v>1.7207293090531395</v>
      </c>
      <c r="E335" s="16">
        <f t="shared" si="41"/>
        <v>7.613206246715932</v>
      </c>
      <c r="F335" s="16" t="e">
        <f t="shared" si="38"/>
        <v>#N/A</v>
      </c>
      <c r="G335" s="16" t="e">
        <f t="shared" si="39"/>
        <v>#N/A</v>
      </c>
      <c r="I335" s="16">
        <f t="shared" si="40"/>
        <v>5.6723200689815707</v>
      </c>
    </row>
    <row r="336" spans="1:9" x14ac:dyDescent="0.2">
      <c r="A336" s="16">
        <v>326</v>
      </c>
      <c r="B336" s="16">
        <f t="shared" si="35"/>
        <v>-5.6897733615015147</v>
      </c>
      <c r="C336" s="16">
        <f t="shared" si="36"/>
        <v>2.4871127176651253</v>
      </c>
      <c r="D336" s="16">
        <f t="shared" si="37"/>
        <v>1.6775787104122397</v>
      </c>
      <c r="E336" s="16">
        <f t="shared" si="41"/>
        <v>7.6035695781408084</v>
      </c>
      <c r="F336" s="16" t="e">
        <f t="shared" si="38"/>
        <v>#N/A</v>
      </c>
      <c r="G336" s="16" t="e">
        <f t="shared" si="39"/>
        <v>#N/A</v>
      </c>
      <c r="I336" s="16">
        <f t="shared" si="40"/>
        <v>5.6897733615015147</v>
      </c>
    </row>
    <row r="337" spans="1:9" x14ac:dyDescent="0.2">
      <c r="A337" s="16">
        <v>327</v>
      </c>
      <c r="B337" s="16">
        <f t="shared" si="35"/>
        <v>-5.7072266540214578</v>
      </c>
      <c r="C337" s="16">
        <f t="shared" si="36"/>
        <v>2.5160117038362722</v>
      </c>
      <c r="D337" s="16">
        <f t="shared" si="37"/>
        <v>1.6339171050450809</v>
      </c>
      <c r="E337" s="16">
        <f t="shared" si="41"/>
        <v>7.5940559061781272</v>
      </c>
      <c r="F337" s="16" t="e">
        <f t="shared" si="38"/>
        <v>#N/A</v>
      </c>
      <c r="G337" s="16" t="e">
        <f t="shared" si="39"/>
        <v>#N/A</v>
      </c>
      <c r="I337" s="16">
        <f t="shared" si="40"/>
        <v>5.7072266540214578</v>
      </c>
    </row>
    <row r="338" spans="1:9" x14ac:dyDescent="0.2">
      <c r="A338" s="16">
        <v>328</v>
      </c>
      <c r="B338" s="16">
        <f t="shared" si="35"/>
        <v>-5.7246799465414009</v>
      </c>
      <c r="C338" s="16">
        <f t="shared" si="36"/>
        <v>2.544144288469278</v>
      </c>
      <c r="D338" s="16">
        <f t="shared" si="37"/>
        <v>1.5897577926996149</v>
      </c>
      <c r="E338" s="16">
        <f t="shared" si="41"/>
        <v>7.5846773062173947</v>
      </c>
      <c r="F338" s="16" t="e">
        <f t="shared" si="38"/>
        <v>#N/A</v>
      </c>
      <c r="G338" s="16" t="e">
        <f t="shared" si="39"/>
        <v>#N/A</v>
      </c>
      <c r="I338" s="16">
        <f t="shared" si="40"/>
        <v>5.7246799465414009</v>
      </c>
    </row>
    <row r="339" spans="1:9" x14ac:dyDescent="0.2">
      <c r="A339" s="16">
        <v>329</v>
      </c>
      <c r="B339" s="16">
        <f t="shared" si="35"/>
        <v>-5.742133239061344</v>
      </c>
      <c r="C339" s="16">
        <f t="shared" si="36"/>
        <v>2.5715019021063363</v>
      </c>
      <c r="D339" s="16">
        <f t="shared" si="37"/>
        <v>1.5451142247301635</v>
      </c>
      <c r="E339" s="16">
        <f t="shared" si="41"/>
        <v>7.575445727312915</v>
      </c>
      <c r="F339" s="16" t="e">
        <f t="shared" si="38"/>
        <v>#N/A</v>
      </c>
      <c r="G339" s="16" t="e">
        <f t="shared" si="39"/>
        <v>#N/A</v>
      </c>
      <c r="I339" s="16">
        <f t="shared" si="40"/>
        <v>5.742133239061344</v>
      </c>
    </row>
    <row r="340" spans="1:9" x14ac:dyDescent="0.2">
      <c r="A340" s="16">
        <v>330</v>
      </c>
      <c r="B340" s="16">
        <f t="shared" si="35"/>
        <v>-5.7595865315812871</v>
      </c>
      <c r="C340" s="16">
        <f t="shared" si="36"/>
        <v>2.5980762113533151</v>
      </c>
      <c r="D340" s="16">
        <f t="shared" si="37"/>
        <v>1.5000000000000013</v>
      </c>
      <c r="E340" s="16">
        <f t="shared" si="41"/>
        <v>7.5663729752107782</v>
      </c>
      <c r="F340" s="16" t="e">
        <f t="shared" si="38"/>
        <v>#N/A</v>
      </c>
      <c r="G340" s="16" t="e">
        <f t="shared" si="39"/>
        <v>#N/A</v>
      </c>
      <c r="I340" s="16">
        <f t="shared" si="40"/>
        <v>5.7595865315812871</v>
      </c>
    </row>
    <row r="341" spans="1:9" x14ac:dyDescent="0.2">
      <c r="A341" s="16">
        <v>331</v>
      </c>
      <c r="B341" s="16">
        <f t="shared" si="35"/>
        <v>-5.7770398241012311</v>
      </c>
      <c r="C341" s="16">
        <f t="shared" si="36"/>
        <v>2.6238591214181874</v>
      </c>
      <c r="D341" s="16">
        <f t="shared" si="37"/>
        <v>1.4544288607390108</v>
      </c>
      <c r="E341" s="16">
        <f t="shared" si="41"/>
        <v>7.5574706953418334</v>
      </c>
      <c r="F341" s="16" t="e">
        <f t="shared" si="38"/>
        <v>#N/A</v>
      </c>
      <c r="G341" s="16" t="e">
        <f t="shared" si="39"/>
        <v>#N/A</v>
      </c>
      <c r="I341" s="16">
        <f t="shared" si="40"/>
        <v>5.7770398241012311</v>
      </c>
    </row>
    <row r="342" spans="1:9" x14ac:dyDescent="0.2">
      <c r="A342" s="16">
        <v>332</v>
      </c>
      <c r="B342" s="16">
        <f t="shared" si="35"/>
        <v>-5.7944931166211742</v>
      </c>
      <c r="C342" s="16">
        <f t="shared" si="36"/>
        <v>2.6488427785767805</v>
      </c>
      <c r="D342" s="16">
        <f t="shared" si="37"/>
        <v>1.4084146883576725</v>
      </c>
      <c r="E342" s="16">
        <f t="shared" si="41"/>
        <v>7.5487503558126523</v>
      </c>
      <c r="F342" s="16" t="e">
        <f t="shared" si="38"/>
        <v>#N/A</v>
      </c>
      <c r="G342" s="16" t="e">
        <f t="shared" si="39"/>
        <v>#N/A</v>
      </c>
      <c r="I342" s="16">
        <f t="shared" si="40"/>
        <v>5.7944931166211742</v>
      </c>
    </row>
    <row r="343" spans="1:9" x14ac:dyDescent="0.2">
      <c r="A343" s="16">
        <v>333</v>
      </c>
      <c r="B343" s="16">
        <f t="shared" si="35"/>
        <v>-5.8119464091411173</v>
      </c>
      <c r="C343" s="16">
        <f t="shared" si="36"/>
        <v>2.6730195725651034</v>
      </c>
      <c r="D343" s="16">
        <f t="shared" si="37"/>
        <v>1.3619714992186409</v>
      </c>
      <c r="E343" s="16">
        <f t="shared" si="41"/>
        <v>7.5402232304278547</v>
      </c>
      <c r="F343" s="16" t="e">
        <f t="shared" si="38"/>
        <v>#N/A</v>
      </c>
      <c r="G343" s="16" t="e">
        <f t="shared" si="39"/>
        <v>#N/A</v>
      </c>
      <c r="I343" s="16">
        <f t="shared" si="40"/>
        <v>5.8119464091411173</v>
      </c>
    </row>
    <row r="344" spans="1:9" x14ac:dyDescent="0.2">
      <c r="A344" s="16">
        <v>334</v>
      </c>
      <c r="B344" s="16">
        <f t="shared" si="35"/>
        <v>-5.8293997016610604</v>
      </c>
      <c r="C344" s="16">
        <f t="shared" si="36"/>
        <v>2.6963821388975004</v>
      </c>
      <c r="D344" s="16">
        <f t="shared" si="37"/>
        <v>1.3151134403672333</v>
      </c>
      <c r="E344" s="16">
        <f t="shared" si="41"/>
        <v>7.5319003817784624</v>
      </c>
      <c r="F344" s="16" t="e">
        <f t="shared" si="38"/>
        <v>#N/A</v>
      </c>
      <c r="G344" s="16" t="e">
        <f t="shared" si="39"/>
        <v>#N/A</v>
      </c>
      <c r="I344" s="16">
        <f t="shared" si="40"/>
        <v>5.8293997016610604</v>
      </c>
    </row>
    <row r="345" spans="1:9" x14ac:dyDescent="0.2">
      <c r="A345" s="16">
        <v>335</v>
      </c>
      <c r="B345" s="16">
        <f t="shared" si="35"/>
        <v>-5.8468529941810043</v>
      </c>
      <c r="C345" s="16">
        <f t="shared" si="36"/>
        <v>2.7189233611099501</v>
      </c>
      <c r="D345" s="16">
        <f t="shared" si="37"/>
        <v>1.2678547852220976</v>
      </c>
      <c r="E345" s="16">
        <f t="shared" si="41"/>
        <v>7.5237926444320999</v>
      </c>
      <c r="F345" s="16" t="e">
        <f t="shared" si="38"/>
        <v>#N/A</v>
      </c>
      <c r="G345" s="16" t="e">
        <f t="shared" si="39"/>
        <v>#N/A</v>
      </c>
      <c r="I345" s="16">
        <f t="shared" si="40"/>
        <v>5.8468529941810043</v>
      </c>
    </row>
    <row r="346" spans="1:9" x14ac:dyDescent="0.2">
      <c r="A346" s="16">
        <v>336</v>
      </c>
      <c r="B346" s="16">
        <f t="shared" si="35"/>
        <v>-5.8643062867009474</v>
      </c>
      <c r="C346" s="16">
        <f t="shared" si="36"/>
        <v>2.7406363729278027</v>
      </c>
      <c r="D346" s="16">
        <f t="shared" si="37"/>
        <v>1.2202099292274005</v>
      </c>
      <c r="E346" s="16">
        <f t="shared" si="41"/>
        <v>7.5159106082619918</v>
      </c>
      <c r="F346" s="16" t="e">
        <f t="shared" si="38"/>
        <v>#N/A</v>
      </c>
      <c r="G346" s="16" t="e">
        <f t="shared" si="39"/>
        <v>#N/A</v>
      </c>
      <c r="I346" s="16">
        <f t="shared" si="40"/>
        <v>5.8643062867009474</v>
      </c>
    </row>
    <row r="347" spans="1:9" x14ac:dyDescent="0.2">
      <c r="A347" s="16">
        <v>337</v>
      </c>
      <c r="B347" s="16">
        <f t="shared" si="35"/>
        <v>-5.8817595792208905</v>
      </c>
      <c r="C347" s="16">
        <f t="shared" si="36"/>
        <v>2.7615145603573206</v>
      </c>
      <c r="D347" s="16">
        <f t="shared" si="37"/>
        <v>1.1721933854678217</v>
      </c>
      <c r="E347" s="16">
        <f t="shared" si="41"/>
        <v>7.5082646019526056</v>
      </c>
      <c r="F347" s="16" t="e">
        <f t="shared" si="38"/>
        <v>#N/A</v>
      </c>
      <c r="G347" s="16" t="e">
        <f t="shared" si="39"/>
        <v>#N/A</v>
      </c>
      <c r="I347" s="16">
        <f t="shared" si="40"/>
        <v>5.8817595792208905</v>
      </c>
    </row>
    <row r="348" spans="1:9" x14ac:dyDescent="0.2">
      <c r="A348" s="16">
        <v>338</v>
      </c>
      <c r="B348" s="16">
        <f t="shared" si="35"/>
        <v>-5.8992128717408336</v>
      </c>
      <c r="C348" s="16">
        <f t="shared" si="36"/>
        <v>2.7815515637003618</v>
      </c>
      <c r="D348" s="16">
        <f t="shared" si="37"/>
        <v>1.123819780247737</v>
      </c>
      <c r="E348" s="16">
        <f t="shared" si="41"/>
        <v>7.500864676720683</v>
      </c>
      <c r="F348" s="16" t="e">
        <f t="shared" si="38"/>
        <v>#N/A</v>
      </c>
      <c r="G348" s="16" t="e">
        <f t="shared" si="39"/>
        <v>#N/A</v>
      </c>
      <c r="I348" s="16">
        <f t="shared" si="40"/>
        <v>5.8992128717408336</v>
      </c>
    </row>
    <row r="349" spans="1:9" x14ac:dyDescent="0.2">
      <c r="A349" s="16">
        <v>339</v>
      </c>
      <c r="B349" s="16">
        <f t="shared" si="35"/>
        <v>-5.9166661642607767</v>
      </c>
      <c r="C349" s="16">
        <f t="shared" si="36"/>
        <v>2.8007412794916045</v>
      </c>
      <c r="D349" s="16">
        <f t="shared" si="37"/>
        <v>1.0751038486359024</v>
      </c>
      <c r="E349" s="16">
        <f t="shared" si="41"/>
        <v>7.4937205902910291</v>
      </c>
      <c r="F349" s="16" t="e">
        <f t="shared" si="38"/>
        <v>#N/A</v>
      </c>
      <c r="G349" s="16" t="e">
        <f t="shared" si="39"/>
        <v>#N/A</v>
      </c>
      <c r="I349" s="16">
        <f t="shared" si="40"/>
        <v>5.9166661642607767</v>
      </c>
    </row>
    <row r="350" spans="1:9" x14ac:dyDescent="0.2">
      <c r="A350" s="16">
        <v>340</v>
      </c>
      <c r="B350" s="16">
        <f t="shared" si="35"/>
        <v>-5.9341194567807207</v>
      </c>
      <c r="C350" s="16">
        <f t="shared" si="36"/>
        <v>2.8190778623577253</v>
      </c>
      <c r="D350" s="16">
        <f t="shared" si="37"/>
        <v>1.0260604299770058</v>
      </c>
      <c r="E350" s="16">
        <f t="shared" si="41"/>
        <v>7.4868417911669933</v>
      </c>
      <c r="F350" s="16" t="e">
        <f t="shared" si="38"/>
        <v>#N/A</v>
      </c>
      <c r="G350" s="16" t="e">
        <f t="shared" si="39"/>
        <v>#N/A</v>
      </c>
      <c r="I350" s="16">
        <f t="shared" si="40"/>
        <v>5.9341194567807207</v>
      </c>
    </row>
    <row r="351" spans="1:9" x14ac:dyDescent="0.2">
      <c r="A351" s="16">
        <v>341</v>
      </c>
      <c r="B351" s="16">
        <f t="shared" si="35"/>
        <v>-5.9515727493006638</v>
      </c>
      <c r="C351" s="16">
        <f t="shared" si="36"/>
        <v>2.8365557267979504</v>
      </c>
      <c r="D351" s="16">
        <f t="shared" si="37"/>
        <v>0.9767044633714701</v>
      </c>
      <c r="E351" s="16">
        <f t="shared" si="41"/>
        <v>7.4802374032359262</v>
      </c>
      <c r="F351" s="16" t="e">
        <f t="shared" si="38"/>
        <v>#N/A</v>
      </c>
      <c r="G351" s="16" t="e">
        <f t="shared" si="39"/>
        <v>#N/A</v>
      </c>
      <c r="I351" s="16">
        <f t="shared" si="40"/>
        <v>5.9515727493006638</v>
      </c>
    </row>
    <row r="352" spans="1:9" x14ac:dyDescent="0.2">
      <c r="A352" s="16">
        <v>342</v>
      </c>
      <c r="B352" s="16">
        <f t="shared" si="35"/>
        <v>-5.9690260418206069</v>
      </c>
      <c r="C352" s="16">
        <f t="shared" si="36"/>
        <v>2.8531695488854605</v>
      </c>
      <c r="D352" s="16">
        <f t="shared" si="37"/>
        <v>0.9270509831248428</v>
      </c>
      <c r="E352" s="16">
        <f t="shared" si="41"/>
        <v>7.4739162107500734</v>
      </c>
      <c r="F352" s="16" t="e">
        <f t="shared" si="38"/>
        <v>#N/A</v>
      </c>
      <c r="G352" s="16" t="e">
        <f t="shared" si="39"/>
        <v>#N/A</v>
      </c>
      <c r="I352" s="16">
        <f t="shared" si="40"/>
        <v>5.9690260418206069</v>
      </c>
    </row>
    <row r="353" spans="1:9" x14ac:dyDescent="0.2">
      <c r="A353" s="16">
        <v>343</v>
      </c>
      <c r="B353" s="16">
        <f t="shared" si="35"/>
        <v>-5.98647933434055</v>
      </c>
      <c r="C353" s="16">
        <f t="shared" si="36"/>
        <v>2.8689142678891058</v>
      </c>
      <c r="D353" s="16">
        <f t="shared" si="37"/>
        <v>0.87711511416821142</v>
      </c>
      <c r="E353" s="16">
        <f t="shared" si="41"/>
        <v>7.4678866437233982</v>
      </c>
      <c r="F353" s="16" t="e">
        <f t="shared" si="38"/>
        <v>#N/A</v>
      </c>
      <c r="G353" s="16" t="e">
        <f t="shared" si="39"/>
        <v>#N/A</v>
      </c>
      <c r="I353" s="16">
        <f t="shared" si="40"/>
        <v>5.98647933434055</v>
      </c>
    </row>
    <row r="354" spans="1:9" x14ac:dyDescent="0.2">
      <c r="A354" s="16">
        <v>344</v>
      </c>
      <c r="B354" s="16">
        <f t="shared" si="35"/>
        <v>-6.003932626860494</v>
      </c>
      <c r="C354" s="16">
        <f t="shared" si="36"/>
        <v>2.8837850878149567</v>
      </c>
      <c r="D354" s="16">
        <f t="shared" si="37"/>
        <v>0.82691206745099688</v>
      </c>
      <c r="E354" s="16">
        <f t="shared" si="41"/>
        <v>7.4621567637845887</v>
      </c>
      <c r="F354" s="16" t="e">
        <f t="shared" si="38"/>
        <v>#N/A</v>
      </c>
      <c r="G354" s="16" t="e">
        <f t="shared" si="39"/>
        <v>#N/A</v>
      </c>
      <c r="I354" s="16">
        <f t="shared" si="40"/>
        <v>6.003932626860494</v>
      </c>
    </row>
    <row r="355" spans="1:9" x14ac:dyDescent="0.2">
      <c r="A355" s="16">
        <v>345</v>
      </c>
      <c r="B355" s="16">
        <f t="shared" si="35"/>
        <v>-6.0213859193804371</v>
      </c>
      <c r="C355" s="16">
        <f t="shared" si="36"/>
        <v>2.897777478867205</v>
      </c>
      <c r="D355" s="16">
        <f t="shared" si="37"/>
        <v>0.776457135307562</v>
      </c>
      <c r="E355" s="16">
        <f t="shared" si="41"/>
        <v>7.456734250526166</v>
      </c>
      <c r="F355" s="16" t="e">
        <f t="shared" si="38"/>
        <v>#N/A</v>
      </c>
      <c r="G355" s="16" t="e">
        <f t="shared" si="39"/>
        <v>#N/A</v>
      </c>
      <c r="I355" s="16">
        <f t="shared" si="40"/>
        <v>6.0213859193804371</v>
      </c>
    </row>
    <row r="356" spans="1:9" x14ac:dyDescent="0.2">
      <c r="A356" s="16">
        <v>346</v>
      </c>
      <c r="B356" s="16">
        <f t="shared" si="35"/>
        <v>-6.0388392119003802</v>
      </c>
      <c r="C356" s="16">
        <f t="shared" si="36"/>
        <v>2.9108871788279895</v>
      </c>
      <c r="D356" s="16">
        <f t="shared" si="37"/>
        <v>0.72576568679900366</v>
      </c>
      <c r="E356" s="16">
        <f t="shared" si="41"/>
        <v>7.4516263883889691</v>
      </c>
      <c r="F356" s="16" t="e">
        <f t="shared" si="38"/>
        <v>#N/A</v>
      </c>
      <c r="G356" s="16" t="e">
        <f t="shared" si="39"/>
        <v>#N/A</v>
      </c>
      <c r="I356" s="16">
        <f t="shared" si="40"/>
        <v>6.0388392119003802</v>
      </c>
    </row>
    <row r="357" spans="1:9" x14ac:dyDescent="0.2">
      <c r="A357" s="16">
        <v>347</v>
      </c>
      <c r="B357" s="16">
        <f t="shared" si="35"/>
        <v>-6.0562925044203233</v>
      </c>
      <c r="C357" s="16">
        <f t="shared" si="36"/>
        <v>2.9231101943557052</v>
      </c>
      <c r="D357" s="16">
        <f t="shared" si="37"/>
        <v>0.67485316303159604</v>
      </c>
      <c r="E357" s="16">
        <f t="shared" si="41"/>
        <v>7.4468400541205231</v>
      </c>
      <c r="F357" s="16" t="e">
        <f t="shared" si="38"/>
        <v>#N/A</v>
      </c>
      <c r="G357" s="16" t="e">
        <f t="shared" si="39"/>
        <v>#N/A</v>
      </c>
      <c r="I357" s="16">
        <f t="shared" si="40"/>
        <v>6.0562925044203233</v>
      </c>
    </row>
    <row r="358" spans="1:9" x14ac:dyDescent="0.2">
      <c r="A358" s="16">
        <v>348</v>
      </c>
      <c r="B358" s="16">
        <f t="shared" si="35"/>
        <v>-6.0737457969402664</v>
      </c>
      <c r="C358" s="16">
        <f t="shared" si="36"/>
        <v>2.9344428022014166</v>
      </c>
      <c r="D358" s="16">
        <f t="shared" si="37"/>
        <v>0.62373507245327964</v>
      </c>
      <c r="E358" s="16">
        <f t="shared" si="41"/>
        <v>7.44238170484478</v>
      </c>
      <c r="F358" s="16" t="e">
        <f t="shared" si="38"/>
        <v>#N/A</v>
      </c>
      <c r="G358" s="16" t="e">
        <f t="shared" si="39"/>
        <v>#N/A</v>
      </c>
      <c r="I358" s="16">
        <f t="shared" si="40"/>
        <v>6.0737457969402664</v>
      </c>
    </row>
    <row r="359" spans="1:9" x14ac:dyDescent="0.2">
      <c r="A359" s="16">
        <v>349</v>
      </c>
      <c r="B359" s="16">
        <f t="shared" si="35"/>
        <v>-6.0911990894602104</v>
      </c>
      <c r="C359" s="16">
        <f t="shared" si="36"/>
        <v>2.9448815503429921</v>
      </c>
      <c r="D359" s="16">
        <f t="shared" si="37"/>
        <v>0.57242698612963405</v>
      </c>
      <c r="E359" s="16">
        <f t="shared" si="41"/>
        <v>7.4382573667794967</v>
      </c>
      <c r="F359" s="16" t="e">
        <f t="shared" si="38"/>
        <v>#N/A</v>
      </c>
      <c r="G359" s="16" t="e">
        <f t="shared" si="39"/>
        <v>#N/A</v>
      </c>
      <c r="I359" s="16">
        <f t="shared" si="40"/>
        <v>6.0911990894602104</v>
      </c>
    </row>
    <row r="360" spans="1:9" x14ac:dyDescent="0.2">
      <c r="A360" s="16">
        <v>350</v>
      </c>
      <c r="B360" s="16">
        <f t="shared" si="35"/>
        <v>-6.1086523819801535</v>
      </c>
      <c r="C360" s="16">
        <f t="shared" si="36"/>
        <v>2.9544232590366239</v>
      </c>
      <c r="D360" s="16">
        <f t="shared" si="37"/>
        <v>0.52094453300079113</v>
      </c>
      <c r="E360" s="16">
        <f t="shared" si="41"/>
        <v>7.434472624636089</v>
      </c>
      <c r="F360" s="16" t="e">
        <f t="shared" si="38"/>
        <v>#N/A</v>
      </c>
      <c r="G360" s="16" t="e">
        <f t="shared" si="39"/>
        <v>#N/A</v>
      </c>
      <c r="I360" s="16">
        <f t="shared" si="40"/>
        <v>6.1086523819801535</v>
      </c>
    </row>
    <row r="361" spans="1:9" x14ac:dyDescent="0.2">
      <c r="A361" s="16">
        <v>351</v>
      </c>
      <c r="B361" s="16">
        <f t="shared" si="35"/>
        <v>-6.1261056745000966</v>
      </c>
      <c r="C361" s="16">
        <f t="shared" si="36"/>
        <v>2.9630650217854129</v>
      </c>
      <c r="D361" s="16">
        <f t="shared" si="37"/>
        <v>0.46930339512069336</v>
      </c>
      <c r="E361" s="16">
        <f t="shared" si="41"/>
        <v>7.4310326117351826</v>
      </c>
      <c r="F361" s="16" t="e">
        <f t="shared" si="38"/>
        <v>#N/A</v>
      </c>
      <c r="G361" s="16" t="e">
        <f t="shared" si="39"/>
        <v>#N/A</v>
      </c>
      <c r="I361" s="16">
        <f t="shared" si="40"/>
        <v>6.1261056745000966</v>
      </c>
    </row>
    <row r="362" spans="1:9" x14ac:dyDescent="0.2">
      <c r="A362" s="16">
        <v>352</v>
      </c>
      <c r="B362" s="16">
        <f t="shared" si="35"/>
        <v>-6.1435589670200397</v>
      </c>
      <c r="C362" s="16">
        <f t="shared" si="36"/>
        <v>2.9708042062247109</v>
      </c>
      <c r="D362" s="16">
        <f t="shared" si="37"/>
        <v>0.41751930288019767</v>
      </c>
      <c r="E362" s="16">
        <f t="shared" si="41"/>
        <v>7.4279420008692556</v>
      </c>
      <c r="F362" s="16" t="e">
        <f t="shared" si="38"/>
        <v>#N/A</v>
      </c>
      <c r="G362" s="16" t="e">
        <f t="shared" si="39"/>
        <v>#N/A</v>
      </c>
      <c r="I362" s="16">
        <f t="shared" si="40"/>
        <v>6.1435589670200397</v>
      </c>
    </row>
    <row r="363" spans="1:9" x14ac:dyDescent="0.2">
      <c r="A363" s="16">
        <v>353</v>
      </c>
      <c r="B363" s="16">
        <f t="shared" si="35"/>
        <v>-6.1610122595399837</v>
      </c>
      <c r="C363" s="16">
        <f t="shared" si="36"/>
        <v>2.9776384549239663</v>
      </c>
      <c r="D363" s="16">
        <f t="shared" si="37"/>
        <v>0.36560803021544169</v>
      </c>
      <c r="E363" s="16">
        <f t="shared" si="41"/>
        <v>7.425204995941729</v>
      </c>
      <c r="F363" s="16" t="e">
        <f t="shared" si="38"/>
        <v>#N/A</v>
      </c>
      <c r="G363" s="16" t="e">
        <f t="shared" si="39"/>
        <v>#N/A</v>
      </c>
      <c r="I363" s="16">
        <f t="shared" si="40"/>
        <v>6.1610122595399837</v>
      </c>
    </row>
    <row r="364" spans="1:9" x14ac:dyDescent="0.2">
      <c r="A364" s="16">
        <v>354</v>
      </c>
      <c r="B364" s="16">
        <f t="shared" si="35"/>
        <v>-6.1784655520599268</v>
      </c>
      <c r="C364" s="16">
        <f t="shared" si="36"/>
        <v>2.9835656861048196</v>
      </c>
      <c r="D364" s="16">
        <f t="shared" si="37"/>
        <v>0.31358538980296025</v>
      </c>
      <c r="E364" s="16">
        <f t="shared" si="41"/>
        <v>7.4228253244096942</v>
      </c>
      <c r="F364" s="16" t="e">
        <f t="shared" si="38"/>
        <v>#N/A</v>
      </c>
      <c r="G364" s="16" t="e">
        <f t="shared" si="39"/>
        <v>#N/A</v>
      </c>
      <c r="I364" s="16">
        <f t="shared" si="40"/>
        <v>6.1784655520599268</v>
      </c>
    </row>
    <row r="365" spans="1:9" x14ac:dyDescent="0.2">
      <c r="A365" s="16">
        <v>355</v>
      </c>
      <c r="B365" s="16">
        <f t="shared" si="35"/>
        <v>-6.1959188445798699</v>
      </c>
      <c r="C365" s="16">
        <f t="shared" si="36"/>
        <v>2.9885840942752369</v>
      </c>
      <c r="D365" s="16">
        <f t="shared" si="37"/>
        <v>0.26146722824297497</v>
      </c>
      <c r="E365" s="16">
        <f t="shared" si="41"/>
        <v>7.4208062305550779</v>
      </c>
      <c r="F365" s="16" t="e">
        <f t="shared" si="38"/>
        <v>#N/A</v>
      </c>
      <c r="G365" s="16" t="e">
        <f t="shared" si="39"/>
        <v>#N/A</v>
      </c>
      <c r="I365" s="16">
        <f t="shared" si="40"/>
        <v>6.1959188445798699</v>
      </c>
    </row>
    <row r="366" spans="1:9" x14ac:dyDescent="0.2">
      <c r="A366" s="16">
        <v>356</v>
      </c>
      <c r="B366" s="16">
        <f t="shared" si="35"/>
        <v>-6.213372137099813</v>
      </c>
      <c r="C366" s="16">
        <f t="shared" si="36"/>
        <v>2.9926921507794724</v>
      </c>
      <c r="D366" s="16">
        <f t="shared" si="37"/>
        <v>0.20926942123237691</v>
      </c>
      <c r="E366" s="16">
        <f t="shared" si="41"/>
        <v>7.4191504696065396</v>
      </c>
      <c r="F366" s="16" t="e">
        <f t="shared" si="38"/>
        <v>#N/A</v>
      </c>
      <c r="G366" s="16" t="e">
        <f t="shared" si="39"/>
        <v>#N/A</v>
      </c>
      <c r="I366" s="16">
        <f t="shared" si="40"/>
        <v>6.213372137099813</v>
      </c>
    </row>
    <row r="367" spans="1:9" x14ac:dyDescent="0.2">
      <c r="A367" s="16">
        <v>357</v>
      </c>
      <c r="B367" s="16">
        <f t="shared" si="35"/>
        <v>-6.2308254296197561</v>
      </c>
      <c r="C367" s="16">
        <f t="shared" si="36"/>
        <v>2.9958886042637216</v>
      </c>
      <c r="D367" s="16">
        <f t="shared" si="37"/>
        <v>0.1570078687288331</v>
      </c>
      <c r="E367" s="16">
        <f t="shared" si="41"/>
        <v>7.4178603027316958</v>
      </c>
      <c r="F367" s="16" t="e">
        <f t="shared" si="38"/>
        <v>#N/A</v>
      </c>
      <c r="G367" s="16" t="e">
        <f t="shared" si="39"/>
        <v>#N/A</v>
      </c>
      <c r="I367" s="16">
        <f t="shared" si="40"/>
        <v>6.2308254296197561</v>
      </c>
    </row>
    <row r="368" spans="1:9" x14ac:dyDescent="0.2">
      <c r="A368" s="16">
        <v>358</v>
      </c>
      <c r="B368" s="16">
        <f t="shared" si="35"/>
        <v>-6.2482787221397</v>
      </c>
      <c r="C368" s="16">
        <f t="shared" si="36"/>
        <v>2.9981724810572872</v>
      </c>
      <c r="D368" s="16">
        <f t="shared" si="37"/>
        <v>0.10469849010750247</v>
      </c>
      <c r="E368" s="16">
        <f t="shared" si="41"/>
        <v>7.4169374929165199</v>
      </c>
      <c r="F368" s="16" t="e">
        <f t="shared" si="38"/>
        <v>#N/A</v>
      </c>
      <c r="G368" s="16" t="e">
        <f t="shared" si="39"/>
        <v>#N/A</v>
      </c>
      <c r="I368" s="16">
        <f t="shared" si="40"/>
        <v>6.2482787221397</v>
      </c>
    </row>
    <row r="369" spans="1:9" x14ac:dyDescent="0.2">
      <c r="A369" s="16">
        <v>359</v>
      </c>
      <c r="B369" s="16">
        <f t="shared" si="35"/>
        <v>-6.2657320146596431</v>
      </c>
      <c r="C369" s="16">
        <f t="shared" si="36"/>
        <v>2.999543085469174</v>
      </c>
      <c r="D369" s="16">
        <f t="shared" si="37"/>
        <v>5.2357219311850681E-2</v>
      </c>
      <c r="E369" s="16">
        <f t="shared" si="41"/>
        <v>7.4163833017458094</v>
      </c>
      <c r="F369" s="16" t="e">
        <f t="shared" si="38"/>
        <v>#N/A</v>
      </c>
      <c r="G369" s="16" t="e">
        <f t="shared" si="39"/>
        <v>#N/A</v>
      </c>
      <c r="I369" s="16">
        <f t="shared" si="40"/>
        <v>6.2657320146596431</v>
      </c>
    </row>
    <row r="370" spans="1:9" x14ac:dyDescent="0.2">
      <c r="A370" s="16">
        <v>360</v>
      </c>
      <c r="B370" s="16">
        <f t="shared" si="35"/>
        <v>-6.2831853071795862</v>
      </c>
      <c r="C370" s="16">
        <f t="shared" si="36"/>
        <v>3</v>
      </c>
      <c r="D370" s="16">
        <f t="shared" si="37"/>
        <v>7.3508907294517201E-16</v>
      </c>
      <c r="E370" s="16">
        <f t="shared" si="41"/>
        <v>7.416198487095663</v>
      </c>
      <c r="F370" s="16" t="e">
        <f t="shared" si="38"/>
        <v>#N/A</v>
      </c>
      <c r="G370" s="16" t="e">
        <f t="shared" si="39"/>
        <v>#N/A</v>
      </c>
      <c r="I370" s="16">
        <f t="shared" si="40"/>
        <v>6.2831853071795862</v>
      </c>
    </row>
  </sheetData>
  <mergeCells count="1">
    <mergeCell ref="K9:K13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Engine</vt:lpstr>
      <vt:lpstr>Formulas</vt:lpstr>
      <vt:lpstr>WW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Gerry</cp:lastModifiedBy>
  <dcterms:created xsi:type="dcterms:W3CDTF">2004-06-25T18:57:35Z</dcterms:created>
  <dcterms:modified xsi:type="dcterms:W3CDTF">2016-11-09T12:15:05Z</dcterms:modified>
</cp:coreProperties>
</file>