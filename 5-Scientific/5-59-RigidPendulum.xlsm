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Simple" sheetId="9" r:id="rId1"/>
  </sheets>
  <calcPr calcId="152511"/>
</workbook>
</file>

<file path=xl/calcChain.xml><?xml version="1.0" encoding="utf-8"?>
<calcChain xmlns="http://schemas.openxmlformats.org/spreadsheetml/2006/main">
  <c r="V9" i="9" l="1"/>
  <c r="P2" i="9"/>
  <c r="S2" i="9" s="1"/>
  <c r="O2" i="9"/>
  <c r="B18" i="9"/>
  <c r="M3" i="9"/>
  <c r="M4" i="9" s="1"/>
  <c r="M5" i="9" s="1"/>
  <c r="M6" i="9" s="1"/>
  <c r="M7" i="9" s="1"/>
  <c r="M8" i="9" s="1"/>
  <c r="M9" i="9" s="1"/>
  <c r="M10" i="9" s="1"/>
  <c r="M11" i="9" s="1"/>
  <c r="M12" i="9" s="1"/>
  <c r="M13" i="9" s="1"/>
  <c r="M14" i="9" s="1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M29" i="9" s="1"/>
  <c r="M30" i="9" s="1"/>
  <c r="M31" i="9" s="1"/>
  <c r="M32" i="9" s="1"/>
  <c r="M33" i="9" s="1"/>
  <c r="M34" i="9" s="1"/>
  <c r="M35" i="9" s="1"/>
  <c r="M36" i="9" s="1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M49" i="9" s="1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M60" i="9" s="1"/>
  <c r="M61" i="9" s="1"/>
  <c r="M62" i="9" s="1"/>
  <c r="M63" i="9" s="1"/>
  <c r="M64" i="9" s="1"/>
  <c r="M65" i="9" s="1"/>
  <c r="M66" i="9" s="1"/>
  <c r="M67" i="9" s="1"/>
  <c r="M68" i="9" s="1"/>
  <c r="M69" i="9" s="1"/>
  <c r="M70" i="9" s="1"/>
  <c r="M71" i="9" s="1"/>
  <c r="M72" i="9" s="1"/>
  <c r="M73" i="9" s="1"/>
  <c r="M74" i="9" s="1"/>
  <c r="M75" i="9" s="1"/>
  <c r="M76" i="9" s="1"/>
  <c r="M77" i="9" s="1"/>
  <c r="M78" i="9" s="1"/>
  <c r="M79" i="9" s="1"/>
  <c r="M80" i="9" s="1"/>
  <c r="M81" i="9" s="1"/>
  <c r="M82" i="9" s="1"/>
  <c r="M83" i="9" s="1"/>
  <c r="M84" i="9" s="1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M98" i="9" s="1"/>
  <c r="M99" i="9" s="1"/>
  <c r="M100" i="9" s="1"/>
  <c r="M101" i="9" s="1"/>
  <c r="M102" i="9" s="1"/>
  <c r="M103" i="9" s="1"/>
  <c r="M104" i="9" s="1"/>
  <c r="M105" i="9" s="1"/>
  <c r="M106" i="9" s="1"/>
  <c r="M107" i="9" s="1"/>
  <c r="M108" i="9" s="1"/>
  <c r="M109" i="9" s="1"/>
  <c r="M110" i="9" s="1"/>
  <c r="M111" i="9" s="1"/>
  <c r="M112" i="9" s="1"/>
  <c r="M113" i="9" s="1"/>
  <c r="M114" i="9" s="1"/>
  <c r="M115" i="9" s="1"/>
  <c r="M116" i="9" s="1"/>
  <c r="M117" i="9" s="1"/>
  <c r="M118" i="9" s="1"/>
  <c r="M119" i="9" s="1"/>
  <c r="M120" i="9" s="1"/>
  <c r="M121" i="9" s="1"/>
  <c r="M122" i="9" s="1"/>
  <c r="M123" i="9" s="1"/>
  <c r="M124" i="9" s="1"/>
  <c r="M125" i="9" s="1"/>
  <c r="M126" i="9" s="1"/>
  <c r="M127" i="9" s="1"/>
  <c r="M128" i="9" s="1"/>
  <c r="M129" i="9" s="1"/>
  <c r="M130" i="9" s="1"/>
  <c r="M131" i="9" s="1"/>
  <c r="M132" i="9" s="1"/>
  <c r="M133" i="9" s="1"/>
  <c r="M134" i="9" s="1"/>
  <c r="M135" i="9" s="1"/>
  <c r="M136" i="9" s="1"/>
  <c r="M137" i="9" s="1"/>
  <c r="M138" i="9" s="1"/>
  <c r="M139" i="9" s="1"/>
  <c r="M140" i="9" s="1"/>
  <c r="M141" i="9" s="1"/>
  <c r="M142" i="9" s="1"/>
  <c r="M143" i="9" s="1"/>
  <c r="M144" i="9" s="1"/>
  <c r="M145" i="9" s="1"/>
  <c r="M146" i="9" s="1"/>
  <c r="M147" i="9" s="1"/>
  <c r="M148" i="9" s="1"/>
  <c r="M149" i="9" s="1"/>
  <c r="M150" i="9" s="1"/>
  <c r="M151" i="9" s="1"/>
  <c r="M152" i="9" s="1"/>
  <c r="M153" i="9" s="1"/>
  <c r="M154" i="9" s="1"/>
  <c r="M155" i="9" s="1"/>
  <c r="M156" i="9" s="1"/>
  <c r="M157" i="9" s="1"/>
  <c r="M158" i="9" s="1"/>
  <c r="M159" i="9" s="1"/>
  <c r="M160" i="9" s="1"/>
  <c r="M161" i="9" s="1"/>
  <c r="M162" i="9" s="1"/>
  <c r="M163" i="9" s="1"/>
  <c r="M164" i="9" s="1"/>
  <c r="M165" i="9" s="1"/>
  <c r="M166" i="9" s="1"/>
  <c r="M167" i="9" s="1"/>
  <c r="M168" i="9" s="1"/>
  <c r="M169" i="9" s="1"/>
  <c r="M170" i="9" s="1"/>
  <c r="M171" i="9" s="1"/>
  <c r="M172" i="9" s="1"/>
  <c r="M173" i="9" s="1"/>
  <c r="M174" i="9" s="1"/>
  <c r="M175" i="9" s="1"/>
  <c r="M176" i="9" s="1"/>
  <c r="M177" i="9" s="1"/>
  <c r="M178" i="9" s="1"/>
  <c r="M179" i="9" s="1"/>
  <c r="M180" i="9" s="1"/>
  <c r="M181" i="9" s="1"/>
  <c r="M182" i="9" s="1"/>
  <c r="M183" i="9" s="1"/>
  <c r="M184" i="9" s="1"/>
  <c r="M185" i="9" s="1"/>
  <c r="M186" i="9" s="1"/>
  <c r="M187" i="9" s="1"/>
  <c r="M188" i="9" s="1"/>
  <c r="M189" i="9" s="1"/>
  <c r="M190" i="9" s="1"/>
  <c r="M191" i="9" s="1"/>
  <c r="M192" i="9" s="1"/>
  <c r="M193" i="9" s="1"/>
  <c r="M194" i="9" s="1"/>
  <c r="M195" i="9" s="1"/>
  <c r="M196" i="9" s="1"/>
  <c r="M197" i="9" s="1"/>
  <c r="M198" i="9" s="1"/>
  <c r="M199" i="9" s="1"/>
  <c r="M200" i="9" s="1"/>
  <c r="M201" i="9" s="1"/>
  <c r="M202" i="9" s="1"/>
  <c r="M203" i="9" s="1"/>
  <c r="M204" i="9" s="1"/>
  <c r="M205" i="9" s="1"/>
  <c r="M206" i="9" s="1"/>
  <c r="M207" i="9" s="1"/>
  <c r="M208" i="9" s="1"/>
  <c r="M209" i="9" s="1"/>
  <c r="M210" i="9" s="1"/>
  <c r="M211" i="9" s="1"/>
  <c r="M212" i="9" s="1"/>
  <c r="M213" i="9" s="1"/>
  <c r="M214" i="9" s="1"/>
  <c r="M215" i="9" s="1"/>
  <c r="M216" i="9" s="1"/>
  <c r="M217" i="9" s="1"/>
  <c r="M218" i="9" s="1"/>
  <c r="M219" i="9" s="1"/>
  <c r="M220" i="9" s="1"/>
  <c r="M221" i="9" s="1"/>
  <c r="M222" i="9" s="1"/>
  <c r="M223" i="9" s="1"/>
  <c r="M224" i="9" s="1"/>
  <c r="M225" i="9" s="1"/>
  <c r="M226" i="9" s="1"/>
  <c r="M227" i="9" s="1"/>
  <c r="M228" i="9" s="1"/>
  <c r="M229" i="9" s="1"/>
  <c r="M230" i="9" s="1"/>
  <c r="M231" i="9" s="1"/>
  <c r="M232" i="9" s="1"/>
  <c r="M233" i="9" s="1"/>
  <c r="M234" i="9" s="1"/>
  <c r="M235" i="9" s="1"/>
  <c r="M236" i="9" s="1"/>
  <c r="M237" i="9" s="1"/>
  <c r="M238" i="9" s="1"/>
  <c r="M239" i="9" s="1"/>
  <c r="M240" i="9" s="1"/>
  <c r="M241" i="9" s="1"/>
  <c r="M242" i="9" s="1"/>
  <c r="M243" i="9" s="1"/>
  <c r="M244" i="9" s="1"/>
  <c r="M245" i="9" s="1"/>
  <c r="M246" i="9" s="1"/>
  <c r="M247" i="9" s="1"/>
  <c r="M248" i="9" s="1"/>
  <c r="M249" i="9" s="1"/>
  <c r="M250" i="9" s="1"/>
  <c r="M251" i="9" s="1"/>
  <c r="M252" i="9" s="1"/>
  <c r="M253" i="9" s="1"/>
  <c r="M254" i="9" s="1"/>
  <c r="M255" i="9" s="1"/>
  <c r="M256" i="9" s="1"/>
  <c r="M257" i="9" s="1"/>
  <c r="M258" i="9" s="1"/>
  <c r="M259" i="9" s="1"/>
  <c r="M260" i="9" s="1"/>
  <c r="M261" i="9" s="1"/>
  <c r="M262" i="9" s="1"/>
  <c r="M263" i="9" s="1"/>
  <c r="M264" i="9" s="1"/>
  <c r="M265" i="9" s="1"/>
  <c r="M266" i="9" s="1"/>
  <c r="M267" i="9" s="1"/>
  <c r="M268" i="9" s="1"/>
  <c r="M269" i="9" s="1"/>
  <c r="M270" i="9" s="1"/>
  <c r="M271" i="9" s="1"/>
  <c r="M272" i="9" s="1"/>
  <c r="M273" i="9" s="1"/>
  <c r="M274" i="9" s="1"/>
  <c r="M275" i="9" s="1"/>
  <c r="M276" i="9" s="1"/>
  <c r="M277" i="9" s="1"/>
  <c r="M278" i="9" s="1"/>
  <c r="M279" i="9" s="1"/>
  <c r="M280" i="9" s="1"/>
  <c r="M281" i="9" s="1"/>
  <c r="M282" i="9" s="1"/>
  <c r="M283" i="9" s="1"/>
  <c r="M284" i="9" s="1"/>
  <c r="M285" i="9" s="1"/>
  <c r="M286" i="9" s="1"/>
  <c r="M287" i="9" s="1"/>
  <c r="M288" i="9" s="1"/>
  <c r="M289" i="9" s="1"/>
  <c r="M290" i="9" s="1"/>
  <c r="M291" i="9" s="1"/>
  <c r="M292" i="9" s="1"/>
  <c r="M293" i="9" s="1"/>
  <c r="M294" i="9" s="1"/>
  <c r="M295" i="9" s="1"/>
  <c r="M296" i="9" s="1"/>
  <c r="M297" i="9" s="1"/>
  <c r="M298" i="9" s="1"/>
  <c r="M299" i="9" s="1"/>
  <c r="M300" i="9" s="1"/>
  <c r="M301" i="9" s="1"/>
  <c r="M302" i="9" s="1"/>
  <c r="M303" i="9" s="1"/>
  <c r="M304" i="9" s="1"/>
  <c r="M305" i="9" s="1"/>
  <c r="M306" i="9" s="1"/>
  <c r="M307" i="9" s="1"/>
  <c r="M308" i="9" s="1"/>
  <c r="M309" i="9" s="1"/>
  <c r="M310" i="9" s="1"/>
  <c r="M311" i="9" s="1"/>
  <c r="M312" i="9" s="1"/>
  <c r="M313" i="9" s="1"/>
  <c r="M314" i="9" s="1"/>
  <c r="M315" i="9" s="1"/>
  <c r="M316" i="9" s="1"/>
  <c r="M317" i="9" s="1"/>
  <c r="M318" i="9" s="1"/>
  <c r="M319" i="9" s="1"/>
  <c r="M320" i="9" s="1"/>
  <c r="M321" i="9" s="1"/>
  <c r="M322" i="9" s="1"/>
  <c r="M323" i="9" s="1"/>
  <c r="M324" i="9" s="1"/>
  <c r="M325" i="9" s="1"/>
  <c r="M326" i="9" s="1"/>
  <c r="M327" i="9" s="1"/>
  <c r="M328" i="9" s="1"/>
  <c r="M329" i="9" s="1"/>
  <c r="M330" i="9" s="1"/>
  <c r="M331" i="9" s="1"/>
  <c r="M332" i="9" s="1"/>
  <c r="M333" i="9" s="1"/>
  <c r="M334" i="9" s="1"/>
  <c r="M335" i="9" s="1"/>
  <c r="M336" i="9" s="1"/>
  <c r="M337" i="9" s="1"/>
  <c r="M338" i="9" s="1"/>
  <c r="M339" i="9" s="1"/>
  <c r="M340" i="9" s="1"/>
  <c r="M341" i="9" s="1"/>
  <c r="M342" i="9" s="1"/>
  <c r="M343" i="9" s="1"/>
  <c r="M344" i="9" s="1"/>
  <c r="M345" i="9" s="1"/>
  <c r="M346" i="9" s="1"/>
  <c r="M347" i="9" s="1"/>
  <c r="M348" i="9" s="1"/>
  <c r="M349" i="9" s="1"/>
  <c r="M350" i="9" s="1"/>
  <c r="M351" i="9" s="1"/>
  <c r="M352" i="9" s="1"/>
  <c r="M353" i="9" s="1"/>
  <c r="M354" i="9" s="1"/>
  <c r="M355" i="9" s="1"/>
  <c r="M356" i="9" s="1"/>
  <c r="M357" i="9" s="1"/>
  <c r="M358" i="9" s="1"/>
  <c r="M359" i="9" s="1"/>
  <c r="M360" i="9" s="1"/>
  <c r="M361" i="9" s="1"/>
  <c r="M362" i="9" s="1"/>
  <c r="M363" i="9" s="1"/>
  <c r="M364" i="9" s="1"/>
  <c r="M365" i="9" s="1"/>
  <c r="M366" i="9" s="1"/>
  <c r="M367" i="9" s="1"/>
  <c r="M368" i="9" s="1"/>
  <c r="M369" i="9" s="1"/>
  <c r="M370" i="9" s="1"/>
  <c r="M371" i="9" s="1"/>
  <c r="M372" i="9" s="1"/>
  <c r="M373" i="9" s="1"/>
  <c r="M374" i="9" s="1"/>
  <c r="M375" i="9" s="1"/>
  <c r="M376" i="9" s="1"/>
  <c r="M377" i="9" s="1"/>
  <c r="M378" i="9" s="1"/>
  <c r="M379" i="9" s="1"/>
  <c r="M380" i="9" s="1"/>
  <c r="M381" i="9" s="1"/>
  <c r="M382" i="9" s="1"/>
  <c r="M383" i="9" s="1"/>
  <c r="M384" i="9" s="1"/>
  <c r="M385" i="9" s="1"/>
  <c r="M386" i="9" s="1"/>
  <c r="M387" i="9" s="1"/>
  <c r="M388" i="9" s="1"/>
  <c r="M389" i="9" s="1"/>
  <c r="M390" i="9" s="1"/>
  <c r="M391" i="9" s="1"/>
  <c r="M392" i="9" s="1"/>
  <c r="M393" i="9" s="1"/>
  <c r="M394" i="9" s="1"/>
  <c r="M395" i="9" s="1"/>
  <c r="M396" i="9" s="1"/>
  <c r="M397" i="9" s="1"/>
  <c r="M398" i="9" s="1"/>
  <c r="M399" i="9" s="1"/>
  <c r="M400" i="9" s="1"/>
  <c r="M401" i="9" s="1"/>
  <c r="M402" i="9" s="1"/>
  <c r="M403" i="9" s="1"/>
  <c r="M404" i="9" s="1"/>
  <c r="M405" i="9" s="1"/>
  <c r="M406" i="9" s="1"/>
  <c r="M407" i="9" s="1"/>
  <c r="M408" i="9" s="1"/>
  <c r="M409" i="9" s="1"/>
  <c r="M410" i="9" s="1"/>
  <c r="M411" i="9" s="1"/>
  <c r="M412" i="9" s="1"/>
  <c r="M413" i="9" s="1"/>
  <c r="M414" i="9" s="1"/>
  <c r="M415" i="9" s="1"/>
  <c r="M416" i="9" s="1"/>
  <c r="M417" i="9" s="1"/>
  <c r="M418" i="9" s="1"/>
  <c r="M419" i="9" s="1"/>
  <c r="M420" i="9" s="1"/>
  <c r="M421" i="9" s="1"/>
  <c r="M422" i="9" s="1"/>
  <c r="M423" i="9" s="1"/>
  <c r="M424" i="9" s="1"/>
  <c r="M425" i="9" s="1"/>
  <c r="M426" i="9" s="1"/>
  <c r="M427" i="9" s="1"/>
  <c r="M428" i="9" s="1"/>
  <c r="M429" i="9" s="1"/>
  <c r="M430" i="9" s="1"/>
  <c r="M431" i="9" s="1"/>
  <c r="M432" i="9" s="1"/>
  <c r="M433" i="9" s="1"/>
  <c r="M434" i="9" s="1"/>
  <c r="M435" i="9" s="1"/>
  <c r="M436" i="9" s="1"/>
  <c r="M437" i="9" s="1"/>
  <c r="M438" i="9" s="1"/>
  <c r="M439" i="9" s="1"/>
  <c r="M440" i="9" s="1"/>
  <c r="M441" i="9" s="1"/>
  <c r="M442" i="9" s="1"/>
  <c r="M443" i="9" s="1"/>
  <c r="M444" i="9" s="1"/>
  <c r="M445" i="9" s="1"/>
  <c r="M446" i="9" s="1"/>
  <c r="M447" i="9" s="1"/>
  <c r="M448" i="9" s="1"/>
  <c r="M449" i="9" s="1"/>
  <c r="M450" i="9" s="1"/>
  <c r="M451" i="9" s="1"/>
  <c r="M452" i="9" s="1"/>
  <c r="M453" i="9" s="1"/>
  <c r="M454" i="9" s="1"/>
  <c r="M455" i="9" s="1"/>
  <c r="M456" i="9" s="1"/>
  <c r="M457" i="9" s="1"/>
  <c r="M458" i="9" s="1"/>
  <c r="M459" i="9" s="1"/>
  <c r="M460" i="9" s="1"/>
  <c r="M461" i="9" s="1"/>
  <c r="M462" i="9" s="1"/>
  <c r="M463" i="9" s="1"/>
  <c r="M464" i="9" s="1"/>
  <c r="M465" i="9" s="1"/>
  <c r="M466" i="9" s="1"/>
  <c r="M467" i="9" s="1"/>
  <c r="M468" i="9" s="1"/>
  <c r="M469" i="9" s="1"/>
  <c r="M470" i="9" s="1"/>
  <c r="M471" i="9" s="1"/>
  <c r="M472" i="9" s="1"/>
  <c r="M473" i="9" s="1"/>
  <c r="M474" i="9" s="1"/>
  <c r="M475" i="9" s="1"/>
  <c r="M476" i="9" s="1"/>
  <c r="M477" i="9" s="1"/>
  <c r="M478" i="9" s="1"/>
  <c r="M479" i="9" s="1"/>
  <c r="M480" i="9" s="1"/>
  <c r="M481" i="9" s="1"/>
  <c r="M482" i="9" s="1"/>
  <c r="M483" i="9" s="1"/>
  <c r="M484" i="9" s="1"/>
  <c r="M485" i="9" s="1"/>
  <c r="M486" i="9" s="1"/>
  <c r="M487" i="9" s="1"/>
  <c r="M488" i="9" s="1"/>
  <c r="M489" i="9" s="1"/>
  <c r="M490" i="9" s="1"/>
  <c r="M491" i="9" s="1"/>
  <c r="M492" i="9" s="1"/>
  <c r="M493" i="9" s="1"/>
  <c r="M494" i="9" s="1"/>
  <c r="M495" i="9" s="1"/>
  <c r="M496" i="9" s="1"/>
  <c r="M497" i="9" s="1"/>
  <c r="M498" i="9" s="1"/>
  <c r="M499" i="9" s="1"/>
  <c r="M500" i="9" s="1"/>
  <c r="M501" i="9" s="1"/>
  <c r="M502" i="9" s="1"/>
  <c r="M503" i="9" s="1"/>
  <c r="M504" i="9" s="1"/>
  <c r="M505" i="9" s="1"/>
  <c r="M506" i="9" s="1"/>
  <c r="M507" i="9" s="1"/>
  <c r="M508" i="9" s="1"/>
  <c r="M509" i="9" s="1"/>
  <c r="M510" i="9" s="1"/>
  <c r="M511" i="9" s="1"/>
  <c r="M512" i="9" s="1"/>
  <c r="M513" i="9" s="1"/>
  <c r="M514" i="9" s="1"/>
  <c r="M515" i="9" s="1"/>
  <c r="M516" i="9" s="1"/>
  <c r="M517" i="9" s="1"/>
  <c r="M518" i="9" s="1"/>
  <c r="M519" i="9" s="1"/>
  <c r="M520" i="9" s="1"/>
  <c r="M521" i="9" s="1"/>
  <c r="M522" i="9" s="1"/>
  <c r="M523" i="9" s="1"/>
  <c r="M524" i="9" s="1"/>
  <c r="M525" i="9" s="1"/>
  <c r="M526" i="9" s="1"/>
  <c r="M527" i="9" s="1"/>
  <c r="M528" i="9" s="1"/>
  <c r="M529" i="9" s="1"/>
  <c r="M530" i="9" s="1"/>
  <c r="M531" i="9" s="1"/>
  <c r="M532" i="9" s="1"/>
  <c r="M533" i="9" s="1"/>
  <c r="M534" i="9" s="1"/>
  <c r="M535" i="9" s="1"/>
  <c r="M536" i="9" s="1"/>
  <c r="M537" i="9" s="1"/>
  <c r="M538" i="9" s="1"/>
  <c r="M539" i="9" s="1"/>
  <c r="M540" i="9" s="1"/>
  <c r="M541" i="9" s="1"/>
  <c r="M542" i="9" s="1"/>
  <c r="M543" i="9" s="1"/>
  <c r="M544" i="9" s="1"/>
  <c r="M545" i="9" s="1"/>
  <c r="M546" i="9" s="1"/>
  <c r="M547" i="9" s="1"/>
  <c r="M548" i="9" s="1"/>
  <c r="M549" i="9" s="1"/>
  <c r="M550" i="9" s="1"/>
  <c r="M551" i="9" s="1"/>
  <c r="M552" i="9" s="1"/>
  <c r="M553" i="9" s="1"/>
  <c r="M554" i="9" s="1"/>
  <c r="M555" i="9" s="1"/>
  <c r="M556" i="9" s="1"/>
  <c r="M557" i="9" s="1"/>
  <c r="M558" i="9" s="1"/>
  <c r="M559" i="9" s="1"/>
  <c r="M560" i="9" s="1"/>
  <c r="M561" i="9" s="1"/>
  <c r="M562" i="9" s="1"/>
  <c r="M563" i="9" s="1"/>
  <c r="M564" i="9" s="1"/>
  <c r="M565" i="9" s="1"/>
  <c r="M566" i="9" s="1"/>
  <c r="M567" i="9" s="1"/>
  <c r="M568" i="9" s="1"/>
  <c r="M569" i="9" s="1"/>
  <c r="M570" i="9" s="1"/>
  <c r="M571" i="9" s="1"/>
  <c r="M572" i="9" s="1"/>
  <c r="M573" i="9" s="1"/>
  <c r="M574" i="9" s="1"/>
  <c r="M575" i="9" s="1"/>
  <c r="M576" i="9" s="1"/>
  <c r="M577" i="9" s="1"/>
  <c r="M578" i="9" s="1"/>
  <c r="M579" i="9" s="1"/>
  <c r="M580" i="9" s="1"/>
  <c r="M581" i="9" s="1"/>
  <c r="M582" i="9" s="1"/>
  <c r="M583" i="9" s="1"/>
  <c r="M584" i="9" s="1"/>
  <c r="M585" i="9" s="1"/>
  <c r="M586" i="9" s="1"/>
  <c r="M587" i="9" s="1"/>
  <c r="M588" i="9" s="1"/>
  <c r="M589" i="9" s="1"/>
  <c r="M590" i="9" s="1"/>
  <c r="M591" i="9" s="1"/>
  <c r="M592" i="9" s="1"/>
  <c r="M593" i="9" s="1"/>
  <c r="M594" i="9" s="1"/>
  <c r="M595" i="9" s="1"/>
  <c r="M596" i="9" s="1"/>
  <c r="M597" i="9" s="1"/>
  <c r="M598" i="9" s="1"/>
  <c r="M599" i="9" s="1"/>
  <c r="M600" i="9" s="1"/>
  <c r="M601" i="9" s="1"/>
  <c r="M602" i="9" s="1"/>
  <c r="M603" i="9" s="1"/>
  <c r="M604" i="9" s="1"/>
  <c r="M605" i="9" s="1"/>
  <c r="M606" i="9" s="1"/>
  <c r="M607" i="9" s="1"/>
  <c r="M608" i="9" s="1"/>
  <c r="M609" i="9" s="1"/>
  <c r="M610" i="9" s="1"/>
  <c r="M611" i="9" s="1"/>
  <c r="M612" i="9" s="1"/>
  <c r="M613" i="9" s="1"/>
  <c r="M614" i="9" s="1"/>
  <c r="M615" i="9" s="1"/>
  <c r="M616" i="9" s="1"/>
  <c r="M617" i="9" s="1"/>
  <c r="M618" i="9" s="1"/>
  <c r="M619" i="9" s="1"/>
  <c r="M620" i="9" s="1"/>
  <c r="M621" i="9" s="1"/>
  <c r="M622" i="9" s="1"/>
  <c r="M623" i="9" s="1"/>
  <c r="M624" i="9" s="1"/>
  <c r="M625" i="9" s="1"/>
  <c r="M626" i="9" s="1"/>
  <c r="M627" i="9" s="1"/>
  <c r="M628" i="9" s="1"/>
  <c r="M629" i="9" s="1"/>
  <c r="M630" i="9" s="1"/>
  <c r="M631" i="9" s="1"/>
  <c r="M632" i="9" s="1"/>
  <c r="M633" i="9" s="1"/>
  <c r="M634" i="9" s="1"/>
  <c r="M635" i="9" s="1"/>
  <c r="M636" i="9" s="1"/>
  <c r="M637" i="9" s="1"/>
  <c r="M638" i="9" s="1"/>
  <c r="M639" i="9" s="1"/>
  <c r="M640" i="9" s="1"/>
  <c r="M641" i="9" s="1"/>
  <c r="M642" i="9" s="1"/>
  <c r="M643" i="9" s="1"/>
  <c r="M644" i="9" s="1"/>
  <c r="M645" i="9" s="1"/>
  <c r="M646" i="9" s="1"/>
  <c r="M647" i="9" s="1"/>
  <c r="M648" i="9" s="1"/>
  <c r="M649" i="9" s="1"/>
  <c r="M650" i="9" s="1"/>
  <c r="M651" i="9" s="1"/>
  <c r="M652" i="9" s="1"/>
  <c r="M653" i="9" s="1"/>
  <c r="M654" i="9" s="1"/>
  <c r="M655" i="9" s="1"/>
  <c r="M656" i="9" s="1"/>
  <c r="M657" i="9" s="1"/>
  <c r="M658" i="9" s="1"/>
  <c r="M659" i="9" s="1"/>
  <c r="M660" i="9" s="1"/>
  <c r="M661" i="9" s="1"/>
  <c r="M662" i="9" s="1"/>
  <c r="M663" i="9" s="1"/>
  <c r="M664" i="9" s="1"/>
  <c r="M665" i="9" s="1"/>
  <c r="M666" i="9" s="1"/>
  <c r="M667" i="9" s="1"/>
  <c r="M668" i="9" s="1"/>
  <c r="M669" i="9" s="1"/>
  <c r="M670" i="9" s="1"/>
  <c r="M671" i="9" s="1"/>
  <c r="M672" i="9" s="1"/>
  <c r="M673" i="9" s="1"/>
  <c r="M674" i="9" s="1"/>
  <c r="M675" i="9" s="1"/>
  <c r="M676" i="9" s="1"/>
  <c r="M677" i="9" s="1"/>
  <c r="M678" i="9" s="1"/>
  <c r="M679" i="9" s="1"/>
  <c r="M680" i="9" s="1"/>
  <c r="M681" i="9" s="1"/>
  <c r="M682" i="9" s="1"/>
  <c r="M683" i="9" s="1"/>
  <c r="M684" i="9" s="1"/>
  <c r="M685" i="9" s="1"/>
  <c r="M686" i="9" s="1"/>
  <c r="M687" i="9" s="1"/>
  <c r="M688" i="9" s="1"/>
  <c r="M689" i="9" s="1"/>
  <c r="M690" i="9" s="1"/>
  <c r="M691" i="9" s="1"/>
  <c r="M692" i="9" s="1"/>
  <c r="M693" i="9" s="1"/>
  <c r="M694" i="9" s="1"/>
  <c r="M695" i="9" s="1"/>
  <c r="M696" i="9" s="1"/>
  <c r="M697" i="9" s="1"/>
  <c r="M698" i="9" s="1"/>
  <c r="M699" i="9" s="1"/>
  <c r="M700" i="9" s="1"/>
  <c r="M701" i="9" s="1"/>
  <c r="M702" i="9" s="1"/>
  <c r="M703" i="9" s="1"/>
  <c r="M704" i="9" s="1"/>
  <c r="M705" i="9" s="1"/>
  <c r="M706" i="9" s="1"/>
  <c r="M707" i="9" s="1"/>
  <c r="M708" i="9" s="1"/>
  <c r="M709" i="9" s="1"/>
  <c r="M710" i="9" s="1"/>
  <c r="M711" i="9" s="1"/>
  <c r="M712" i="9" s="1"/>
  <c r="M713" i="9" s="1"/>
  <c r="M714" i="9" s="1"/>
  <c r="M715" i="9" s="1"/>
  <c r="M716" i="9" s="1"/>
  <c r="M717" i="9" s="1"/>
  <c r="M718" i="9" s="1"/>
  <c r="M719" i="9" s="1"/>
  <c r="M720" i="9" s="1"/>
  <c r="M721" i="9" s="1"/>
  <c r="M722" i="9" s="1"/>
  <c r="M723" i="9" s="1"/>
  <c r="M724" i="9" s="1"/>
  <c r="M725" i="9" s="1"/>
  <c r="M726" i="9" s="1"/>
  <c r="M727" i="9" s="1"/>
  <c r="M728" i="9" s="1"/>
  <c r="M729" i="9" s="1"/>
  <c r="M730" i="9" s="1"/>
  <c r="M731" i="9" s="1"/>
  <c r="M732" i="9" s="1"/>
  <c r="M733" i="9" s="1"/>
  <c r="M734" i="9" s="1"/>
  <c r="M735" i="9" s="1"/>
  <c r="M736" i="9" s="1"/>
  <c r="M737" i="9" s="1"/>
  <c r="M738" i="9" s="1"/>
  <c r="M739" i="9" s="1"/>
  <c r="M740" i="9" s="1"/>
  <c r="M741" i="9" s="1"/>
  <c r="M742" i="9" s="1"/>
  <c r="M743" i="9" s="1"/>
  <c r="M744" i="9" s="1"/>
  <c r="M745" i="9" s="1"/>
  <c r="M746" i="9" s="1"/>
  <c r="M747" i="9" s="1"/>
  <c r="M748" i="9" s="1"/>
  <c r="M749" i="9" s="1"/>
  <c r="M750" i="9" s="1"/>
  <c r="M751" i="9" s="1"/>
  <c r="M752" i="9" s="1"/>
  <c r="M753" i="9" s="1"/>
  <c r="M754" i="9" s="1"/>
  <c r="M755" i="9" s="1"/>
  <c r="M756" i="9" s="1"/>
  <c r="M757" i="9" s="1"/>
  <c r="M758" i="9" s="1"/>
  <c r="M759" i="9" s="1"/>
  <c r="M760" i="9" s="1"/>
  <c r="M761" i="9" s="1"/>
  <c r="M762" i="9" s="1"/>
  <c r="M763" i="9" s="1"/>
  <c r="M764" i="9" s="1"/>
  <c r="M765" i="9" s="1"/>
  <c r="M766" i="9" s="1"/>
  <c r="M767" i="9" s="1"/>
  <c r="M768" i="9" s="1"/>
  <c r="M769" i="9" s="1"/>
  <c r="M770" i="9" s="1"/>
  <c r="M771" i="9" s="1"/>
  <c r="M772" i="9" s="1"/>
  <c r="M773" i="9" s="1"/>
  <c r="M774" i="9" s="1"/>
  <c r="M775" i="9" s="1"/>
  <c r="M776" i="9" s="1"/>
  <c r="M777" i="9" s="1"/>
  <c r="M778" i="9" s="1"/>
  <c r="M779" i="9" s="1"/>
  <c r="M780" i="9" s="1"/>
  <c r="M781" i="9" s="1"/>
  <c r="M782" i="9" s="1"/>
  <c r="M783" i="9" s="1"/>
  <c r="M784" i="9" s="1"/>
  <c r="M785" i="9" s="1"/>
  <c r="M786" i="9" s="1"/>
  <c r="M787" i="9" s="1"/>
  <c r="M788" i="9" s="1"/>
  <c r="M789" i="9" s="1"/>
  <c r="M790" i="9" s="1"/>
  <c r="M791" i="9" s="1"/>
  <c r="M792" i="9" s="1"/>
  <c r="M793" i="9" s="1"/>
  <c r="M794" i="9" s="1"/>
  <c r="M795" i="9" s="1"/>
  <c r="M796" i="9" s="1"/>
  <c r="M797" i="9" s="1"/>
  <c r="M798" i="9" s="1"/>
  <c r="M799" i="9" s="1"/>
  <c r="M800" i="9" s="1"/>
  <c r="M801" i="9" s="1"/>
  <c r="M802" i="9" s="1"/>
  <c r="M803" i="9" s="1"/>
  <c r="M804" i="9" s="1"/>
  <c r="M805" i="9" s="1"/>
  <c r="M806" i="9" s="1"/>
  <c r="M807" i="9" s="1"/>
  <c r="M808" i="9" s="1"/>
  <c r="M809" i="9" s="1"/>
  <c r="M810" i="9" s="1"/>
  <c r="M811" i="9" s="1"/>
  <c r="M812" i="9" s="1"/>
  <c r="M813" i="9" s="1"/>
  <c r="M814" i="9" s="1"/>
  <c r="M815" i="9" s="1"/>
  <c r="M816" i="9" s="1"/>
  <c r="M817" i="9" s="1"/>
  <c r="M818" i="9" s="1"/>
  <c r="M819" i="9" s="1"/>
  <c r="M820" i="9" s="1"/>
  <c r="M821" i="9" s="1"/>
  <c r="M822" i="9" s="1"/>
  <c r="M823" i="9" s="1"/>
  <c r="M824" i="9" s="1"/>
  <c r="M825" i="9" s="1"/>
  <c r="M826" i="9" s="1"/>
  <c r="M827" i="9" s="1"/>
  <c r="M828" i="9" s="1"/>
  <c r="M829" i="9" s="1"/>
  <c r="M830" i="9" s="1"/>
  <c r="M831" i="9" s="1"/>
  <c r="M832" i="9" s="1"/>
  <c r="M833" i="9" s="1"/>
  <c r="M834" i="9" s="1"/>
  <c r="M835" i="9" s="1"/>
  <c r="M836" i="9" s="1"/>
  <c r="M837" i="9" s="1"/>
  <c r="M838" i="9" s="1"/>
  <c r="M839" i="9" s="1"/>
  <c r="M840" i="9" s="1"/>
  <c r="M841" i="9" s="1"/>
  <c r="M842" i="9" s="1"/>
  <c r="M843" i="9" s="1"/>
  <c r="M844" i="9" s="1"/>
  <c r="M845" i="9" s="1"/>
  <c r="M846" i="9" s="1"/>
  <c r="M847" i="9" s="1"/>
  <c r="M848" i="9" s="1"/>
  <c r="M849" i="9" s="1"/>
  <c r="M850" i="9" s="1"/>
  <c r="M851" i="9" s="1"/>
  <c r="M852" i="9" s="1"/>
  <c r="M853" i="9" s="1"/>
  <c r="M854" i="9" s="1"/>
  <c r="M855" i="9" s="1"/>
  <c r="M856" i="9" s="1"/>
  <c r="M857" i="9" s="1"/>
  <c r="M858" i="9" s="1"/>
  <c r="M859" i="9" s="1"/>
  <c r="M860" i="9" s="1"/>
  <c r="M861" i="9" s="1"/>
  <c r="M862" i="9" s="1"/>
  <c r="M863" i="9" s="1"/>
  <c r="M864" i="9" s="1"/>
  <c r="M865" i="9" s="1"/>
  <c r="M866" i="9" s="1"/>
  <c r="M867" i="9" s="1"/>
  <c r="M868" i="9" s="1"/>
  <c r="M869" i="9" s="1"/>
  <c r="M870" i="9" s="1"/>
  <c r="M871" i="9" s="1"/>
  <c r="M872" i="9" s="1"/>
  <c r="M873" i="9" s="1"/>
  <c r="M874" i="9" s="1"/>
  <c r="M875" i="9" s="1"/>
  <c r="M876" i="9" s="1"/>
  <c r="M877" i="9" s="1"/>
  <c r="M878" i="9" s="1"/>
  <c r="M879" i="9" s="1"/>
  <c r="M880" i="9" s="1"/>
  <c r="M881" i="9" s="1"/>
  <c r="M882" i="9" s="1"/>
  <c r="M883" i="9" s="1"/>
  <c r="M884" i="9" s="1"/>
  <c r="M885" i="9" s="1"/>
  <c r="M886" i="9" s="1"/>
  <c r="M887" i="9" s="1"/>
  <c r="M888" i="9" s="1"/>
  <c r="M889" i="9" s="1"/>
  <c r="M890" i="9" s="1"/>
  <c r="M891" i="9" s="1"/>
  <c r="M892" i="9" s="1"/>
  <c r="M893" i="9" s="1"/>
  <c r="M894" i="9" s="1"/>
  <c r="M895" i="9" s="1"/>
  <c r="M896" i="9" s="1"/>
  <c r="M897" i="9" s="1"/>
  <c r="M898" i="9" s="1"/>
  <c r="M899" i="9" s="1"/>
  <c r="M900" i="9" s="1"/>
  <c r="M901" i="9" s="1"/>
  <c r="M902" i="9" s="1"/>
  <c r="M903" i="9" s="1"/>
  <c r="M904" i="9" s="1"/>
  <c r="M905" i="9" s="1"/>
  <c r="M906" i="9" s="1"/>
  <c r="M907" i="9" s="1"/>
  <c r="M908" i="9" s="1"/>
  <c r="M909" i="9" s="1"/>
  <c r="M910" i="9" s="1"/>
  <c r="M911" i="9" s="1"/>
  <c r="M912" i="9" s="1"/>
  <c r="M913" i="9" s="1"/>
  <c r="M914" i="9" s="1"/>
  <c r="M915" i="9" s="1"/>
  <c r="M916" i="9" s="1"/>
  <c r="M917" i="9" s="1"/>
  <c r="M918" i="9" s="1"/>
  <c r="M919" i="9" s="1"/>
  <c r="M920" i="9" s="1"/>
  <c r="M921" i="9" s="1"/>
  <c r="M922" i="9" s="1"/>
  <c r="M923" i="9" s="1"/>
  <c r="M924" i="9" s="1"/>
  <c r="M925" i="9" s="1"/>
  <c r="M926" i="9" s="1"/>
  <c r="M927" i="9" s="1"/>
  <c r="M928" i="9" s="1"/>
  <c r="M929" i="9" s="1"/>
  <c r="M930" i="9" s="1"/>
  <c r="M931" i="9" s="1"/>
  <c r="M932" i="9" s="1"/>
  <c r="M933" i="9" s="1"/>
  <c r="M934" i="9" s="1"/>
  <c r="M935" i="9" s="1"/>
  <c r="M936" i="9" s="1"/>
  <c r="M937" i="9" s="1"/>
  <c r="M938" i="9" s="1"/>
  <c r="M939" i="9" s="1"/>
  <c r="M940" i="9" s="1"/>
  <c r="M941" i="9" s="1"/>
  <c r="M942" i="9" s="1"/>
  <c r="M943" i="9" s="1"/>
  <c r="M944" i="9" s="1"/>
  <c r="M945" i="9" s="1"/>
  <c r="M946" i="9" s="1"/>
  <c r="M947" i="9" s="1"/>
  <c r="M948" i="9" s="1"/>
  <c r="M949" i="9" s="1"/>
  <c r="M950" i="9" s="1"/>
  <c r="M951" i="9" s="1"/>
  <c r="M952" i="9" s="1"/>
  <c r="M953" i="9" s="1"/>
  <c r="M954" i="9" s="1"/>
  <c r="M955" i="9" s="1"/>
  <c r="M956" i="9" s="1"/>
  <c r="M957" i="9" s="1"/>
  <c r="M958" i="9" s="1"/>
  <c r="M959" i="9" s="1"/>
  <c r="M960" i="9" s="1"/>
  <c r="M961" i="9" s="1"/>
  <c r="M962" i="9" s="1"/>
  <c r="M963" i="9" s="1"/>
  <c r="M964" i="9" s="1"/>
  <c r="M965" i="9" s="1"/>
  <c r="M966" i="9" s="1"/>
  <c r="M967" i="9" s="1"/>
  <c r="M968" i="9" s="1"/>
  <c r="M969" i="9" s="1"/>
  <c r="M970" i="9" s="1"/>
  <c r="M971" i="9" s="1"/>
  <c r="M972" i="9" s="1"/>
  <c r="M973" i="9" s="1"/>
  <c r="M974" i="9" s="1"/>
  <c r="M975" i="9" s="1"/>
  <c r="M976" i="9" s="1"/>
  <c r="M977" i="9" s="1"/>
  <c r="M978" i="9" s="1"/>
  <c r="M979" i="9" s="1"/>
  <c r="M980" i="9" s="1"/>
  <c r="M981" i="9" s="1"/>
  <c r="M982" i="9" s="1"/>
  <c r="M983" i="9" s="1"/>
  <c r="M984" i="9" s="1"/>
  <c r="M985" i="9" s="1"/>
  <c r="M986" i="9" s="1"/>
  <c r="M987" i="9" s="1"/>
  <c r="M988" i="9" s="1"/>
  <c r="M989" i="9" s="1"/>
  <c r="M990" i="9" s="1"/>
  <c r="M991" i="9" s="1"/>
  <c r="M992" i="9" s="1"/>
  <c r="M993" i="9" s="1"/>
  <c r="M994" i="9" s="1"/>
  <c r="M995" i="9" s="1"/>
  <c r="M996" i="9" s="1"/>
  <c r="M997" i="9" s="1"/>
  <c r="M998" i="9" s="1"/>
  <c r="M999" i="9" s="1"/>
  <c r="M1000" i="9" s="1"/>
  <c r="M1001" i="9" s="1"/>
  <c r="M1002" i="9" s="1"/>
  <c r="M1003" i="9" s="1"/>
  <c r="M1004" i="9" s="1"/>
  <c r="M1005" i="9" s="1"/>
  <c r="M1006" i="9" s="1"/>
  <c r="M1007" i="9" s="1"/>
  <c r="M1008" i="9" s="1"/>
  <c r="M1009" i="9" s="1"/>
  <c r="M1010" i="9" s="1"/>
  <c r="M1011" i="9" s="1"/>
  <c r="M1012" i="9" s="1"/>
  <c r="M1013" i="9" s="1"/>
  <c r="M1014" i="9" s="1"/>
  <c r="M1015" i="9" s="1"/>
  <c r="M1016" i="9" s="1"/>
  <c r="M1017" i="9" s="1"/>
  <c r="M1018" i="9" s="1"/>
  <c r="M1019" i="9" s="1"/>
  <c r="M1020" i="9" s="1"/>
  <c r="M1021" i="9" s="1"/>
  <c r="M1022" i="9" s="1"/>
  <c r="M1023" i="9" s="1"/>
  <c r="M1024" i="9" s="1"/>
  <c r="M1025" i="9" s="1"/>
  <c r="M1026" i="9" s="1"/>
  <c r="M1027" i="9" s="1"/>
  <c r="M1028" i="9" s="1"/>
  <c r="M1029" i="9" s="1"/>
  <c r="M1030" i="9" s="1"/>
  <c r="M1031" i="9" s="1"/>
  <c r="M1032" i="9" s="1"/>
  <c r="M1033" i="9" s="1"/>
  <c r="M1034" i="9" s="1"/>
  <c r="M1035" i="9" s="1"/>
  <c r="M1036" i="9" s="1"/>
  <c r="M1037" i="9" s="1"/>
  <c r="M1038" i="9" s="1"/>
  <c r="M1039" i="9" s="1"/>
  <c r="M1040" i="9" s="1"/>
  <c r="M1041" i="9" s="1"/>
  <c r="M1042" i="9" s="1"/>
  <c r="M1043" i="9" s="1"/>
  <c r="M1044" i="9" s="1"/>
  <c r="M1045" i="9" s="1"/>
  <c r="M1046" i="9" s="1"/>
  <c r="M1047" i="9" s="1"/>
  <c r="M1048" i="9" s="1"/>
  <c r="M1049" i="9" s="1"/>
  <c r="M1050" i="9" s="1"/>
  <c r="M1051" i="9" s="1"/>
  <c r="M1052" i="9" s="1"/>
  <c r="M1053" i="9" s="1"/>
  <c r="M1054" i="9" s="1"/>
  <c r="M1055" i="9" s="1"/>
  <c r="M1056" i="9" s="1"/>
  <c r="M1057" i="9" s="1"/>
  <c r="M1058" i="9" s="1"/>
  <c r="M1059" i="9" s="1"/>
  <c r="M1060" i="9" s="1"/>
  <c r="M1061" i="9" s="1"/>
  <c r="M1062" i="9" s="1"/>
  <c r="M1063" i="9" s="1"/>
  <c r="M1064" i="9" s="1"/>
  <c r="M1065" i="9" s="1"/>
  <c r="M1066" i="9" s="1"/>
  <c r="M1067" i="9" s="1"/>
  <c r="M1068" i="9" s="1"/>
  <c r="M1069" i="9" s="1"/>
  <c r="M1070" i="9" s="1"/>
  <c r="M1071" i="9" s="1"/>
  <c r="M1072" i="9" s="1"/>
  <c r="M1073" i="9" s="1"/>
  <c r="M1074" i="9" s="1"/>
  <c r="M1075" i="9" s="1"/>
  <c r="M1076" i="9" s="1"/>
  <c r="M1077" i="9" s="1"/>
  <c r="M1078" i="9" s="1"/>
  <c r="M1079" i="9" s="1"/>
  <c r="M1080" i="9" s="1"/>
  <c r="M1081" i="9" s="1"/>
  <c r="M1082" i="9" s="1"/>
  <c r="M1083" i="9" s="1"/>
  <c r="M1084" i="9" s="1"/>
  <c r="M1085" i="9" s="1"/>
  <c r="M1086" i="9" s="1"/>
  <c r="M1087" i="9" s="1"/>
  <c r="M1088" i="9" s="1"/>
  <c r="M1089" i="9" s="1"/>
  <c r="M1090" i="9" s="1"/>
  <c r="M1091" i="9" s="1"/>
  <c r="M1092" i="9" s="1"/>
  <c r="M1093" i="9" s="1"/>
  <c r="M1094" i="9" s="1"/>
  <c r="M1095" i="9" s="1"/>
  <c r="M1096" i="9" s="1"/>
  <c r="M1097" i="9" s="1"/>
  <c r="M1098" i="9" s="1"/>
  <c r="M1099" i="9" s="1"/>
  <c r="M1100" i="9" s="1"/>
  <c r="M1101" i="9" s="1"/>
  <c r="M1102" i="9" s="1"/>
  <c r="M1103" i="9" s="1"/>
  <c r="M1104" i="9" s="1"/>
  <c r="M1105" i="9" s="1"/>
  <c r="M1106" i="9" s="1"/>
  <c r="M1107" i="9" s="1"/>
  <c r="M1108" i="9" s="1"/>
  <c r="M1109" i="9" s="1"/>
  <c r="M1110" i="9" s="1"/>
  <c r="M1111" i="9" s="1"/>
  <c r="M1112" i="9" s="1"/>
  <c r="M1113" i="9" s="1"/>
  <c r="M1114" i="9" s="1"/>
  <c r="M1115" i="9" s="1"/>
  <c r="M1116" i="9" s="1"/>
  <c r="M1117" i="9" s="1"/>
  <c r="M1118" i="9" s="1"/>
  <c r="M1119" i="9" s="1"/>
  <c r="M1120" i="9" s="1"/>
  <c r="M1121" i="9" s="1"/>
  <c r="M1122" i="9" s="1"/>
  <c r="M1123" i="9" s="1"/>
  <c r="M1124" i="9" s="1"/>
  <c r="M1125" i="9" s="1"/>
  <c r="M1126" i="9" s="1"/>
  <c r="M1127" i="9" s="1"/>
  <c r="M1128" i="9" s="1"/>
  <c r="M1129" i="9" s="1"/>
  <c r="M1130" i="9" s="1"/>
  <c r="M1131" i="9" s="1"/>
  <c r="M1132" i="9" s="1"/>
  <c r="M1133" i="9" s="1"/>
  <c r="M1134" i="9" s="1"/>
  <c r="M1135" i="9" s="1"/>
  <c r="M1136" i="9" s="1"/>
  <c r="M1137" i="9" s="1"/>
  <c r="M1138" i="9" s="1"/>
  <c r="M1139" i="9" s="1"/>
  <c r="M1140" i="9" s="1"/>
  <c r="M1141" i="9" s="1"/>
  <c r="M1142" i="9" s="1"/>
  <c r="M1143" i="9" s="1"/>
  <c r="M1144" i="9" s="1"/>
  <c r="M1145" i="9" s="1"/>
  <c r="M1146" i="9" s="1"/>
  <c r="M1147" i="9" s="1"/>
  <c r="M1148" i="9" s="1"/>
  <c r="M1149" i="9" s="1"/>
  <c r="M1150" i="9" s="1"/>
  <c r="M1151" i="9" s="1"/>
  <c r="M1152" i="9" s="1"/>
  <c r="M1153" i="9" s="1"/>
  <c r="M1154" i="9" s="1"/>
  <c r="M1155" i="9" s="1"/>
  <c r="M1156" i="9" s="1"/>
  <c r="M1157" i="9" s="1"/>
  <c r="M1158" i="9" s="1"/>
  <c r="M1159" i="9" s="1"/>
  <c r="M1160" i="9" s="1"/>
  <c r="M1161" i="9" s="1"/>
  <c r="M1162" i="9" s="1"/>
  <c r="M1163" i="9" s="1"/>
  <c r="M1164" i="9" s="1"/>
  <c r="M1165" i="9" s="1"/>
  <c r="M1166" i="9" s="1"/>
  <c r="M1167" i="9" s="1"/>
  <c r="M1168" i="9" s="1"/>
  <c r="M1169" i="9" s="1"/>
  <c r="M1170" i="9" s="1"/>
  <c r="M1171" i="9" s="1"/>
  <c r="M1172" i="9" s="1"/>
  <c r="M1173" i="9" s="1"/>
  <c r="M1174" i="9" s="1"/>
  <c r="M1175" i="9" s="1"/>
  <c r="M1176" i="9" s="1"/>
  <c r="M1177" i="9" s="1"/>
  <c r="M1178" i="9" s="1"/>
  <c r="M1179" i="9" s="1"/>
  <c r="M1180" i="9" s="1"/>
  <c r="M1181" i="9" s="1"/>
  <c r="M1182" i="9" s="1"/>
  <c r="M1183" i="9" s="1"/>
  <c r="M1184" i="9" s="1"/>
  <c r="M1185" i="9" s="1"/>
  <c r="M1186" i="9" s="1"/>
  <c r="M1187" i="9" s="1"/>
  <c r="M1188" i="9" s="1"/>
  <c r="M1189" i="9" s="1"/>
  <c r="M1190" i="9" s="1"/>
  <c r="M1191" i="9" s="1"/>
  <c r="M1192" i="9" s="1"/>
  <c r="M1193" i="9" s="1"/>
  <c r="M1194" i="9" s="1"/>
  <c r="M1195" i="9" s="1"/>
  <c r="M1196" i="9" s="1"/>
  <c r="M1197" i="9" s="1"/>
  <c r="M1198" i="9" s="1"/>
  <c r="M1199" i="9" s="1"/>
  <c r="M1200" i="9" s="1"/>
  <c r="M1201" i="9" s="1"/>
  <c r="M1202" i="9" s="1"/>
  <c r="M1203" i="9" s="1"/>
  <c r="M1204" i="9" s="1"/>
  <c r="M1205" i="9" s="1"/>
  <c r="M1206" i="9" s="1"/>
  <c r="M1207" i="9" s="1"/>
  <c r="M1208" i="9" s="1"/>
  <c r="M1209" i="9" s="1"/>
  <c r="M1210" i="9" s="1"/>
  <c r="M1211" i="9" s="1"/>
  <c r="M1212" i="9" s="1"/>
  <c r="M1213" i="9" s="1"/>
  <c r="M1214" i="9" s="1"/>
  <c r="M1215" i="9" s="1"/>
  <c r="M1216" i="9" s="1"/>
  <c r="M1217" i="9" s="1"/>
  <c r="M1218" i="9" s="1"/>
  <c r="M1219" i="9" s="1"/>
  <c r="M1220" i="9" s="1"/>
  <c r="M1221" i="9" s="1"/>
  <c r="M1222" i="9" s="1"/>
  <c r="M1223" i="9" s="1"/>
  <c r="M1224" i="9" s="1"/>
  <c r="M1225" i="9" s="1"/>
  <c r="M1226" i="9" s="1"/>
  <c r="M1227" i="9" s="1"/>
  <c r="M1228" i="9" s="1"/>
  <c r="M1229" i="9" s="1"/>
  <c r="M1230" i="9" s="1"/>
  <c r="M1231" i="9" s="1"/>
  <c r="M1232" i="9" s="1"/>
  <c r="M1233" i="9" s="1"/>
  <c r="M1234" i="9" s="1"/>
  <c r="M1235" i="9" s="1"/>
  <c r="M1236" i="9" s="1"/>
  <c r="M1237" i="9" s="1"/>
  <c r="M1238" i="9" s="1"/>
  <c r="M1239" i="9" s="1"/>
  <c r="M1240" i="9" s="1"/>
  <c r="M1241" i="9" s="1"/>
  <c r="M1242" i="9" s="1"/>
  <c r="M1243" i="9" s="1"/>
  <c r="M1244" i="9" s="1"/>
  <c r="M1245" i="9" s="1"/>
  <c r="M1246" i="9" s="1"/>
  <c r="M1247" i="9" s="1"/>
  <c r="M1248" i="9" s="1"/>
  <c r="M1249" i="9" s="1"/>
  <c r="M1250" i="9" s="1"/>
  <c r="M1251" i="9" s="1"/>
  <c r="M1252" i="9" s="1"/>
  <c r="M1253" i="9" s="1"/>
  <c r="M1254" i="9" s="1"/>
  <c r="M1255" i="9" s="1"/>
  <c r="M1256" i="9" s="1"/>
  <c r="M1257" i="9" s="1"/>
  <c r="M1258" i="9" s="1"/>
  <c r="M1259" i="9" s="1"/>
  <c r="M1260" i="9" s="1"/>
  <c r="M1261" i="9" s="1"/>
  <c r="M1262" i="9" s="1"/>
  <c r="M1263" i="9" s="1"/>
  <c r="M1264" i="9" s="1"/>
  <c r="M1265" i="9" s="1"/>
  <c r="M1266" i="9" s="1"/>
  <c r="M1267" i="9" s="1"/>
  <c r="M1268" i="9" s="1"/>
  <c r="M1269" i="9" s="1"/>
  <c r="M1270" i="9" s="1"/>
  <c r="M1271" i="9" s="1"/>
  <c r="M1272" i="9" s="1"/>
  <c r="M1273" i="9" s="1"/>
  <c r="M1274" i="9" s="1"/>
  <c r="M1275" i="9" s="1"/>
  <c r="M1276" i="9" s="1"/>
  <c r="M1277" i="9" s="1"/>
  <c r="M1278" i="9" s="1"/>
  <c r="M1279" i="9" s="1"/>
  <c r="M1280" i="9" s="1"/>
  <c r="M1281" i="9" s="1"/>
  <c r="M1282" i="9" s="1"/>
  <c r="M1283" i="9" s="1"/>
  <c r="M1284" i="9" s="1"/>
  <c r="M1285" i="9" s="1"/>
  <c r="M1286" i="9" s="1"/>
  <c r="M1287" i="9" s="1"/>
  <c r="M1288" i="9" s="1"/>
  <c r="M1289" i="9" s="1"/>
  <c r="M1290" i="9" s="1"/>
  <c r="M1291" i="9" s="1"/>
  <c r="M1292" i="9" s="1"/>
  <c r="M1293" i="9" s="1"/>
  <c r="M1294" i="9" s="1"/>
  <c r="M1295" i="9" s="1"/>
  <c r="M1296" i="9" s="1"/>
  <c r="M1297" i="9" s="1"/>
  <c r="M1298" i="9" s="1"/>
  <c r="M1299" i="9" s="1"/>
  <c r="M1300" i="9" s="1"/>
  <c r="M1301" i="9" s="1"/>
  <c r="M1302" i="9" s="1"/>
  <c r="M1303" i="9" s="1"/>
  <c r="M1304" i="9" s="1"/>
  <c r="M1305" i="9" s="1"/>
  <c r="M1306" i="9" s="1"/>
  <c r="M1307" i="9" s="1"/>
  <c r="M1308" i="9" s="1"/>
  <c r="M1309" i="9" s="1"/>
  <c r="M1310" i="9" s="1"/>
  <c r="M1311" i="9" s="1"/>
  <c r="M1312" i="9" s="1"/>
  <c r="M1313" i="9" s="1"/>
  <c r="M1314" i="9" s="1"/>
  <c r="M1315" i="9" s="1"/>
  <c r="M1316" i="9" s="1"/>
  <c r="M1317" i="9" s="1"/>
  <c r="M1318" i="9" s="1"/>
  <c r="M1319" i="9" s="1"/>
  <c r="M1320" i="9" s="1"/>
  <c r="M1321" i="9" s="1"/>
  <c r="M1322" i="9" s="1"/>
  <c r="M1323" i="9" s="1"/>
  <c r="M1324" i="9" s="1"/>
  <c r="M1325" i="9" s="1"/>
  <c r="M1326" i="9" s="1"/>
  <c r="M1327" i="9" s="1"/>
  <c r="M1328" i="9" s="1"/>
  <c r="M1329" i="9" s="1"/>
  <c r="M1330" i="9" s="1"/>
  <c r="M1331" i="9" s="1"/>
  <c r="M1332" i="9" s="1"/>
  <c r="M1333" i="9" s="1"/>
  <c r="M1334" i="9" s="1"/>
  <c r="M1335" i="9" s="1"/>
  <c r="M1336" i="9" s="1"/>
  <c r="M1337" i="9" s="1"/>
  <c r="M1338" i="9" s="1"/>
  <c r="M1339" i="9" s="1"/>
  <c r="M1340" i="9" s="1"/>
  <c r="M1341" i="9" s="1"/>
  <c r="M1342" i="9" s="1"/>
  <c r="M1343" i="9" s="1"/>
  <c r="M1344" i="9" s="1"/>
  <c r="M1345" i="9" s="1"/>
  <c r="M1346" i="9" s="1"/>
  <c r="M1347" i="9" s="1"/>
  <c r="M1348" i="9" s="1"/>
  <c r="M1349" i="9" s="1"/>
  <c r="M1350" i="9" s="1"/>
  <c r="M1351" i="9" s="1"/>
  <c r="M1352" i="9" s="1"/>
  <c r="M1353" i="9" s="1"/>
  <c r="M1354" i="9" s="1"/>
  <c r="M1355" i="9" s="1"/>
  <c r="M1356" i="9" s="1"/>
  <c r="M1357" i="9" s="1"/>
  <c r="M1358" i="9" s="1"/>
  <c r="M1359" i="9" s="1"/>
  <c r="M1360" i="9" s="1"/>
  <c r="M1361" i="9" s="1"/>
  <c r="M1362" i="9" s="1"/>
  <c r="M1363" i="9" s="1"/>
  <c r="M1364" i="9" s="1"/>
  <c r="M1365" i="9" s="1"/>
  <c r="M1366" i="9" s="1"/>
  <c r="M1367" i="9" s="1"/>
  <c r="M1368" i="9" s="1"/>
  <c r="M1369" i="9" s="1"/>
  <c r="M1370" i="9" s="1"/>
  <c r="M1371" i="9" s="1"/>
  <c r="M1372" i="9" s="1"/>
  <c r="M1373" i="9" s="1"/>
  <c r="M1374" i="9" s="1"/>
  <c r="M1375" i="9" s="1"/>
  <c r="M1376" i="9" s="1"/>
  <c r="M1377" i="9" s="1"/>
  <c r="M1378" i="9" s="1"/>
  <c r="M1379" i="9" s="1"/>
  <c r="M1380" i="9" s="1"/>
  <c r="M1381" i="9" s="1"/>
  <c r="M1382" i="9" s="1"/>
  <c r="M1383" i="9" s="1"/>
  <c r="M1384" i="9" s="1"/>
  <c r="M1385" i="9" s="1"/>
  <c r="M1386" i="9" s="1"/>
  <c r="M1387" i="9" s="1"/>
  <c r="M1388" i="9" s="1"/>
  <c r="M1389" i="9" s="1"/>
  <c r="M1390" i="9" s="1"/>
  <c r="M1391" i="9" s="1"/>
  <c r="M1392" i="9" s="1"/>
  <c r="M1393" i="9" s="1"/>
  <c r="M1394" i="9" s="1"/>
  <c r="M1395" i="9" s="1"/>
  <c r="M1396" i="9" s="1"/>
  <c r="M1397" i="9" s="1"/>
  <c r="M1398" i="9" s="1"/>
  <c r="M1399" i="9" s="1"/>
  <c r="M1400" i="9" s="1"/>
  <c r="M1401" i="9" s="1"/>
  <c r="M1402" i="9" s="1"/>
  <c r="M1403" i="9" s="1"/>
  <c r="M1404" i="9" s="1"/>
  <c r="M1405" i="9" s="1"/>
  <c r="M1406" i="9" s="1"/>
  <c r="M1407" i="9" s="1"/>
  <c r="M1408" i="9" s="1"/>
  <c r="M1409" i="9" s="1"/>
  <c r="M1410" i="9" s="1"/>
  <c r="M1411" i="9" s="1"/>
  <c r="M1412" i="9" s="1"/>
  <c r="M1413" i="9" s="1"/>
  <c r="M1414" i="9" s="1"/>
  <c r="M1415" i="9" s="1"/>
  <c r="M1416" i="9" s="1"/>
  <c r="M1417" i="9" s="1"/>
  <c r="M1418" i="9" s="1"/>
  <c r="M1419" i="9" s="1"/>
  <c r="M1420" i="9" s="1"/>
  <c r="M1421" i="9" s="1"/>
  <c r="M1422" i="9" s="1"/>
  <c r="M1423" i="9" s="1"/>
  <c r="M1424" i="9" s="1"/>
  <c r="M1425" i="9" s="1"/>
  <c r="M1426" i="9" s="1"/>
  <c r="M1427" i="9" s="1"/>
  <c r="M1428" i="9" s="1"/>
  <c r="M1429" i="9" s="1"/>
  <c r="M1430" i="9" s="1"/>
  <c r="M1431" i="9" s="1"/>
  <c r="M1432" i="9" s="1"/>
  <c r="M1433" i="9" s="1"/>
  <c r="M1434" i="9" s="1"/>
  <c r="M1435" i="9" s="1"/>
  <c r="M1436" i="9" s="1"/>
  <c r="M1437" i="9" s="1"/>
  <c r="M1438" i="9" s="1"/>
  <c r="M1439" i="9" s="1"/>
  <c r="M1440" i="9" s="1"/>
  <c r="M1441" i="9" s="1"/>
  <c r="M1442" i="9" s="1"/>
  <c r="M1443" i="9" s="1"/>
  <c r="M1444" i="9" s="1"/>
  <c r="M1445" i="9" s="1"/>
  <c r="M1446" i="9" s="1"/>
  <c r="M1447" i="9" s="1"/>
  <c r="M1448" i="9" s="1"/>
  <c r="M1449" i="9" s="1"/>
  <c r="M1450" i="9" s="1"/>
  <c r="M1451" i="9" s="1"/>
  <c r="M1452" i="9" s="1"/>
  <c r="M1453" i="9" s="1"/>
  <c r="M1454" i="9" s="1"/>
  <c r="M1455" i="9" s="1"/>
  <c r="M1456" i="9" s="1"/>
  <c r="M1457" i="9" s="1"/>
  <c r="M1458" i="9" s="1"/>
  <c r="M1459" i="9" s="1"/>
  <c r="M1460" i="9" s="1"/>
  <c r="M1461" i="9" s="1"/>
  <c r="M1462" i="9" s="1"/>
  <c r="M1463" i="9" s="1"/>
  <c r="M1464" i="9" s="1"/>
  <c r="M1465" i="9" s="1"/>
  <c r="M1466" i="9" s="1"/>
  <c r="M1467" i="9" s="1"/>
  <c r="M1468" i="9" s="1"/>
  <c r="M1469" i="9" s="1"/>
  <c r="M1470" i="9" s="1"/>
  <c r="M1471" i="9" s="1"/>
  <c r="M1472" i="9" s="1"/>
  <c r="M1473" i="9" s="1"/>
  <c r="M1474" i="9" s="1"/>
  <c r="M1475" i="9" s="1"/>
  <c r="M1476" i="9" s="1"/>
  <c r="M1477" i="9" s="1"/>
  <c r="M1478" i="9" s="1"/>
  <c r="M1479" i="9" s="1"/>
  <c r="M1480" i="9" s="1"/>
  <c r="M1481" i="9" s="1"/>
  <c r="M1482" i="9" s="1"/>
  <c r="M1483" i="9" s="1"/>
  <c r="M1484" i="9" s="1"/>
  <c r="M1485" i="9" s="1"/>
  <c r="M1486" i="9" s="1"/>
  <c r="M1487" i="9" s="1"/>
  <c r="M1488" i="9" s="1"/>
  <c r="M1489" i="9" s="1"/>
  <c r="M1490" i="9" s="1"/>
  <c r="M1491" i="9" s="1"/>
  <c r="M1492" i="9" s="1"/>
  <c r="M1493" i="9" s="1"/>
  <c r="M1494" i="9" s="1"/>
  <c r="M1495" i="9" s="1"/>
  <c r="M1496" i="9" s="1"/>
  <c r="M1497" i="9" s="1"/>
  <c r="M1498" i="9" s="1"/>
  <c r="M1499" i="9" s="1"/>
  <c r="M1500" i="9" s="1"/>
  <c r="M1501" i="9" s="1"/>
  <c r="M1502" i="9" s="1"/>
  <c r="M1503" i="9" s="1"/>
  <c r="M1504" i="9" s="1"/>
  <c r="M1505" i="9" s="1"/>
  <c r="M1506" i="9" s="1"/>
  <c r="M1507" i="9" s="1"/>
  <c r="M1508" i="9" s="1"/>
  <c r="M1509" i="9" s="1"/>
  <c r="M1510" i="9" s="1"/>
  <c r="M1511" i="9" s="1"/>
  <c r="M1512" i="9" s="1"/>
  <c r="M1513" i="9" s="1"/>
  <c r="M1514" i="9" s="1"/>
  <c r="M1515" i="9" s="1"/>
  <c r="M1516" i="9" s="1"/>
  <c r="M1517" i="9" s="1"/>
  <c r="M1518" i="9" s="1"/>
  <c r="M1519" i="9" s="1"/>
  <c r="M1520" i="9" s="1"/>
  <c r="M1521" i="9" s="1"/>
  <c r="M1522" i="9" s="1"/>
  <c r="M1523" i="9" s="1"/>
  <c r="M1524" i="9" s="1"/>
  <c r="M1525" i="9" s="1"/>
  <c r="M1526" i="9" s="1"/>
  <c r="M1527" i="9" s="1"/>
  <c r="M1528" i="9" s="1"/>
  <c r="M1529" i="9" s="1"/>
  <c r="M1530" i="9" s="1"/>
  <c r="M1531" i="9" s="1"/>
  <c r="M1532" i="9" s="1"/>
  <c r="M1533" i="9" s="1"/>
  <c r="M1534" i="9" s="1"/>
  <c r="M1535" i="9" s="1"/>
  <c r="M1536" i="9" s="1"/>
  <c r="M1537" i="9" s="1"/>
  <c r="M1538" i="9" s="1"/>
  <c r="M1539" i="9" s="1"/>
  <c r="M1540" i="9" s="1"/>
  <c r="M1541" i="9" s="1"/>
  <c r="M1542" i="9" s="1"/>
  <c r="M1543" i="9" s="1"/>
  <c r="M1544" i="9" s="1"/>
  <c r="M1545" i="9" s="1"/>
  <c r="M1546" i="9" s="1"/>
  <c r="M1547" i="9" s="1"/>
  <c r="M1548" i="9" s="1"/>
  <c r="M1549" i="9" s="1"/>
  <c r="M1550" i="9" s="1"/>
  <c r="M1551" i="9" s="1"/>
  <c r="M1552" i="9" s="1"/>
  <c r="M1553" i="9" s="1"/>
  <c r="M1554" i="9" s="1"/>
  <c r="M1555" i="9" s="1"/>
  <c r="M1556" i="9" s="1"/>
  <c r="M1557" i="9" s="1"/>
  <c r="M1558" i="9" s="1"/>
  <c r="M1559" i="9" s="1"/>
  <c r="M1560" i="9" s="1"/>
  <c r="M1561" i="9" s="1"/>
  <c r="M1562" i="9" s="1"/>
  <c r="M1563" i="9" s="1"/>
  <c r="M1564" i="9" s="1"/>
  <c r="M1565" i="9" s="1"/>
  <c r="M1566" i="9" s="1"/>
  <c r="M1567" i="9" s="1"/>
  <c r="M1568" i="9" s="1"/>
  <c r="M1569" i="9" s="1"/>
  <c r="M1570" i="9" s="1"/>
  <c r="M1571" i="9" s="1"/>
  <c r="M1572" i="9" s="1"/>
  <c r="M1573" i="9" s="1"/>
  <c r="M1574" i="9" s="1"/>
  <c r="M1575" i="9" s="1"/>
  <c r="M1576" i="9" s="1"/>
  <c r="M1577" i="9" s="1"/>
  <c r="M1578" i="9" s="1"/>
  <c r="M1579" i="9" s="1"/>
  <c r="M1580" i="9" s="1"/>
  <c r="M1581" i="9" s="1"/>
  <c r="M1582" i="9" s="1"/>
  <c r="M1583" i="9" s="1"/>
  <c r="M1584" i="9" s="1"/>
  <c r="M1585" i="9" s="1"/>
  <c r="M1586" i="9" s="1"/>
  <c r="M1587" i="9" s="1"/>
  <c r="M1588" i="9" s="1"/>
  <c r="M1589" i="9" s="1"/>
  <c r="M1590" i="9" s="1"/>
  <c r="M1591" i="9" s="1"/>
  <c r="M1592" i="9" s="1"/>
  <c r="M1593" i="9" s="1"/>
  <c r="M1594" i="9" s="1"/>
  <c r="M1595" i="9" s="1"/>
  <c r="M1596" i="9" s="1"/>
  <c r="M1597" i="9" s="1"/>
  <c r="M1598" i="9" s="1"/>
  <c r="M1599" i="9" s="1"/>
  <c r="M1600" i="9" s="1"/>
  <c r="M1601" i="9" s="1"/>
  <c r="M1602" i="9" s="1"/>
  <c r="M1603" i="9" s="1"/>
  <c r="M1604" i="9" s="1"/>
  <c r="M1605" i="9" s="1"/>
  <c r="M1606" i="9" s="1"/>
  <c r="M1607" i="9" s="1"/>
  <c r="M1608" i="9" s="1"/>
  <c r="M1609" i="9" s="1"/>
  <c r="M1610" i="9" s="1"/>
  <c r="M1611" i="9" s="1"/>
  <c r="M1612" i="9" s="1"/>
  <c r="M1613" i="9" s="1"/>
  <c r="M1614" i="9" s="1"/>
  <c r="M1615" i="9" s="1"/>
  <c r="M1616" i="9" s="1"/>
  <c r="M1617" i="9" s="1"/>
  <c r="M1618" i="9" s="1"/>
  <c r="M1619" i="9" s="1"/>
  <c r="M1620" i="9" s="1"/>
  <c r="M1621" i="9" s="1"/>
  <c r="M1622" i="9" s="1"/>
  <c r="M1623" i="9" s="1"/>
  <c r="M1624" i="9" s="1"/>
  <c r="M1625" i="9" s="1"/>
  <c r="M1626" i="9" s="1"/>
  <c r="M1627" i="9" s="1"/>
  <c r="M1628" i="9" s="1"/>
  <c r="M1629" i="9" s="1"/>
  <c r="M1630" i="9" s="1"/>
  <c r="M1631" i="9" s="1"/>
  <c r="M1632" i="9" s="1"/>
  <c r="M1633" i="9" s="1"/>
  <c r="M1634" i="9" s="1"/>
  <c r="M1635" i="9" s="1"/>
  <c r="M1636" i="9" s="1"/>
  <c r="M1637" i="9" s="1"/>
  <c r="M1638" i="9" s="1"/>
  <c r="M1639" i="9" s="1"/>
  <c r="M1640" i="9" s="1"/>
  <c r="M1641" i="9" s="1"/>
  <c r="M1642" i="9" s="1"/>
  <c r="M1643" i="9" s="1"/>
  <c r="M1644" i="9" s="1"/>
  <c r="M1645" i="9" s="1"/>
  <c r="M1646" i="9" s="1"/>
  <c r="M1647" i="9" s="1"/>
  <c r="M1648" i="9" s="1"/>
  <c r="M1649" i="9" s="1"/>
  <c r="M1650" i="9" s="1"/>
  <c r="M1651" i="9" s="1"/>
  <c r="M1652" i="9" s="1"/>
  <c r="M1653" i="9" s="1"/>
  <c r="M1654" i="9" s="1"/>
  <c r="M1655" i="9" s="1"/>
  <c r="M1656" i="9" s="1"/>
  <c r="M1657" i="9" s="1"/>
  <c r="M1658" i="9" s="1"/>
  <c r="M1659" i="9" s="1"/>
  <c r="M1660" i="9" s="1"/>
  <c r="M1661" i="9" s="1"/>
  <c r="M1662" i="9" s="1"/>
  <c r="M1663" i="9" s="1"/>
  <c r="M1664" i="9" s="1"/>
  <c r="M1665" i="9" s="1"/>
  <c r="M1666" i="9" s="1"/>
  <c r="M1667" i="9" s="1"/>
  <c r="M1668" i="9" s="1"/>
  <c r="M1669" i="9" s="1"/>
  <c r="M1670" i="9" s="1"/>
  <c r="M1671" i="9" s="1"/>
  <c r="M1672" i="9" s="1"/>
  <c r="M1673" i="9" s="1"/>
  <c r="M1674" i="9" s="1"/>
  <c r="M1675" i="9" s="1"/>
  <c r="M1676" i="9" s="1"/>
  <c r="M1677" i="9" s="1"/>
  <c r="M1678" i="9" s="1"/>
  <c r="M1679" i="9" s="1"/>
  <c r="M1680" i="9" s="1"/>
  <c r="M1681" i="9" s="1"/>
  <c r="M1682" i="9" s="1"/>
  <c r="M1683" i="9" s="1"/>
  <c r="M1684" i="9" s="1"/>
  <c r="M1685" i="9" s="1"/>
  <c r="M1686" i="9" s="1"/>
  <c r="M1687" i="9" s="1"/>
  <c r="M1688" i="9" s="1"/>
  <c r="M1689" i="9" s="1"/>
  <c r="M1690" i="9" s="1"/>
  <c r="M1691" i="9" s="1"/>
  <c r="M1692" i="9" s="1"/>
  <c r="M1693" i="9" s="1"/>
  <c r="M1694" i="9" s="1"/>
  <c r="M1695" i="9" s="1"/>
  <c r="M1696" i="9" s="1"/>
  <c r="M1697" i="9" s="1"/>
  <c r="M1698" i="9" s="1"/>
  <c r="M1699" i="9" s="1"/>
  <c r="M1700" i="9" s="1"/>
  <c r="M1701" i="9" s="1"/>
  <c r="M1702" i="9" s="1"/>
  <c r="M1703" i="9" s="1"/>
  <c r="M1704" i="9" s="1"/>
  <c r="M1705" i="9" s="1"/>
  <c r="M1706" i="9" s="1"/>
  <c r="M1707" i="9" s="1"/>
  <c r="M1708" i="9" s="1"/>
  <c r="M1709" i="9" s="1"/>
  <c r="M1710" i="9" s="1"/>
  <c r="M1711" i="9" s="1"/>
  <c r="M1712" i="9" s="1"/>
  <c r="M1713" i="9" s="1"/>
  <c r="M1714" i="9" s="1"/>
  <c r="M1715" i="9" s="1"/>
  <c r="M1716" i="9" s="1"/>
  <c r="M1717" i="9" s="1"/>
  <c r="M1718" i="9" s="1"/>
  <c r="M1719" i="9" s="1"/>
  <c r="M1720" i="9" s="1"/>
  <c r="M1721" i="9" s="1"/>
  <c r="M1722" i="9" s="1"/>
  <c r="M1723" i="9" s="1"/>
  <c r="M1724" i="9" s="1"/>
  <c r="M1725" i="9" s="1"/>
  <c r="M1726" i="9" s="1"/>
  <c r="M1727" i="9" s="1"/>
  <c r="M1728" i="9" s="1"/>
  <c r="M1729" i="9" s="1"/>
  <c r="M1730" i="9" s="1"/>
  <c r="M1731" i="9" s="1"/>
  <c r="M1732" i="9" s="1"/>
  <c r="M1733" i="9" s="1"/>
  <c r="M1734" i="9" s="1"/>
  <c r="M1735" i="9" s="1"/>
  <c r="M1736" i="9" s="1"/>
  <c r="M1737" i="9" s="1"/>
  <c r="M1738" i="9" s="1"/>
  <c r="M1739" i="9" s="1"/>
  <c r="M1740" i="9" s="1"/>
  <c r="M1741" i="9" s="1"/>
  <c r="M1742" i="9" s="1"/>
  <c r="M1743" i="9" s="1"/>
  <c r="M1744" i="9" s="1"/>
  <c r="M1745" i="9" s="1"/>
  <c r="M1746" i="9" s="1"/>
  <c r="M1747" i="9" s="1"/>
  <c r="M1748" i="9" s="1"/>
  <c r="M1749" i="9" s="1"/>
  <c r="M1750" i="9" s="1"/>
  <c r="M1751" i="9" s="1"/>
  <c r="M1752" i="9" s="1"/>
  <c r="M1753" i="9" s="1"/>
  <c r="M1754" i="9" s="1"/>
  <c r="M1755" i="9" s="1"/>
  <c r="M1756" i="9" s="1"/>
  <c r="M1757" i="9" s="1"/>
  <c r="M1758" i="9" s="1"/>
  <c r="M1759" i="9" s="1"/>
  <c r="M1760" i="9" s="1"/>
  <c r="M1761" i="9" s="1"/>
  <c r="M1762" i="9" s="1"/>
  <c r="M1763" i="9" s="1"/>
  <c r="M1764" i="9" s="1"/>
  <c r="M1765" i="9" s="1"/>
  <c r="M1766" i="9" s="1"/>
  <c r="M1767" i="9" s="1"/>
  <c r="M1768" i="9" s="1"/>
  <c r="M1769" i="9" s="1"/>
  <c r="M1770" i="9" s="1"/>
  <c r="M1771" i="9" s="1"/>
  <c r="M1772" i="9" s="1"/>
  <c r="M1773" i="9" s="1"/>
  <c r="M1774" i="9" s="1"/>
  <c r="M1775" i="9" s="1"/>
  <c r="M1776" i="9" s="1"/>
  <c r="M1777" i="9" s="1"/>
  <c r="M1778" i="9" s="1"/>
  <c r="M1779" i="9" s="1"/>
  <c r="M1780" i="9" s="1"/>
  <c r="M1781" i="9" s="1"/>
  <c r="M1782" i="9" s="1"/>
  <c r="M1783" i="9" s="1"/>
  <c r="M1784" i="9" s="1"/>
  <c r="M1785" i="9" s="1"/>
  <c r="M1786" i="9" s="1"/>
  <c r="M1787" i="9" s="1"/>
  <c r="M1788" i="9" s="1"/>
  <c r="M1789" i="9" s="1"/>
  <c r="M1790" i="9" s="1"/>
  <c r="M1791" i="9" s="1"/>
  <c r="M1792" i="9" s="1"/>
  <c r="M1793" i="9" s="1"/>
  <c r="M1794" i="9" s="1"/>
  <c r="M1795" i="9" s="1"/>
  <c r="M1796" i="9" s="1"/>
  <c r="M1797" i="9" s="1"/>
  <c r="M1798" i="9" s="1"/>
  <c r="M1799" i="9" s="1"/>
  <c r="M1800" i="9" s="1"/>
  <c r="M1801" i="9" s="1"/>
  <c r="M1802" i="9" s="1"/>
  <c r="M1803" i="9" s="1"/>
  <c r="M1804" i="9" s="1"/>
  <c r="M1805" i="9" s="1"/>
  <c r="M1806" i="9" s="1"/>
  <c r="M1807" i="9" s="1"/>
  <c r="M1808" i="9" s="1"/>
  <c r="M1809" i="9" s="1"/>
  <c r="M1810" i="9" s="1"/>
  <c r="M1811" i="9" s="1"/>
  <c r="M1812" i="9" s="1"/>
  <c r="M1813" i="9" s="1"/>
  <c r="M1814" i="9" s="1"/>
  <c r="M1815" i="9" s="1"/>
  <c r="M1816" i="9" s="1"/>
  <c r="M1817" i="9" s="1"/>
  <c r="M1818" i="9" s="1"/>
  <c r="M1819" i="9" s="1"/>
  <c r="M1820" i="9" s="1"/>
  <c r="M1821" i="9" s="1"/>
  <c r="M1822" i="9" s="1"/>
  <c r="M1823" i="9" s="1"/>
  <c r="M1824" i="9" s="1"/>
  <c r="M1825" i="9" s="1"/>
  <c r="M1826" i="9" s="1"/>
  <c r="M1827" i="9" s="1"/>
  <c r="M1828" i="9" s="1"/>
  <c r="M1829" i="9" s="1"/>
  <c r="M1830" i="9" s="1"/>
  <c r="M1831" i="9" s="1"/>
  <c r="M1832" i="9" s="1"/>
  <c r="M1833" i="9" s="1"/>
  <c r="M1834" i="9" s="1"/>
  <c r="M1835" i="9" s="1"/>
  <c r="M1836" i="9" s="1"/>
  <c r="M1837" i="9" s="1"/>
  <c r="M1838" i="9" s="1"/>
  <c r="M1839" i="9" s="1"/>
  <c r="M1840" i="9" s="1"/>
  <c r="M1841" i="9" s="1"/>
  <c r="M1842" i="9" s="1"/>
  <c r="M1843" i="9" s="1"/>
  <c r="M1844" i="9" s="1"/>
  <c r="M1845" i="9" s="1"/>
  <c r="M1846" i="9" s="1"/>
  <c r="M1847" i="9" s="1"/>
  <c r="M1848" i="9" s="1"/>
  <c r="M1849" i="9" s="1"/>
  <c r="M1850" i="9" s="1"/>
  <c r="M1851" i="9" s="1"/>
  <c r="M1852" i="9" s="1"/>
  <c r="M1853" i="9" s="1"/>
  <c r="M1854" i="9" s="1"/>
  <c r="M1855" i="9" s="1"/>
  <c r="M1856" i="9" s="1"/>
  <c r="M1857" i="9" s="1"/>
  <c r="M1858" i="9" s="1"/>
  <c r="M1859" i="9" s="1"/>
  <c r="M1860" i="9" s="1"/>
  <c r="M1861" i="9" s="1"/>
  <c r="M1862" i="9" s="1"/>
  <c r="M1863" i="9" s="1"/>
  <c r="M1864" i="9" s="1"/>
  <c r="M1865" i="9" s="1"/>
  <c r="M1866" i="9" s="1"/>
  <c r="M1867" i="9" s="1"/>
  <c r="M1868" i="9" s="1"/>
  <c r="M1869" i="9" s="1"/>
  <c r="M1870" i="9" s="1"/>
  <c r="M1871" i="9" s="1"/>
  <c r="M1872" i="9" s="1"/>
  <c r="M1873" i="9" s="1"/>
  <c r="M1874" i="9" s="1"/>
  <c r="M1875" i="9" s="1"/>
  <c r="M1876" i="9" s="1"/>
  <c r="M1877" i="9" s="1"/>
  <c r="M1878" i="9" s="1"/>
  <c r="M1879" i="9" s="1"/>
  <c r="M1880" i="9" s="1"/>
  <c r="M1881" i="9" s="1"/>
  <c r="M1882" i="9" s="1"/>
  <c r="M1883" i="9" s="1"/>
  <c r="M1884" i="9" s="1"/>
  <c r="M1885" i="9" s="1"/>
  <c r="M1886" i="9" s="1"/>
  <c r="M1887" i="9" s="1"/>
  <c r="M1888" i="9" s="1"/>
  <c r="M1889" i="9" s="1"/>
  <c r="M1890" i="9" s="1"/>
  <c r="M1891" i="9" s="1"/>
  <c r="M1892" i="9" s="1"/>
  <c r="M1893" i="9" s="1"/>
  <c r="M1894" i="9" s="1"/>
  <c r="M1895" i="9" s="1"/>
  <c r="M1896" i="9" s="1"/>
  <c r="M1897" i="9" s="1"/>
  <c r="M1898" i="9" s="1"/>
  <c r="M1899" i="9" s="1"/>
  <c r="M1900" i="9" s="1"/>
  <c r="M1901" i="9" s="1"/>
  <c r="M1902" i="9" s="1"/>
  <c r="M1903" i="9" s="1"/>
  <c r="M1904" i="9" s="1"/>
  <c r="M1905" i="9" s="1"/>
  <c r="M1906" i="9" s="1"/>
  <c r="M1907" i="9" s="1"/>
  <c r="M1908" i="9" s="1"/>
  <c r="M1909" i="9" s="1"/>
  <c r="M1910" i="9" s="1"/>
  <c r="M1911" i="9" s="1"/>
  <c r="M1912" i="9" s="1"/>
  <c r="M1913" i="9" s="1"/>
  <c r="M1914" i="9" s="1"/>
  <c r="M1915" i="9" s="1"/>
  <c r="M1916" i="9" s="1"/>
  <c r="M1917" i="9" s="1"/>
  <c r="M1918" i="9" s="1"/>
  <c r="M1919" i="9" s="1"/>
  <c r="M1920" i="9" s="1"/>
  <c r="M1921" i="9" s="1"/>
  <c r="M1922" i="9" s="1"/>
  <c r="M1923" i="9" s="1"/>
  <c r="M1924" i="9" s="1"/>
  <c r="M1925" i="9" s="1"/>
  <c r="M1926" i="9" s="1"/>
  <c r="M1927" i="9" s="1"/>
  <c r="M1928" i="9" s="1"/>
  <c r="M1929" i="9" s="1"/>
  <c r="M1930" i="9" s="1"/>
  <c r="M1931" i="9" s="1"/>
  <c r="M1932" i="9" s="1"/>
  <c r="M1933" i="9" s="1"/>
  <c r="M1934" i="9" s="1"/>
  <c r="M1935" i="9" s="1"/>
  <c r="M1936" i="9" s="1"/>
  <c r="M1937" i="9" s="1"/>
  <c r="M1938" i="9" s="1"/>
  <c r="M1939" i="9" s="1"/>
  <c r="M1940" i="9" s="1"/>
  <c r="M1941" i="9" s="1"/>
  <c r="M1942" i="9" s="1"/>
  <c r="M1943" i="9" s="1"/>
  <c r="M1944" i="9" s="1"/>
  <c r="M1945" i="9" s="1"/>
  <c r="M1946" i="9" s="1"/>
  <c r="M1947" i="9" s="1"/>
  <c r="M1948" i="9" s="1"/>
  <c r="M1949" i="9" s="1"/>
  <c r="M1950" i="9" s="1"/>
  <c r="M1951" i="9" s="1"/>
  <c r="M1952" i="9" s="1"/>
  <c r="M1953" i="9" s="1"/>
  <c r="M1954" i="9" s="1"/>
  <c r="M1955" i="9" s="1"/>
  <c r="M1956" i="9" s="1"/>
  <c r="M1957" i="9" s="1"/>
  <c r="M1958" i="9" s="1"/>
  <c r="M1959" i="9" s="1"/>
  <c r="M1960" i="9" s="1"/>
  <c r="M1961" i="9" s="1"/>
  <c r="M1962" i="9" s="1"/>
  <c r="M1963" i="9" s="1"/>
  <c r="M1964" i="9" s="1"/>
  <c r="M1965" i="9" s="1"/>
  <c r="M1966" i="9" s="1"/>
  <c r="M1967" i="9" s="1"/>
  <c r="M1968" i="9" s="1"/>
  <c r="M1969" i="9" s="1"/>
  <c r="M1970" i="9" s="1"/>
  <c r="M1971" i="9" s="1"/>
  <c r="M1972" i="9" s="1"/>
  <c r="M1973" i="9" s="1"/>
  <c r="M1974" i="9" s="1"/>
  <c r="M1975" i="9" s="1"/>
  <c r="M1976" i="9" s="1"/>
  <c r="M1977" i="9" s="1"/>
  <c r="M1978" i="9" s="1"/>
  <c r="M1979" i="9" s="1"/>
  <c r="M1980" i="9" s="1"/>
  <c r="M1981" i="9" s="1"/>
  <c r="M1982" i="9" s="1"/>
  <c r="M1983" i="9" s="1"/>
  <c r="M1984" i="9" s="1"/>
  <c r="M1985" i="9" s="1"/>
  <c r="M1986" i="9" s="1"/>
  <c r="M1987" i="9" s="1"/>
  <c r="M1988" i="9" s="1"/>
  <c r="M1989" i="9" s="1"/>
  <c r="M1990" i="9" s="1"/>
  <c r="M1991" i="9" s="1"/>
  <c r="M1992" i="9" s="1"/>
  <c r="M1993" i="9" s="1"/>
  <c r="M1994" i="9" s="1"/>
  <c r="M1995" i="9" s="1"/>
  <c r="M1996" i="9" s="1"/>
  <c r="M1997" i="9" s="1"/>
  <c r="M1998" i="9" s="1"/>
  <c r="M1999" i="9" s="1"/>
  <c r="M2000" i="9" s="1"/>
  <c r="M2001" i="9" s="1"/>
  <c r="M2002" i="9" s="1"/>
  <c r="M2003" i="9" s="1"/>
  <c r="M2004" i="9" s="1"/>
  <c r="M2005" i="9" s="1"/>
  <c r="M2006" i="9" s="1"/>
  <c r="M2007" i="9" s="1"/>
  <c r="M2008" i="9" s="1"/>
  <c r="M2009" i="9" s="1"/>
  <c r="M2010" i="9" s="1"/>
  <c r="M2011" i="9" s="1"/>
  <c r="M2012" i="9" s="1"/>
  <c r="M2013" i="9" s="1"/>
  <c r="M2014" i="9" s="1"/>
  <c r="M2015" i="9" s="1"/>
  <c r="M2016" i="9" s="1"/>
  <c r="M2017" i="9" s="1"/>
  <c r="M2018" i="9" s="1"/>
  <c r="M2019" i="9" s="1"/>
  <c r="M2020" i="9" s="1"/>
  <c r="M2021" i="9" s="1"/>
  <c r="M2022" i="9" s="1"/>
  <c r="M2023" i="9" s="1"/>
  <c r="M2024" i="9" s="1"/>
  <c r="M2025" i="9" s="1"/>
  <c r="M2026" i="9" s="1"/>
  <c r="M2027" i="9" s="1"/>
  <c r="M2028" i="9" s="1"/>
  <c r="M2029" i="9" s="1"/>
  <c r="M2030" i="9" s="1"/>
  <c r="M2031" i="9" s="1"/>
  <c r="M2032" i="9" s="1"/>
  <c r="M2033" i="9" s="1"/>
  <c r="M2034" i="9" s="1"/>
  <c r="M2035" i="9" s="1"/>
  <c r="M2036" i="9" s="1"/>
  <c r="M2037" i="9" s="1"/>
  <c r="M2038" i="9" s="1"/>
  <c r="M2039" i="9" s="1"/>
  <c r="M2040" i="9" s="1"/>
  <c r="M2041" i="9" s="1"/>
  <c r="M2042" i="9" s="1"/>
  <c r="M2043" i="9" s="1"/>
  <c r="M2044" i="9" s="1"/>
  <c r="M2045" i="9" s="1"/>
  <c r="M2046" i="9" s="1"/>
  <c r="M2047" i="9" s="1"/>
  <c r="M2048" i="9" s="1"/>
  <c r="M2049" i="9" s="1"/>
  <c r="M2050" i="9" s="1"/>
  <c r="M2051" i="9" s="1"/>
  <c r="M2052" i="9" s="1"/>
  <c r="M2053" i="9" s="1"/>
  <c r="M2054" i="9" s="1"/>
  <c r="M2055" i="9" s="1"/>
  <c r="M2056" i="9" s="1"/>
  <c r="M2057" i="9" s="1"/>
  <c r="M2058" i="9" s="1"/>
  <c r="M2059" i="9" s="1"/>
  <c r="M2060" i="9" s="1"/>
  <c r="M2061" i="9" s="1"/>
  <c r="M2062" i="9" s="1"/>
  <c r="M2063" i="9" s="1"/>
  <c r="M2064" i="9" s="1"/>
  <c r="M2065" i="9" s="1"/>
  <c r="M2066" i="9" s="1"/>
  <c r="M2067" i="9" s="1"/>
  <c r="M2068" i="9" s="1"/>
  <c r="M2069" i="9" s="1"/>
  <c r="M2070" i="9" s="1"/>
  <c r="M2071" i="9" s="1"/>
  <c r="M2072" i="9" s="1"/>
  <c r="M2073" i="9" s="1"/>
  <c r="M2074" i="9" s="1"/>
  <c r="M2075" i="9" s="1"/>
  <c r="M2076" i="9" s="1"/>
  <c r="M2077" i="9" s="1"/>
  <c r="M2078" i="9" s="1"/>
  <c r="M2079" i="9" s="1"/>
  <c r="M2080" i="9" s="1"/>
  <c r="M2081" i="9" s="1"/>
  <c r="M2082" i="9" s="1"/>
  <c r="M2083" i="9" s="1"/>
  <c r="M2084" i="9" s="1"/>
  <c r="M2085" i="9" s="1"/>
  <c r="M2086" i="9" s="1"/>
  <c r="M2087" i="9" s="1"/>
  <c r="M2088" i="9" s="1"/>
  <c r="M2089" i="9" s="1"/>
  <c r="M2090" i="9" s="1"/>
  <c r="M2091" i="9" s="1"/>
  <c r="M2092" i="9" s="1"/>
  <c r="M2093" i="9" s="1"/>
  <c r="M2094" i="9" s="1"/>
  <c r="M2095" i="9" s="1"/>
  <c r="M2096" i="9" s="1"/>
  <c r="M2097" i="9" s="1"/>
  <c r="M2098" i="9" s="1"/>
  <c r="M2099" i="9" s="1"/>
  <c r="M2100" i="9" s="1"/>
  <c r="M2101" i="9" s="1"/>
  <c r="M2102" i="9" s="1"/>
  <c r="M2103" i="9" s="1"/>
  <c r="M2104" i="9" s="1"/>
  <c r="M2105" i="9" s="1"/>
  <c r="M2106" i="9" s="1"/>
  <c r="M2107" i="9" s="1"/>
  <c r="M2108" i="9" s="1"/>
  <c r="M2109" i="9" s="1"/>
  <c r="M2110" i="9" s="1"/>
  <c r="M2111" i="9" s="1"/>
  <c r="M2112" i="9" s="1"/>
  <c r="M2113" i="9" s="1"/>
  <c r="M2114" i="9" s="1"/>
  <c r="M2115" i="9" s="1"/>
  <c r="M2116" i="9" s="1"/>
  <c r="M2117" i="9" s="1"/>
  <c r="M2118" i="9" s="1"/>
  <c r="M2119" i="9" s="1"/>
  <c r="M2120" i="9" s="1"/>
  <c r="M2121" i="9" s="1"/>
  <c r="M2122" i="9" s="1"/>
  <c r="M2123" i="9" s="1"/>
  <c r="M2124" i="9" s="1"/>
  <c r="M2125" i="9" s="1"/>
  <c r="M2126" i="9" s="1"/>
  <c r="M2127" i="9" s="1"/>
  <c r="M2128" i="9" s="1"/>
  <c r="M2129" i="9" s="1"/>
  <c r="M2130" i="9" s="1"/>
  <c r="M2131" i="9" s="1"/>
  <c r="M2132" i="9" s="1"/>
  <c r="M2133" i="9" s="1"/>
  <c r="M2134" i="9" s="1"/>
  <c r="M2135" i="9" s="1"/>
  <c r="M2136" i="9" s="1"/>
  <c r="M2137" i="9" s="1"/>
  <c r="M2138" i="9" s="1"/>
  <c r="M2139" i="9" s="1"/>
  <c r="M2140" i="9" s="1"/>
  <c r="M2141" i="9" s="1"/>
  <c r="M2142" i="9" s="1"/>
  <c r="M2143" i="9" s="1"/>
  <c r="M2144" i="9" s="1"/>
  <c r="M2145" i="9" s="1"/>
  <c r="M2146" i="9" s="1"/>
  <c r="M2147" i="9" s="1"/>
  <c r="M2148" i="9" s="1"/>
  <c r="M2149" i="9" s="1"/>
  <c r="M2150" i="9" s="1"/>
  <c r="M2151" i="9" s="1"/>
  <c r="M2152" i="9" s="1"/>
  <c r="M2153" i="9" s="1"/>
  <c r="M2154" i="9" s="1"/>
  <c r="M2155" i="9" s="1"/>
  <c r="M2156" i="9" s="1"/>
  <c r="M2157" i="9" s="1"/>
  <c r="M2158" i="9" s="1"/>
  <c r="M2159" i="9" s="1"/>
  <c r="M2160" i="9" s="1"/>
  <c r="M2161" i="9" s="1"/>
  <c r="M2162" i="9" s="1"/>
  <c r="M2163" i="9" s="1"/>
  <c r="M2164" i="9" s="1"/>
  <c r="M2165" i="9" s="1"/>
  <c r="M2166" i="9" s="1"/>
  <c r="M2167" i="9" s="1"/>
  <c r="M2168" i="9" s="1"/>
  <c r="M2169" i="9" s="1"/>
  <c r="M2170" i="9" s="1"/>
  <c r="M2171" i="9" s="1"/>
  <c r="M2172" i="9" s="1"/>
  <c r="M2173" i="9" s="1"/>
  <c r="M2174" i="9" s="1"/>
  <c r="M2175" i="9" s="1"/>
  <c r="M2176" i="9" s="1"/>
  <c r="M2177" i="9" s="1"/>
  <c r="M2178" i="9" s="1"/>
  <c r="M2179" i="9" s="1"/>
  <c r="M2180" i="9" s="1"/>
  <c r="M2181" i="9" s="1"/>
  <c r="M2182" i="9" s="1"/>
  <c r="M2183" i="9" s="1"/>
  <c r="M2184" i="9" s="1"/>
  <c r="M2185" i="9" s="1"/>
  <c r="M2186" i="9" s="1"/>
  <c r="M2187" i="9" s="1"/>
  <c r="M2188" i="9" s="1"/>
  <c r="M2189" i="9" s="1"/>
  <c r="M2190" i="9" s="1"/>
  <c r="M2191" i="9" s="1"/>
  <c r="M2192" i="9" s="1"/>
  <c r="M2193" i="9" s="1"/>
  <c r="M2194" i="9" s="1"/>
  <c r="M2195" i="9" s="1"/>
  <c r="M2196" i="9" s="1"/>
  <c r="M2197" i="9" s="1"/>
  <c r="M2198" i="9" s="1"/>
  <c r="M2199" i="9" s="1"/>
  <c r="M2200" i="9" s="1"/>
  <c r="M2201" i="9" s="1"/>
  <c r="M2202" i="9" s="1"/>
  <c r="M2203" i="9" s="1"/>
  <c r="M2204" i="9" s="1"/>
  <c r="M2205" i="9" s="1"/>
  <c r="M2206" i="9" s="1"/>
  <c r="M2207" i="9" s="1"/>
  <c r="M2208" i="9" s="1"/>
  <c r="M2209" i="9" s="1"/>
  <c r="M2210" i="9" s="1"/>
  <c r="M2211" i="9" s="1"/>
  <c r="M2212" i="9" s="1"/>
  <c r="M2213" i="9" s="1"/>
  <c r="M2214" i="9" s="1"/>
  <c r="M2215" i="9" s="1"/>
  <c r="M2216" i="9" s="1"/>
  <c r="M2217" i="9" s="1"/>
  <c r="M2218" i="9" s="1"/>
  <c r="M2219" i="9" s="1"/>
  <c r="M2220" i="9" s="1"/>
  <c r="M2221" i="9" s="1"/>
  <c r="M2222" i="9" s="1"/>
  <c r="M2223" i="9" s="1"/>
  <c r="M2224" i="9" s="1"/>
  <c r="M2225" i="9" s="1"/>
  <c r="M2226" i="9" s="1"/>
  <c r="M2227" i="9" s="1"/>
  <c r="M2228" i="9" s="1"/>
  <c r="M2229" i="9" s="1"/>
  <c r="M2230" i="9" s="1"/>
  <c r="M2231" i="9" s="1"/>
  <c r="M2232" i="9" s="1"/>
  <c r="M2233" i="9" s="1"/>
  <c r="M2234" i="9" s="1"/>
  <c r="M2235" i="9" s="1"/>
  <c r="M2236" i="9" s="1"/>
  <c r="M2237" i="9" s="1"/>
  <c r="M2238" i="9" s="1"/>
  <c r="M2239" i="9" s="1"/>
  <c r="M2240" i="9" s="1"/>
  <c r="M2241" i="9" s="1"/>
  <c r="M2242" i="9" s="1"/>
  <c r="M2243" i="9" s="1"/>
  <c r="M2244" i="9" s="1"/>
  <c r="M2245" i="9" s="1"/>
  <c r="M2246" i="9" s="1"/>
  <c r="M2247" i="9" s="1"/>
  <c r="M2248" i="9" s="1"/>
  <c r="M2249" i="9" s="1"/>
  <c r="M2250" i="9" s="1"/>
  <c r="M2251" i="9" s="1"/>
  <c r="M2252" i="9" s="1"/>
  <c r="M2253" i="9" s="1"/>
  <c r="M2254" i="9" s="1"/>
  <c r="M2255" i="9" s="1"/>
  <c r="M2256" i="9" s="1"/>
  <c r="M2257" i="9" s="1"/>
  <c r="M2258" i="9" s="1"/>
  <c r="M2259" i="9" s="1"/>
  <c r="M2260" i="9" s="1"/>
  <c r="M2261" i="9" s="1"/>
  <c r="M2262" i="9" s="1"/>
  <c r="M2263" i="9" s="1"/>
  <c r="M2264" i="9" s="1"/>
  <c r="M2265" i="9" s="1"/>
  <c r="M2266" i="9" s="1"/>
  <c r="M2267" i="9" s="1"/>
  <c r="M2268" i="9" s="1"/>
  <c r="M2269" i="9" s="1"/>
  <c r="M2270" i="9" s="1"/>
  <c r="M2271" i="9" s="1"/>
  <c r="M2272" i="9" s="1"/>
  <c r="M2273" i="9" s="1"/>
  <c r="M2274" i="9" s="1"/>
  <c r="M2275" i="9" s="1"/>
  <c r="M2276" i="9" s="1"/>
  <c r="M2277" i="9" s="1"/>
  <c r="M2278" i="9" s="1"/>
  <c r="M2279" i="9" s="1"/>
  <c r="M2280" i="9" s="1"/>
  <c r="M2281" i="9" s="1"/>
  <c r="M2282" i="9" s="1"/>
  <c r="M2283" i="9" s="1"/>
  <c r="M2284" i="9" s="1"/>
  <c r="M2285" i="9" s="1"/>
  <c r="M2286" i="9" s="1"/>
  <c r="M2287" i="9" s="1"/>
  <c r="M2288" i="9" s="1"/>
  <c r="M2289" i="9" s="1"/>
  <c r="M2290" i="9" s="1"/>
  <c r="M2291" i="9" s="1"/>
  <c r="M2292" i="9" s="1"/>
  <c r="M2293" i="9" s="1"/>
  <c r="M2294" i="9" s="1"/>
  <c r="M2295" i="9" s="1"/>
  <c r="M2296" i="9" s="1"/>
  <c r="M2297" i="9" s="1"/>
  <c r="M2298" i="9" s="1"/>
  <c r="M2299" i="9" s="1"/>
  <c r="M2300" i="9" s="1"/>
  <c r="M2301" i="9" s="1"/>
  <c r="M2302" i="9" s="1"/>
  <c r="M2303" i="9" s="1"/>
  <c r="M2304" i="9" s="1"/>
  <c r="M2305" i="9" s="1"/>
  <c r="M2306" i="9" s="1"/>
  <c r="M2307" i="9" s="1"/>
  <c r="M2308" i="9" s="1"/>
  <c r="M2309" i="9" s="1"/>
  <c r="M2310" i="9" s="1"/>
  <c r="M2311" i="9" s="1"/>
  <c r="M2312" i="9" s="1"/>
  <c r="M2313" i="9" s="1"/>
  <c r="M2314" i="9" s="1"/>
  <c r="M2315" i="9" s="1"/>
  <c r="M2316" i="9" s="1"/>
  <c r="M2317" i="9" s="1"/>
  <c r="M2318" i="9" s="1"/>
  <c r="M2319" i="9" s="1"/>
  <c r="M2320" i="9" s="1"/>
  <c r="M2321" i="9" s="1"/>
  <c r="M2322" i="9" s="1"/>
  <c r="M2323" i="9" s="1"/>
  <c r="M2324" i="9" s="1"/>
  <c r="M2325" i="9" s="1"/>
  <c r="M2326" i="9" s="1"/>
  <c r="M2327" i="9" s="1"/>
  <c r="M2328" i="9" s="1"/>
  <c r="M2329" i="9" s="1"/>
  <c r="M2330" i="9" s="1"/>
  <c r="M2331" i="9" s="1"/>
  <c r="M2332" i="9" s="1"/>
  <c r="M2333" i="9" s="1"/>
  <c r="M2334" i="9" s="1"/>
  <c r="M2335" i="9" s="1"/>
  <c r="M2336" i="9" s="1"/>
  <c r="M2337" i="9" s="1"/>
  <c r="M2338" i="9" s="1"/>
  <c r="M2339" i="9" s="1"/>
  <c r="M2340" i="9" s="1"/>
  <c r="M2341" i="9" s="1"/>
  <c r="M2342" i="9" s="1"/>
  <c r="M2343" i="9" s="1"/>
  <c r="M2344" i="9" s="1"/>
  <c r="M2345" i="9" s="1"/>
  <c r="M2346" i="9" s="1"/>
  <c r="M2347" i="9" s="1"/>
  <c r="M2348" i="9" s="1"/>
  <c r="M2349" i="9" s="1"/>
  <c r="M2350" i="9" s="1"/>
  <c r="M2351" i="9" s="1"/>
  <c r="M2352" i="9" s="1"/>
  <c r="M2353" i="9" s="1"/>
  <c r="M2354" i="9" s="1"/>
  <c r="M2355" i="9" s="1"/>
  <c r="M2356" i="9" s="1"/>
  <c r="M2357" i="9" s="1"/>
  <c r="M2358" i="9" s="1"/>
  <c r="M2359" i="9" s="1"/>
  <c r="M2360" i="9" s="1"/>
  <c r="M2361" i="9" s="1"/>
  <c r="M2362" i="9" s="1"/>
  <c r="M2363" i="9" s="1"/>
  <c r="M2364" i="9" s="1"/>
  <c r="M2365" i="9" s="1"/>
  <c r="M2366" i="9" s="1"/>
  <c r="M2367" i="9" s="1"/>
  <c r="M2368" i="9" s="1"/>
  <c r="M2369" i="9" s="1"/>
  <c r="M2370" i="9" s="1"/>
  <c r="M2371" i="9" s="1"/>
  <c r="M2372" i="9" s="1"/>
  <c r="M2373" i="9" s="1"/>
  <c r="M2374" i="9" s="1"/>
  <c r="M2375" i="9" s="1"/>
  <c r="M2376" i="9" s="1"/>
  <c r="M2377" i="9" s="1"/>
  <c r="M2378" i="9" s="1"/>
  <c r="M2379" i="9" s="1"/>
  <c r="M2380" i="9" s="1"/>
  <c r="M2381" i="9" s="1"/>
  <c r="M2382" i="9" s="1"/>
  <c r="M2383" i="9" s="1"/>
  <c r="M2384" i="9" s="1"/>
  <c r="M2385" i="9" s="1"/>
  <c r="M2386" i="9" s="1"/>
  <c r="M2387" i="9" s="1"/>
  <c r="M2388" i="9" s="1"/>
  <c r="M2389" i="9" s="1"/>
  <c r="M2390" i="9" s="1"/>
  <c r="M2391" i="9" s="1"/>
  <c r="M2392" i="9" s="1"/>
  <c r="M2393" i="9" s="1"/>
  <c r="M2394" i="9" s="1"/>
  <c r="M2395" i="9" s="1"/>
  <c r="M2396" i="9" s="1"/>
  <c r="M2397" i="9" s="1"/>
  <c r="M2398" i="9" s="1"/>
  <c r="M2399" i="9" s="1"/>
  <c r="M2400" i="9" s="1"/>
  <c r="M2401" i="9" s="1"/>
  <c r="M2402" i="9" s="1"/>
  <c r="M2403" i="9" s="1"/>
  <c r="M2404" i="9" s="1"/>
  <c r="M2405" i="9" s="1"/>
  <c r="M2406" i="9" s="1"/>
  <c r="M2407" i="9" s="1"/>
  <c r="M2408" i="9" s="1"/>
  <c r="M2409" i="9" s="1"/>
  <c r="M2410" i="9" s="1"/>
  <c r="M2411" i="9" s="1"/>
  <c r="M2412" i="9" s="1"/>
  <c r="M2413" i="9" s="1"/>
  <c r="M2414" i="9" s="1"/>
  <c r="M2415" i="9" s="1"/>
  <c r="M2416" i="9" s="1"/>
  <c r="M2417" i="9" s="1"/>
  <c r="M2418" i="9" s="1"/>
  <c r="M2419" i="9" s="1"/>
  <c r="M2420" i="9" s="1"/>
  <c r="M2421" i="9" s="1"/>
  <c r="M2422" i="9" s="1"/>
  <c r="M2423" i="9" s="1"/>
  <c r="M2424" i="9" s="1"/>
  <c r="M2425" i="9" s="1"/>
  <c r="M2426" i="9" s="1"/>
  <c r="M2427" i="9" s="1"/>
  <c r="M2428" i="9" s="1"/>
  <c r="M2429" i="9" s="1"/>
  <c r="M2430" i="9" s="1"/>
  <c r="M2431" i="9" s="1"/>
  <c r="M2432" i="9" s="1"/>
  <c r="M2433" i="9" s="1"/>
  <c r="M2434" i="9" s="1"/>
  <c r="M2435" i="9" s="1"/>
  <c r="M2436" i="9" s="1"/>
  <c r="M2437" i="9" s="1"/>
  <c r="M2438" i="9" s="1"/>
  <c r="M2439" i="9" s="1"/>
  <c r="M2440" i="9" s="1"/>
  <c r="M2441" i="9" s="1"/>
  <c r="M2442" i="9" s="1"/>
  <c r="M2443" i="9" s="1"/>
  <c r="M2444" i="9" s="1"/>
  <c r="M2445" i="9" s="1"/>
  <c r="M2446" i="9" s="1"/>
  <c r="M2447" i="9" s="1"/>
  <c r="M2448" i="9" s="1"/>
  <c r="M2449" i="9" s="1"/>
  <c r="M2450" i="9" s="1"/>
  <c r="M2451" i="9" s="1"/>
  <c r="M2452" i="9" s="1"/>
  <c r="M2453" i="9" s="1"/>
  <c r="M2454" i="9" s="1"/>
  <c r="M2455" i="9" s="1"/>
  <c r="M2456" i="9" s="1"/>
  <c r="M2457" i="9" s="1"/>
  <c r="M2458" i="9" s="1"/>
  <c r="M2459" i="9" s="1"/>
  <c r="M2460" i="9" s="1"/>
  <c r="M2461" i="9" s="1"/>
  <c r="M2462" i="9" s="1"/>
  <c r="M2463" i="9" s="1"/>
  <c r="M2464" i="9" s="1"/>
  <c r="M2465" i="9" s="1"/>
  <c r="M2466" i="9" s="1"/>
  <c r="M2467" i="9" s="1"/>
  <c r="M2468" i="9" s="1"/>
  <c r="M2469" i="9" s="1"/>
  <c r="M2470" i="9" s="1"/>
  <c r="M2471" i="9" s="1"/>
  <c r="M2472" i="9" s="1"/>
  <c r="M2473" i="9" s="1"/>
  <c r="M2474" i="9" s="1"/>
  <c r="M2475" i="9" s="1"/>
  <c r="M2476" i="9" s="1"/>
  <c r="M2477" i="9" s="1"/>
  <c r="M2478" i="9" s="1"/>
  <c r="M2479" i="9" s="1"/>
  <c r="M2480" i="9" s="1"/>
  <c r="M2481" i="9" s="1"/>
  <c r="M2482" i="9" s="1"/>
  <c r="M2483" i="9" s="1"/>
  <c r="M2484" i="9" s="1"/>
  <c r="M2485" i="9" s="1"/>
  <c r="M2486" i="9" s="1"/>
  <c r="M2487" i="9" s="1"/>
  <c r="M2488" i="9" s="1"/>
  <c r="M2489" i="9" s="1"/>
  <c r="M2490" i="9" s="1"/>
  <c r="M2491" i="9" s="1"/>
  <c r="M2492" i="9" s="1"/>
  <c r="M2493" i="9" s="1"/>
  <c r="M2494" i="9" s="1"/>
  <c r="M2495" i="9" s="1"/>
  <c r="M2496" i="9" s="1"/>
  <c r="M2497" i="9" s="1"/>
  <c r="M2498" i="9" s="1"/>
  <c r="M2499" i="9" s="1"/>
  <c r="M2500" i="9" s="1"/>
  <c r="M2501" i="9" s="1"/>
  <c r="M2502" i="9" s="1"/>
  <c r="M2503" i="9" s="1"/>
  <c r="M2504" i="9" s="1"/>
  <c r="M2505" i="9" s="1"/>
  <c r="M2506" i="9" s="1"/>
  <c r="M2507" i="9" s="1"/>
  <c r="M2508" i="9" s="1"/>
  <c r="M2509" i="9" s="1"/>
  <c r="M2510" i="9" s="1"/>
  <c r="M2511" i="9" s="1"/>
  <c r="M2512" i="9" s="1"/>
  <c r="M2513" i="9" s="1"/>
  <c r="M2514" i="9" s="1"/>
  <c r="M2515" i="9" s="1"/>
  <c r="M2516" i="9" s="1"/>
  <c r="M2517" i="9" s="1"/>
  <c r="M2518" i="9" s="1"/>
  <c r="M2519" i="9" s="1"/>
  <c r="M2520" i="9" s="1"/>
  <c r="M2521" i="9" s="1"/>
  <c r="M2522" i="9" s="1"/>
  <c r="M2523" i="9" s="1"/>
  <c r="M2524" i="9" s="1"/>
  <c r="M2525" i="9" s="1"/>
  <c r="M2526" i="9" s="1"/>
  <c r="M2527" i="9" s="1"/>
  <c r="M2528" i="9" s="1"/>
  <c r="M2529" i="9" s="1"/>
  <c r="M2530" i="9" s="1"/>
  <c r="M2531" i="9" s="1"/>
  <c r="M2532" i="9" s="1"/>
  <c r="M2533" i="9" s="1"/>
  <c r="M2534" i="9" s="1"/>
  <c r="M2535" i="9" s="1"/>
  <c r="M2536" i="9" s="1"/>
  <c r="M2537" i="9" s="1"/>
  <c r="M2538" i="9" s="1"/>
  <c r="M2539" i="9" s="1"/>
  <c r="M2540" i="9" s="1"/>
  <c r="M2541" i="9" s="1"/>
  <c r="M2542" i="9" s="1"/>
  <c r="M2543" i="9" s="1"/>
  <c r="M2544" i="9" s="1"/>
  <c r="M2545" i="9" s="1"/>
  <c r="M2546" i="9" s="1"/>
  <c r="M2547" i="9" s="1"/>
  <c r="M2548" i="9" s="1"/>
  <c r="M2549" i="9" s="1"/>
  <c r="M2550" i="9" s="1"/>
  <c r="M2551" i="9" s="1"/>
  <c r="M2552" i="9" s="1"/>
  <c r="M2553" i="9" s="1"/>
  <c r="M2554" i="9" s="1"/>
  <c r="M2555" i="9" s="1"/>
  <c r="M2556" i="9" s="1"/>
  <c r="M2557" i="9" s="1"/>
  <c r="M2558" i="9" s="1"/>
  <c r="M2559" i="9" s="1"/>
  <c r="M2560" i="9" s="1"/>
  <c r="M2561" i="9" s="1"/>
  <c r="M2562" i="9" s="1"/>
  <c r="M2563" i="9" s="1"/>
  <c r="M2564" i="9" s="1"/>
  <c r="M2565" i="9" s="1"/>
  <c r="M2566" i="9" s="1"/>
  <c r="M2567" i="9" s="1"/>
  <c r="M2568" i="9" s="1"/>
  <c r="M2569" i="9" s="1"/>
  <c r="M2570" i="9" s="1"/>
  <c r="M2571" i="9" s="1"/>
  <c r="M2572" i="9" s="1"/>
  <c r="M2573" i="9" s="1"/>
  <c r="M2574" i="9" s="1"/>
  <c r="M2575" i="9" s="1"/>
  <c r="M2576" i="9" s="1"/>
  <c r="M2577" i="9" s="1"/>
  <c r="M2578" i="9" s="1"/>
  <c r="M2579" i="9" s="1"/>
  <c r="M2580" i="9" s="1"/>
  <c r="M2581" i="9" s="1"/>
  <c r="M2582" i="9" s="1"/>
  <c r="M2583" i="9" s="1"/>
  <c r="M2584" i="9" s="1"/>
  <c r="M2585" i="9" s="1"/>
  <c r="M2586" i="9" s="1"/>
  <c r="M2587" i="9" s="1"/>
  <c r="M2588" i="9" s="1"/>
  <c r="M2589" i="9" s="1"/>
  <c r="M2590" i="9" s="1"/>
  <c r="M2591" i="9" s="1"/>
  <c r="M2592" i="9" s="1"/>
  <c r="M2593" i="9" s="1"/>
  <c r="M2594" i="9" s="1"/>
  <c r="M2595" i="9" s="1"/>
  <c r="M2596" i="9" s="1"/>
  <c r="M2597" i="9" s="1"/>
  <c r="M2598" i="9" s="1"/>
  <c r="M2599" i="9" s="1"/>
  <c r="M2600" i="9" s="1"/>
  <c r="M2601" i="9" s="1"/>
  <c r="M2602" i="9" s="1"/>
  <c r="M2603" i="9" s="1"/>
  <c r="M2604" i="9" s="1"/>
  <c r="M2605" i="9" s="1"/>
  <c r="M2606" i="9" s="1"/>
  <c r="M2607" i="9" s="1"/>
  <c r="M2608" i="9" s="1"/>
  <c r="M2609" i="9" s="1"/>
  <c r="M2610" i="9" s="1"/>
  <c r="M2611" i="9" s="1"/>
  <c r="M2612" i="9" s="1"/>
  <c r="M2613" i="9" s="1"/>
  <c r="M2614" i="9" s="1"/>
  <c r="M2615" i="9" s="1"/>
  <c r="M2616" i="9" s="1"/>
  <c r="M2617" i="9" s="1"/>
  <c r="M2618" i="9" s="1"/>
  <c r="M2619" i="9" s="1"/>
  <c r="M2620" i="9" s="1"/>
  <c r="M2621" i="9" s="1"/>
  <c r="M2622" i="9" s="1"/>
  <c r="M2623" i="9" s="1"/>
  <c r="M2624" i="9" s="1"/>
  <c r="M2625" i="9" s="1"/>
  <c r="M2626" i="9" s="1"/>
  <c r="M2627" i="9" s="1"/>
  <c r="M2628" i="9" s="1"/>
  <c r="M2629" i="9" s="1"/>
  <c r="M2630" i="9" s="1"/>
  <c r="M2631" i="9" s="1"/>
  <c r="M2632" i="9" s="1"/>
  <c r="M2633" i="9" s="1"/>
  <c r="M2634" i="9" s="1"/>
  <c r="M2635" i="9" s="1"/>
  <c r="M2636" i="9" s="1"/>
  <c r="M2637" i="9" s="1"/>
  <c r="M2638" i="9" s="1"/>
  <c r="M2639" i="9" s="1"/>
  <c r="M2640" i="9" s="1"/>
  <c r="M2641" i="9" s="1"/>
  <c r="M2642" i="9" s="1"/>
  <c r="M2643" i="9" s="1"/>
  <c r="M2644" i="9" s="1"/>
  <c r="M2645" i="9" s="1"/>
  <c r="M2646" i="9" s="1"/>
  <c r="M2647" i="9" s="1"/>
  <c r="M2648" i="9" s="1"/>
  <c r="M2649" i="9" s="1"/>
  <c r="M2650" i="9" s="1"/>
  <c r="M2651" i="9" s="1"/>
  <c r="M2652" i="9" s="1"/>
  <c r="M2653" i="9" s="1"/>
  <c r="M2654" i="9" s="1"/>
  <c r="M2655" i="9" s="1"/>
  <c r="M2656" i="9" s="1"/>
  <c r="M2657" i="9" s="1"/>
  <c r="M2658" i="9" s="1"/>
  <c r="M2659" i="9" s="1"/>
  <c r="M2660" i="9" s="1"/>
  <c r="M2661" i="9" s="1"/>
  <c r="M2662" i="9" s="1"/>
  <c r="M2663" i="9" s="1"/>
  <c r="M2664" i="9" s="1"/>
  <c r="M2665" i="9" s="1"/>
  <c r="M2666" i="9" s="1"/>
  <c r="M2667" i="9" s="1"/>
  <c r="M2668" i="9" s="1"/>
  <c r="M2669" i="9" s="1"/>
  <c r="M2670" i="9" s="1"/>
  <c r="M2671" i="9" s="1"/>
  <c r="M2672" i="9" s="1"/>
  <c r="M2673" i="9" s="1"/>
  <c r="M2674" i="9" s="1"/>
  <c r="M2675" i="9" s="1"/>
  <c r="M2676" i="9" s="1"/>
  <c r="M2677" i="9" s="1"/>
  <c r="M2678" i="9" s="1"/>
  <c r="M2679" i="9" s="1"/>
  <c r="M2680" i="9" s="1"/>
  <c r="M2681" i="9" s="1"/>
  <c r="M2682" i="9" s="1"/>
  <c r="M2683" i="9" s="1"/>
  <c r="M2684" i="9" s="1"/>
  <c r="M2685" i="9" s="1"/>
  <c r="M2686" i="9" s="1"/>
  <c r="M2687" i="9" s="1"/>
  <c r="M2688" i="9" s="1"/>
  <c r="M2689" i="9" s="1"/>
  <c r="M2690" i="9" s="1"/>
  <c r="M2691" i="9" s="1"/>
  <c r="M2692" i="9" s="1"/>
  <c r="M2693" i="9" s="1"/>
  <c r="M2694" i="9" s="1"/>
  <c r="M2695" i="9" s="1"/>
  <c r="M2696" i="9" s="1"/>
  <c r="M2697" i="9" s="1"/>
  <c r="M2698" i="9" s="1"/>
  <c r="M2699" i="9" s="1"/>
  <c r="M2700" i="9" s="1"/>
  <c r="M2701" i="9" s="1"/>
  <c r="M2702" i="9" s="1"/>
  <c r="M2703" i="9" s="1"/>
  <c r="M2704" i="9" s="1"/>
  <c r="M2705" i="9" s="1"/>
  <c r="M2706" i="9" s="1"/>
  <c r="M2707" i="9" s="1"/>
  <c r="M2708" i="9" s="1"/>
  <c r="M2709" i="9" s="1"/>
  <c r="M2710" i="9" s="1"/>
  <c r="M2711" i="9" s="1"/>
  <c r="M2712" i="9" s="1"/>
  <c r="M2713" i="9" s="1"/>
  <c r="M2714" i="9" s="1"/>
  <c r="M2715" i="9" s="1"/>
  <c r="M2716" i="9" s="1"/>
  <c r="M2717" i="9" s="1"/>
  <c r="M2718" i="9" s="1"/>
  <c r="M2719" i="9" s="1"/>
  <c r="M2720" i="9" s="1"/>
  <c r="M2721" i="9" s="1"/>
  <c r="M2722" i="9" s="1"/>
  <c r="M2723" i="9" s="1"/>
  <c r="M2724" i="9" s="1"/>
  <c r="M2725" i="9" s="1"/>
  <c r="M2726" i="9" s="1"/>
  <c r="M2727" i="9" s="1"/>
  <c r="M2728" i="9" s="1"/>
  <c r="M2729" i="9" s="1"/>
  <c r="M2730" i="9" s="1"/>
  <c r="M2731" i="9" s="1"/>
  <c r="M2732" i="9" s="1"/>
  <c r="M2733" i="9" s="1"/>
  <c r="M2734" i="9" s="1"/>
  <c r="M2735" i="9" s="1"/>
  <c r="M2736" i="9" s="1"/>
  <c r="M2737" i="9" s="1"/>
  <c r="M2738" i="9" s="1"/>
  <c r="M2739" i="9" s="1"/>
  <c r="M2740" i="9" s="1"/>
  <c r="M2741" i="9" s="1"/>
  <c r="M2742" i="9" s="1"/>
  <c r="M2743" i="9" s="1"/>
  <c r="M2744" i="9" s="1"/>
  <c r="M2745" i="9" s="1"/>
  <c r="M2746" i="9" s="1"/>
  <c r="M2747" i="9" s="1"/>
  <c r="M2748" i="9" s="1"/>
  <c r="M2749" i="9" s="1"/>
  <c r="M2750" i="9" s="1"/>
  <c r="M2751" i="9" s="1"/>
  <c r="M2752" i="9" s="1"/>
  <c r="M2753" i="9" s="1"/>
  <c r="M2754" i="9" s="1"/>
  <c r="M2755" i="9" s="1"/>
  <c r="M2756" i="9" s="1"/>
  <c r="M2757" i="9" s="1"/>
  <c r="M2758" i="9" s="1"/>
  <c r="M2759" i="9" s="1"/>
  <c r="M2760" i="9" s="1"/>
  <c r="M2761" i="9" s="1"/>
  <c r="M2762" i="9" s="1"/>
  <c r="M2763" i="9" s="1"/>
  <c r="M2764" i="9" s="1"/>
  <c r="M2765" i="9" s="1"/>
  <c r="M2766" i="9" s="1"/>
  <c r="M2767" i="9" s="1"/>
  <c r="M2768" i="9" s="1"/>
  <c r="M2769" i="9" s="1"/>
  <c r="M2770" i="9" s="1"/>
  <c r="M2771" i="9" s="1"/>
  <c r="M2772" i="9" s="1"/>
  <c r="M2773" i="9" s="1"/>
  <c r="M2774" i="9" s="1"/>
  <c r="M2775" i="9" s="1"/>
  <c r="M2776" i="9" s="1"/>
  <c r="M2777" i="9" s="1"/>
  <c r="M2778" i="9" s="1"/>
  <c r="M2779" i="9" s="1"/>
  <c r="M2780" i="9" s="1"/>
  <c r="M2781" i="9" s="1"/>
  <c r="M2782" i="9" s="1"/>
  <c r="M2783" i="9" s="1"/>
  <c r="M2784" i="9" s="1"/>
  <c r="M2785" i="9" s="1"/>
  <c r="M2786" i="9" s="1"/>
  <c r="M2787" i="9" s="1"/>
  <c r="M2788" i="9" s="1"/>
  <c r="M2789" i="9" s="1"/>
  <c r="M2790" i="9" s="1"/>
  <c r="M2791" i="9" s="1"/>
  <c r="M2792" i="9" s="1"/>
  <c r="M2793" i="9" s="1"/>
  <c r="M2794" i="9" s="1"/>
  <c r="M2795" i="9" s="1"/>
  <c r="M2796" i="9" s="1"/>
  <c r="M2797" i="9" s="1"/>
  <c r="M2798" i="9" s="1"/>
  <c r="M2799" i="9" s="1"/>
  <c r="M2800" i="9" s="1"/>
  <c r="M2801" i="9" s="1"/>
  <c r="M2802" i="9" s="1"/>
  <c r="M2803" i="9" s="1"/>
  <c r="M2804" i="9" s="1"/>
  <c r="M2805" i="9" s="1"/>
  <c r="M2806" i="9" s="1"/>
  <c r="M2807" i="9" s="1"/>
  <c r="M2808" i="9" s="1"/>
  <c r="M2809" i="9" s="1"/>
  <c r="M2810" i="9" s="1"/>
  <c r="M2811" i="9" s="1"/>
  <c r="M2812" i="9" s="1"/>
  <c r="M2813" i="9" s="1"/>
  <c r="M2814" i="9" s="1"/>
  <c r="M2815" i="9" s="1"/>
  <c r="M2816" i="9" s="1"/>
  <c r="M2817" i="9" s="1"/>
  <c r="M2818" i="9" s="1"/>
  <c r="M2819" i="9" s="1"/>
  <c r="M2820" i="9" s="1"/>
  <c r="M2821" i="9" s="1"/>
  <c r="M2822" i="9" s="1"/>
  <c r="M2823" i="9" s="1"/>
  <c r="M2824" i="9" s="1"/>
  <c r="M2825" i="9" s="1"/>
  <c r="M2826" i="9" s="1"/>
  <c r="M2827" i="9" s="1"/>
  <c r="M2828" i="9" s="1"/>
  <c r="M2829" i="9" s="1"/>
  <c r="M2830" i="9" s="1"/>
  <c r="M2831" i="9" s="1"/>
  <c r="M2832" i="9" s="1"/>
  <c r="M2833" i="9" s="1"/>
  <c r="M2834" i="9" s="1"/>
  <c r="M2835" i="9" s="1"/>
  <c r="M2836" i="9" s="1"/>
  <c r="M2837" i="9" s="1"/>
  <c r="M2838" i="9" s="1"/>
  <c r="M2839" i="9" s="1"/>
  <c r="M2840" i="9" s="1"/>
  <c r="M2841" i="9" s="1"/>
  <c r="M2842" i="9" s="1"/>
  <c r="M2843" i="9" s="1"/>
  <c r="M2844" i="9" s="1"/>
  <c r="M2845" i="9" s="1"/>
  <c r="M2846" i="9" s="1"/>
  <c r="M2847" i="9" s="1"/>
  <c r="M2848" i="9" s="1"/>
  <c r="M2849" i="9" s="1"/>
  <c r="M2850" i="9" s="1"/>
  <c r="M2851" i="9" s="1"/>
  <c r="M2852" i="9" s="1"/>
  <c r="M2853" i="9" s="1"/>
  <c r="M2854" i="9" s="1"/>
  <c r="M2855" i="9" s="1"/>
  <c r="M2856" i="9" s="1"/>
  <c r="M2857" i="9" s="1"/>
  <c r="M2858" i="9" s="1"/>
  <c r="M2859" i="9" s="1"/>
  <c r="M2860" i="9" s="1"/>
  <c r="M2861" i="9" s="1"/>
  <c r="M2862" i="9" s="1"/>
  <c r="M2863" i="9" s="1"/>
  <c r="M2864" i="9" s="1"/>
  <c r="M2865" i="9" s="1"/>
  <c r="M2866" i="9" s="1"/>
  <c r="M2867" i="9" s="1"/>
  <c r="M2868" i="9" s="1"/>
  <c r="M2869" i="9" s="1"/>
  <c r="M2870" i="9" s="1"/>
  <c r="M2871" i="9" s="1"/>
  <c r="M2872" i="9" s="1"/>
  <c r="M2873" i="9" s="1"/>
  <c r="M2874" i="9" s="1"/>
  <c r="M2875" i="9" s="1"/>
  <c r="M2876" i="9" s="1"/>
  <c r="M2877" i="9" s="1"/>
  <c r="M2878" i="9" s="1"/>
  <c r="M2879" i="9" s="1"/>
  <c r="M2880" i="9" s="1"/>
  <c r="M2881" i="9" s="1"/>
  <c r="M2882" i="9" s="1"/>
  <c r="M2883" i="9" s="1"/>
  <c r="M2884" i="9" s="1"/>
  <c r="M2885" i="9" s="1"/>
  <c r="M2886" i="9" s="1"/>
  <c r="M2887" i="9" s="1"/>
  <c r="M2888" i="9" s="1"/>
  <c r="M2889" i="9" s="1"/>
  <c r="M2890" i="9" s="1"/>
  <c r="M2891" i="9" s="1"/>
  <c r="M2892" i="9" s="1"/>
  <c r="M2893" i="9" s="1"/>
  <c r="M2894" i="9" s="1"/>
  <c r="M2895" i="9" s="1"/>
  <c r="M2896" i="9" s="1"/>
  <c r="M2897" i="9" s="1"/>
  <c r="M2898" i="9" s="1"/>
  <c r="M2899" i="9" s="1"/>
  <c r="M2900" i="9" s="1"/>
  <c r="M2901" i="9" s="1"/>
  <c r="M2902" i="9" s="1"/>
  <c r="M2903" i="9" s="1"/>
  <c r="M2904" i="9" s="1"/>
  <c r="M2905" i="9" s="1"/>
  <c r="M2906" i="9" s="1"/>
  <c r="M2907" i="9" s="1"/>
  <c r="M2908" i="9" s="1"/>
  <c r="M2909" i="9" s="1"/>
  <c r="M2910" i="9" s="1"/>
  <c r="M2911" i="9" s="1"/>
  <c r="M2912" i="9" s="1"/>
  <c r="M2913" i="9" s="1"/>
  <c r="M2914" i="9" s="1"/>
  <c r="M2915" i="9" s="1"/>
  <c r="M2916" i="9" s="1"/>
  <c r="M2917" i="9" s="1"/>
  <c r="M2918" i="9" s="1"/>
  <c r="M2919" i="9" s="1"/>
  <c r="M2920" i="9" s="1"/>
  <c r="M2921" i="9" s="1"/>
  <c r="M2922" i="9" s="1"/>
  <c r="M2923" i="9" s="1"/>
  <c r="M2924" i="9" s="1"/>
  <c r="M2925" i="9" s="1"/>
  <c r="M2926" i="9" s="1"/>
  <c r="M2927" i="9" s="1"/>
  <c r="M2928" i="9" s="1"/>
  <c r="M2929" i="9" s="1"/>
  <c r="M2930" i="9" s="1"/>
  <c r="M2931" i="9" s="1"/>
  <c r="M2932" i="9" s="1"/>
  <c r="M2933" i="9" s="1"/>
  <c r="M2934" i="9" s="1"/>
  <c r="M2935" i="9" s="1"/>
  <c r="M2936" i="9" s="1"/>
  <c r="M2937" i="9" s="1"/>
  <c r="M2938" i="9" s="1"/>
  <c r="M2939" i="9" s="1"/>
  <c r="M2940" i="9" s="1"/>
  <c r="M2941" i="9" s="1"/>
  <c r="M2942" i="9" s="1"/>
  <c r="M2943" i="9" s="1"/>
  <c r="M2944" i="9" s="1"/>
  <c r="M2945" i="9" s="1"/>
  <c r="M2946" i="9" s="1"/>
  <c r="M2947" i="9" s="1"/>
  <c r="M2948" i="9" s="1"/>
  <c r="M2949" i="9" s="1"/>
  <c r="M2950" i="9" s="1"/>
  <c r="M2951" i="9" s="1"/>
  <c r="M2952" i="9" s="1"/>
  <c r="M2953" i="9" s="1"/>
  <c r="M2954" i="9" s="1"/>
  <c r="M2955" i="9" s="1"/>
  <c r="M2956" i="9" s="1"/>
  <c r="M2957" i="9" s="1"/>
  <c r="M2958" i="9" s="1"/>
  <c r="M2959" i="9" s="1"/>
  <c r="M2960" i="9" s="1"/>
  <c r="M2961" i="9" s="1"/>
  <c r="M2962" i="9" s="1"/>
  <c r="M2963" i="9" s="1"/>
  <c r="M2964" i="9" s="1"/>
  <c r="M2965" i="9" s="1"/>
  <c r="M2966" i="9" s="1"/>
  <c r="M2967" i="9" s="1"/>
  <c r="M2968" i="9" s="1"/>
  <c r="M2969" i="9" s="1"/>
  <c r="M2970" i="9" s="1"/>
  <c r="M2971" i="9" s="1"/>
  <c r="M2972" i="9" s="1"/>
  <c r="M2973" i="9" s="1"/>
  <c r="M2974" i="9" s="1"/>
  <c r="M2975" i="9" s="1"/>
  <c r="M2976" i="9" s="1"/>
  <c r="M2977" i="9" s="1"/>
  <c r="M2978" i="9" s="1"/>
  <c r="M2979" i="9" s="1"/>
  <c r="M2980" i="9" s="1"/>
  <c r="M2981" i="9" s="1"/>
  <c r="M2982" i="9" s="1"/>
  <c r="M2983" i="9" s="1"/>
  <c r="M2984" i="9" s="1"/>
  <c r="M2985" i="9" s="1"/>
  <c r="M2986" i="9" s="1"/>
  <c r="M2987" i="9" s="1"/>
  <c r="M2988" i="9" s="1"/>
  <c r="M2989" i="9" s="1"/>
  <c r="M2990" i="9" s="1"/>
  <c r="M2991" i="9" s="1"/>
  <c r="M2992" i="9" s="1"/>
  <c r="M2993" i="9" s="1"/>
  <c r="M2994" i="9" s="1"/>
  <c r="M2995" i="9" s="1"/>
  <c r="M2996" i="9" s="1"/>
  <c r="M2997" i="9" s="1"/>
  <c r="M2998" i="9" s="1"/>
  <c r="M2999" i="9" s="1"/>
  <c r="M3000" i="9" s="1"/>
  <c r="M3001" i="9" s="1"/>
  <c r="M3002" i="9" s="1"/>
  <c r="M3003" i="9" s="1"/>
  <c r="M3004" i="9" s="1"/>
  <c r="M3005" i="9" s="1"/>
  <c r="M3006" i="9" s="1"/>
  <c r="M3007" i="9" s="1"/>
  <c r="M3008" i="9" s="1"/>
  <c r="M3009" i="9" s="1"/>
  <c r="M3010" i="9" s="1"/>
  <c r="M3011" i="9" s="1"/>
  <c r="M3012" i="9" s="1"/>
  <c r="M3013" i="9" s="1"/>
  <c r="M3014" i="9" s="1"/>
  <c r="M3015" i="9" s="1"/>
  <c r="M3016" i="9" s="1"/>
  <c r="M3017" i="9" s="1"/>
  <c r="M3018" i="9" s="1"/>
  <c r="M3019" i="9" s="1"/>
  <c r="M3020" i="9" s="1"/>
  <c r="M3021" i="9" s="1"/>
  <c r="M3022" i="9" s="1"/>
  <c r="M3023" i="9" s="1"/>
  <c r="M3024" i="9" s="1"/>
  <c r="X3" i="9"/>
  <c r="X4" i="9" s="1"/>
  <c r="X5" i="9" s="1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R2" i="9" l="1"/>
  <c r="N3" i="9"/>
  <c r="O3" i="9" s="1"/>
  <c r="P3" i="9" s="1"/>
  <c r="N4" i="9" s="1"/>
  <c r="O4" i="9" s="1"/>
  <c r="P4" i="9" s="1"/>
  <c r="R3" i="9" l="1"/>
  <c r="S3" i="9"/>
  <c r="N5" i="9"/>
  <c r="O5" i="9" s="1"/>
  <c r="P5" i="9" s="1"/>
  <c r="R4" i="9"/>
  <c r="S4" i="9"/>
  <c r="N6" i="9" l="1"/>
  <c r="O6" i="9" s="1"/>
  <c r="P6" i="9" s="1"/>
  <c r="S5" i="9"/>
  <c r="R5" i="9"/>
  <c r="N7" i="9" l="1"/>
  <c r="O7" i="9" s="1"/>
  <c r="P7" i="9" s="1"/>
  <c r="R6" i="9"/>
  <c r="S6" i="9"/>
  <c r="N8" i="9" l="1"/>
  <c r="O8" i="9" s="1"/>
  <c r="P8" i="9" s="1"/>
  <c r="S7" i="9"/>
  <c r="R7" i="9"/>
  <c r="N9" i="9" l="1"/>
  <c r="O9" i="9" s="1"/>
  <c r="P9" i="9" s="1"/>
  <c r="R8" i="9"/>
  <c r="S8" i="9"/>
  <c r="N10" i="9" l="1"/>
  <c r="O10" i="9" s="1"/>
  <c r="P10" i="9" s="1"/>
  <c r="S9" i="9"/>
  <c r="R9" i="9"/>
  <c r="N11" i="9" l="1"/>
  <c r="O11" i="9" s="1"/>
  <c r="P11" i="9" s="1"/>
  <c r="R10" i="9"/>
  <c r="S10" i="9"/>
  <c r="N12" i="9" l="1"/>
  <c r="O12" i="9" s="1"/>
  <c r="P12" i="9" s="1"/>
  <c r="S11" i="9"/>
  <c r="R11" i="9"/>
  <c r="N13" i="9" l="1"/>
  <c r="O13" i="9" s="1"/>
  <c r="P13" i="9" s="1"/>
  <c r="R12" i="9"/>
  <c r="S12" i="9"/>
  <c r="N14" i="9" l="1"/>
  <c r="O14" i="9" s="1"/>
  <c r="P14" i="9" s="1"/>
  <c r="S13" i="9"/>
  <c r="R13" i="9"/>
  <c r="N15" i="9" l="1"/>
  <c r="O15" i="9" s="1"/>
  <c r="P15" i="9" s="1"/>
  <c r="R14" i="9"/>
  <c r="S14" i="9"/>
  <c r="N16" i="9" l="1"/>
  <c r="O16" i="9" s="1"/>
  <c r="P16" i="9" s="1"/>
  <c r="S15" i="9"/>
  <c r="R15" i="9"/>
  <c r="N17" i="9" l="1"/>
  <c r="O17" i="9" s="1"/>
  <c r="P17" i="9" s="1"/>
  <c r="R16" i="9"/>
  <c r="S16" i="9"/>
  <c r="N18" i="9" l="1"/>
  <c r="O18" i="9" s="1"/>
  <c r="P18" i="9" s="1"/>
  <c r="S17" i="9"/>
  <c r="R17" i="9"/>
  <c r="N19" i="9" l="1"/>
  <c r="O19" i="9" s="1"/>
  <c r="P19" i="9" s="1"/>
  <c r="R18" i="9"/>
  <c r="S18" i="9"/>
  <c r="N20" i="9" l="1"/>
  <c r="O20" i="9" s="1"/>
  <c r="P20" i="9" s="1"/>
  <c r="S19" i="9"/>
  <c r="R19" i="9"/>
  <c r="N21" i="9" l="1"/>
  <c r="O21" i="9" s="1"/>
  <c r="P21" i="9" s="1"/>
  <c r="R20" i="9"/>
  <c r="S20" i="9"/>
  <c r="N22" i="9" l="1"/>
  <c r="O22" i="9" s="1"/>
  <c r="P22" i="9" s="1"/>
  <c r="S21" i="9"/>
  <c r="R21" i="9"/>
  <c r="N23" i="9" l="1"/>
  <c r="O23" i="9" s="1"/>
  <c r="P23" i="9" s="1"/>
  <c r="R22" i="9"/>
  <c r="S22" i="9"/>
  <c r="N24" i="9" l="1"/>
  <c r="O24" i="9" s="1"/>
  <c r="P24" i="9" s="1"/>
  <c r="S23" i="9"/>
  <c r="R23" i="9"/>
  <c r="N25" i="9" l="1"/>
  <c r="O25" i="9" s="1"/>
  <c r="P25" i="9" s="1"/>
  <c r="R24" i="9"/>
  <c r="S24" i="9"/>
  <c r="N26" i="9" l="1"/>
  <c r="O26" i="9" s="1"/>
  <c r="P26" i="9" s="1"/>
  <c r="S25" i="9"/>
  <c r="R25" i="9"/>
  <c r="N27" i="9" l="1"/>
  <c r="O27" i="9" s="1"/>
  <c r="P27" i="9" s="1"/>
  <c r="R26" i="9"/>
  <c r="S26" i="9"/>
  <c r="N28" i="9" l="1"/>
  <c r="O28" i="9" s="1"/>
  <c r="P28" i="9" s="1"/>
  <c r="S27" i="9"/>
  <c r="R27" i="9"/>
  <c r="N29" i="9" l="1"/>
  <c r="O29" i="9" s="1"/>
  <c r="P29" i="9" s="1"/>
  <c r="R28" i="9"/>
  <c r="S28" i="9"/>
  <c r="N30" i="9" l="1"/>
  <c r="O30" i="9" s="1"/>
  <c r="P30" i="9" s="1"/>
  <c r="S29" i="9"/>
  <c r="R29" i="9"/>
  <c r="N31" i="9" l="1"/>
  <c r="O31" i="9" s="1"/>
  <c r="P31" i="9" s="1"/>
  <c r="R30" i="9"/>
  <c r="S30" i="9"/>
  <c r="N32" i="9" l="1"/>
  <c r="O32" i="9" s="1"/>
  <c r="P32" i="9" s="1"/>
  <c r="R31" i="9"/>
  <c r="S31" i="9"/>
  <c r="N33" i="9" l="1"/>
  <c r="O33" i="9" s="1"/>
  <c r="P33" i="9" s="1"/>
  <c r="R32" i="9"/>
  <c r="S32" i="9"/>
  <c r="N34" i="9" l="1"/>
  <c r="O34" i="9" s="1"/>
  <c r="P34" i="9" s="1"/>
  <c r="R33" i="9"/>
  <c r="S33" i="9"/>
  <c r="N35" i="9" l="1"/>
  <c r="O35" i="9" s="1"/>
  <c r="P35" i="9" s="1"/>
  <c r="R34" i="9"/>
  <c r="S34" i="9"/>
  <c r="N36" i="9" l="1"/>
  <c r="O36" i="9" s="1"/>
  <c r="P36" i="9" s="1"/>
  <c r="R35" i="9"/>
  <c r="S35" i="9"/>
  <c r="N37" i="9" l="1"/>
  <c r="O37" i="9" s="1"/>
  <c r="P37" i="9" s="1"/>
  <c r="S36" i="9"/>
  <c r="R36" i="9"/>
  <c r="N38" i="9" l="1"/>
  <c r="O38" i="9" s="1"/>
  <c r="P38" i="9" s="1"/>
  <c r="R37" i="9"/>
  <c r="S37" i="9"/>
  <c r="N39" i="9" l="1"/>
  <c r="O39" i="9" s="1"/>
  <c r="P39" i="9" s="1"/>
  <c r="S38" i="9"/>
  <c r="R38" i="9"/>
  <c r="N40" i="9" l="1"/>
  <c r="O40" i="9" s="1"/>
  <c r="P40" i="9" s="1"/>
  <c r="R39" i="9"/>
  <c r="S39" i="9"/>
  <c r="N41" i="9" l="1"/>
  <c r="O41" i="9" s="1"/>
  <c r="P41" i="9" s="1"/>
  <c r="R40" i="9"/>
  <c r="S40" i="9"/>
  <c r="N42" i="9" l="1"/>
  <c r="O42" i="9" s="1"/>
  <c r="P42" i="9" s="1"/>
  <c r="S41" i="9"/>
  <c r="R41" i="9"/>
  <c r="N43" i="9" l="1"/>
  <c r="O43" i="9" s="1"/>
  <c r="P43" i="9" s="1"/>
  <c r="R42" i="9"/>
  <c r="S42" i="9"/>
  <c r="N44" i="9" l="1"/>
  <c r="O44" i="9" s="1"/>
  <c r="P44" i="9" s="1"/>
  <c r="S43" i="9"/>
  <c r="R43" i="9"/>
  <c r="N45" i="9" l="1"/>
  <c r="O45" i="9" s="1"/>
  <c r="P45" i="9" s="1"/>
  <c r="R44" i="9"/>
  <c r="S44" i="9"/>
  <c r="N46" i="9" l="1"/>
  <c r="O46" i="9" s="1"/>
  <c r="P46" i="9" s="1"/>
  <c r="S45" i="9"/>
  <c r="R45" i="9"/>
  <c r="N47" i="9" l="1"/>
  <c r="O47" i="9" s="1"/>
  <c r="P47" i="9" s="1"/>
  <c r="R46" i="9"/>
  <c r="S46" i="9"/>
  <c r="N48" i="9" l="1"/>
  <c r="O48" i="9" s="1"/>
  <c r="P48" i="9" s="1"/>
  <c r="S47" i="9"/>
  <c r="R47" i="9"/>
  <c r="N49" i="9" l="1"/>
  <c r="O49" i="9" s="1"/>
  <c r="P49" i="9" s="1"/>
  <c r="R48" i="9"/>
  <c r="S48" i="9"/>
  <c r="N50" i="9" l="1"/>
  <c r="O50" i="9" s="1"/>
  <c r="P50" i="9" s="1"/>
  <c r="S49" i="9"/>
  <c r="R49" i="9"/>
  <c r="N51" i="9" l="1"/>
  <c r="O51" i="9" s="1"/>
  <c r="P51" i="9" s="1"/>
  <c r="R50" i="9"/>
  <c r="S50" i="9"/>
  <c r="N52" i="9" l="1"/>
  <c r="O52" i="9" s="1"/>
  <c r="P52" i="9" s="1"/>
  <c r="S51" i="9"/>
  <c r="R51" i="9"/>
  <c r="N53" i="9" l="1"/>
  <c r="O53" i="9" s="1"/>
  <c r="P53" i="9" s="1"/>
  <c r="R52" i="9"/>
  <c r="S52" i="9"/>
  <c r="N54" i="9" l="1"/>
  <c r="O54" i="9" s="1"/>
  <c r="P54" i="9" s="1"/>
  <c r="S53" i="9"/>
  <c r="R53" i="9"/>
  <c r="N55" i="9" l="1"/>
  <c r="O55" i="9" s="1"/>
  <c r="P55" i="9" s="1"/>
  <c r="R54" i="9"/>
  <c r="S54" i="9"/>
  <c r="N56" i="9" l="1"/>
  <c r="O56" i="9" s="1"/>
  <c r="P56" i="9" s="1"/>
  <c r="S55" i="9"/>
  <c r="R55" i="9"/>
  <c r="N57" i="9" l="1"/>
  <c r="O57" i="9" s="1"/>
  <c r="P57" i="9" s="1"/>
  <c r="R56" i="9"/>
  <c r="S56" i="9"/>
  <c r="N58" i="9" l="1"/>
  <c r="O58" i="9" s="1"/>
  <c r="P58" i="9" s="1"/>
  <c r="S57" i="9"/>
  <c r="R57" i="9"/>
  <c r="N59" i="9" l="1"/>
  <c r="O59" i="9" s="1"/>
  <c r="P59" i="9" s="1"/>
  <c r="R58" i="9"/>
  <c r="S58" i="9"/>
  <c r="N60" i="9" l="1"/>
  <c r="O60" i="9" s="1"/>
  <c r="P60" i="9" s="1"/>
  <c r="S59" i="9"/>
  <c r="R59" i="9"/>
  <c r="N61" i="9" l="1"/>
  <c r="O61" i="9" s="1"/>
  <c r="P61" i="9" s="1"/>
  <c r="R60" i="9"/>
  <c r="S60" i="9"/>
  <c r="N62" i="9" l="1"/>
  <c r="O62" i="9" s="1"/>
  <c r="P62" i="9" s="1"/>
  <c r="S61" i="9"/>
  <c r="R61" i="9"/>
  <c r="N63" i="9" l="1"/>
  <c r="O63" i="9" s="1"/>
  <c r="P63" i="9" s="1"/>
  <c r="R62" i="9"/>
  <c r="S62" i="9"/>
  <c r="N64" i="9" l="1"/>
  <c r="O64" i="9" s="1"/>
  <c r="P64" i="9" s="1"/>
  <c r="S63" i="9"/>
  <c r="R63" i="9"/>
  <c r="N65" i="9" l="1"/>
  <c r="O65" i="9" s="1"/>
  <c r="P65" i="9" s="1"/>
  <c r="R64" i="9"/>
  <c r="S64" i="9"/>
  <c r="N66" i="9" l="1"/>
  <c r="O66" i="9" s="1"/>
  <c r="P66" i="9" s="1"/>
  <c r="S65" i="9"/>
  <c r="R65" i="9"/>
  <c r="N67" i="9" l="1"/>
  <c r="O67" i="9" s="1"/>
  <c r="P67" i="9" s="1"/>
  <c r="R66" i="9"/>
  <c r="S66" i="9"/>
  <c r="N68" i="9" l="1"/>
  <c r="O68" i="9" s="1"/>
  <c r="P68" i="9" s="1"/>
  <c r="S67" i="9"/>
  <c r="R67" i="9"/>
  <c r="N69" i="9" l="1"/>
  <c r="O69" i="9" s="1"/>
  <c r="P69" i="9" s="1"/>
  <c r="R68" i="9"/>
  <c r="S68" i="9"/>
  <c r="N70" i="9" l="1"/>
  <c r="O70" i="9" s="1"/>
  <c r="P70" i="9" s="1"/>
  <c r="S69" i="9"/>
  <c r="R69" i="9"/>
  <c r="N71" i="9" l="1"/>
  <c r="O71" i="9" s="1"/>
  <c r="P71" i="9" s="1"/>
  <c r="R70" i="9"/>
  <c r="S70" i="9"/>
  <c r="N72" i="9" l="1"/>
  <c r="O72" i="9" s="1"/>
  <c r="P72" i="9" s="1"/>
  <c r="S71" i="9"/>
  <c r="R71" i="9"/>
  <c r="N73" i="9" l="1"/>
  <c r="O73" i="9" s="1"/>
  <c r="P73" i="9" s="1"/>
  <c r="R72" i="9"/>
  <c r="S72" i="9"/>
  <c r="N74" i="9" l="1"/>
  <c r="O74" i="9" s="1"/>
  <c r="P74" i="9" s="1"/>
  <c r="S73" i="9"/>
  <c r="R73" i="9"/>
  <c r="N75" i="9" l="1"/>
  <c r="O75" i="9" s="1"/>
  <c r="P75" i="9" s="1"/>
  <c r="R74" i="9"/>
  <c r="S74" i="9"/>
  <c r="N76" i="9" l="1"/>
  <c r="O76" i="9" s="1"/>
  <c r="P76" i="9" s="1"/>
  <c r="R75" i="9"/>
  <c r="S75" i="9"/>
  <c r="N77" i="9" l="1"/>
  <c r="O77" i="9" s="1"/>
  <c r="P77" i="9" s="1"/>
  <c r="R76" i="9"/>
  <c r="S76" i="9"/>
  <c r="N78" i="9" l="1"/>
  <c r="O78" i="9" s="1"/>
  <c r="P78" i="9" s="1"/>
  <c r="R77" i="9"/>
  <c r="S77" i="9"/>
  <c r="N79" i="9" l="1"/>
  <c r="O79" i="9" s="1"/>
  <c r="P79" i="9" s="1"/>
  <c r="R78" i="9"/>
  <c r="S78" i="9"/>
  <c r="N80" i="9" l="1"/>
  <c r="O80" i="9" s="1"/>
  <c r="P80" i="9" s="1"/>
  <c r="R79" i="9"/>
  <c r="S79" i="9"/>
  <c r="N81" i="9" l="1"/>
  <c r="O81" i="9" s="1"/>
  <c r="P81" i="9" s="1"/>
  <c r="R80" i="9"/>
  <c r="S80" i="9"/>
  <c r="N82" i="9" l="1"/>
  <c r="O82" i="9" s="1"/>
  <c r="P82" i="9" s="1"/>
  <c r="R81" i="9"/>
  <c r="S81" i="9"/>
  <c r="N83" i="9" l="1"/>
  <c r="O83" i="9" s="1"/>
  <c r="P83" i="9" s="1"/>
  <c r="R82" i="9"/>
  <c r="S82" i="9"/>
  <c r="N84" i="9" l="1"/>
  <c r="O84" i="9" s="1"/>
  <c r="P84" i="9" s="1"/>
  <c r="R83" i="9"/>
  <c r="S83" i="9"/>
  <c r="N85" i="9" l="1"/>
  <c r="O85" i="9" s="1"/>
  <c r="P85" i="9" s="1"/>
  <c r="R84" i="9"/>
  <c r="S84" i="9"/>
  <c r="N86" i="9" l="1"/>
  <c r="O86" i="9" s="1"/>
  <c r="P86" i="9" s="1"/>
  <c r="R85" i="9"/>
  <c r="S85" i="9"/>
  <c r="N87" i="9" l="1"/>
  <c r="O87" i="9" s="1"/>
  <c r="P87" i="9" s="1"/>
  <c r="S86" i="9"/>
  <c r="R86" i="9"/>
  <c r="N88" i="9" l="1"/>
  <c r="O88" i="9" s="1"/>
  <c r="P88" i="9" s="1"/>
  <c r="S87" i="9"/>
  <c r="R87" i="9"/>
  <c r="N89" i="9" l="1"/>
  <c r="O89" i="9" s="1"/>
  <c r="P89" i="9" s="1"/>
  <c r="R88" i="9"/>
  <c r="S88" i="9"/>
  <c r="N90" i="9" l="1"/>
  <c r="O90" i="9" s="1"/>
  <c r="P90" i="9" s="1"/>
  <c r="R89" i="9"/>
  <c r="S89" i="9"/>
  <c r="N91" i="9" l="1"/>
  <c r="O91" i="9" s="1"/>
  <c r="P91" i="9" s="1"/>
  <c r="R90" i="9"/>
  <c r="S90" i="9"/>
  <c r="N92" i="9" l="1"/>
  <c r="O92" i="9" s="1"/>
  <c r="P92" i="9" s="1"/>
  <c r="S91" i="9"/>
  <c r="R91" i="9"/>
  <c r="N93" i="9" l="1"/>
  <c r="O93" i="9" s="1"/>
  <c r="P93" i="9" s="1"/>
  <c r="R92" i="9"/>
  <c r="S92" i="9"/>
  <c r="N94" i="9" l="1"/>
  <c r="O94" i="9" s="1"/>
  <c r="P94" i="9" s="1"/>
  <c r="S93" i="9"/>
  <c r="R93" i="9"/>
  <c r="N95" i="9" l="1"/>
  <c r="O95" i="9" s="1"/>
  <c r="P95" i="9" s="1"/>
  <c r="R94" i="9"/>
  <c r="S94" i="9"/>
  <c r="N96" i="9" l="1"/>
  <c r="O96" i="9" s="1"/>
  <c r="P96" i="9" s="1"/>
  <c r="R95" i="9"/>
  <c r="S95" i="9"/>
  <c r="N97" i="9" l="1"/>
  <c r="O97" i="9" s="1"/>
  <c r="P97" i="9" s="1"/>
  <c r="R96" i="9"/>
  <c r="S96" i="9"/>
  <c r="N98" i="9" l="1"/>
  <c r="O98" i="9" s="1"/>
  <c r="P98" i="9" s="1"/>
  <c r="R97" i="9"/>
  <c r="S97" i="9"/>
  <c r="N99" i="9" l="1"/>
  <c r="O99" i="9" s="1"/>
  <c r="P99" i="9" s="1"/>
  <c r="R98" i="9"/>
  <c r="S98" i="9"/>
  <c r="N100" i="9" l="1"/>
  <c r="O100" i="9" s="1"/>
  <c r="P100" i="9" s="1"/>
  <c r="S99" i="9"/>
  <c r="R99" i="9"/>
  <c r="N101" i="9" l="1"/>
  <c r="O101" i="9" s="1"/>
  <c r="P101" i="9" s="1"/>
  <c r="R100" i="9"/>
  <c r="S100" i="9"/>
  <c r="N102" i="9" l="1"/>
  <c r="O102" i="9" s="1"/>
  <c r="P102" i="9" s="1"/>
  <c r="R101" i="9"/>
  <c r="S101" i="9"/>
  <c r="N103" i="9" l="1"/>
  <c r="O103" i="9" s="1"/>
  <c r="P103" i="9" s="1"/>
  <c r="R102" i="9"/>
  <c r="S102" i="9"/>
  <c r="N104" i="9" l="1"/>
  <c r="O104" i="9" s="1"/>
  <c r="P104" i="9" s="1"/>
  <c r="R103" i="9"/>
  <c r="S103" i="9"/>
  <c r="N105" i="9" l="1"/>
  <c r="O105" i="9" s="1"/>
  <c r="P105" i="9" s="1"/>
  <c r="S104" i="9"/>
  <c r="R104" i="9"/>
  <c r="N106" i="9" l="1"/>
  <c r="O106" i="9" s="1"/>
  <c r="P106" i="9" s="1"/>
  <c r="R105" i="9"/>
  <c r="S105" i="9"/>
  <c r="N107" i="9" l="1"/>
  <c r="O107" i="9" s="1"/>
  <c r="P107" i="9" s="1"/>
  <c r="S106" i="9"/>
  <c r="R106" i="9"/>
  <c r="N108" i="9" l="1"/>
  <c r="O108" i="9" s="1"/>
  <c r="P108" i="9" s="1"/>
  <c r="R107" i="9"/>
  <c r="S107" i="9"/>
  <c r="N109" i="9" l="1"/>
  <c r="O109" i="9" s="1"/>
  <c r="P109" i="9" s="1"/>
  <c r="S108" i="9"/>
  <c r="R108" i="9"/>
  <c r="N110" i="9" l="1"/>
  <c r="O110" i="9" s="1"/>
  <c r="P110" i="9" s="1"/>
  <c r="R109" i="9"/>
  <c r="S109" i="9"/>
  <c r="N111" i="9" l="1"/>
  <c r="O111" i="9" s="1"/>
  <c r="P111" i="9" s="1"/>
  <c r="S110" i="9"/>
  <c r="R110" i="9"/>
  <c r="N112" i="9" l="1"/>
  <c r="O112" i="9" s="1"/>
  <c r="P112" i="9" s="1"/>
  <c r="R111" i="9"/>
  <c r="S111" i="9"/>
  <c r="N113" i="9" l="1"/>
  <c r="O113" i="9" s="1"/>
  <c r="P113" i="9" s="1"/>
  <c r="S112" i="9"/>
  <c r="R112" i="9"/>
  <c r="N114" i="9" l="1"/>
  <c r="O114" i="9" s="1"/>
  <c r="P114" i="9" s="1"/>
  <c r="R113" i="9"/>
  <c r="S113" i="9"/>
  <c r="N115" i="9" l="1"/>
  <c r="O115" i="9" s="1"/>
  <c r="P115" i="9" s="1"/>
  <c r="S114" i="9"/>
  <c r="R114" i="9"/>
  <c r="N116" i="9" l="1"/>
  <c r="O116" i="9" s="1"/>
  <c r="P116" i="9" s="1"/>
  <c r="R115" i="9"/>
  <c r="S115" i="9"/>
  <c r="N117" i="9" l="1"/>
  <c r="O117" i="9" s="1"/>
  <c r="P117" i="9" s="1"/>
  <c r="R116" i="9"/>
  <c r="S116" i="9"/>
  <c r="N118" i="9" l="1"/>
  <c r="O118" i="9" s="1"/>
  <c r="P118" i="9" s="1"/>
  <c r="R117" i="9"/>
  <c r="S117" i="9"/>
  <c r="N119" i="9" l="1"/>
  <c r="O119" i="9" s="1"/>
  <c r="P119" i="9" s="1"/>
  <c r="R118" i="9"/>
  <c r="S118" i="9"/>
  <c r="N120" i="9" l="1"/>
  <c r="O120" i="9" s="1"/>
  <c r="P120" i="9" s="1"/>
  <c r="R119" i="9"/>
  <c r="S119" i="9"/>
  <c r="N121" i="9" l="1"/>
  <c r="O121" i="9" s="1"/>
  <c r="P121" i="9" s="1"/>
  <c r="R120" i="9"/>
  <c r="S120" i="9"/>
  <c r="N122" i="9" l="1"/>
  <c r="O122" i="9" s="1"/>
  <c r="P122" i="9" s="1"/>
  <c r="R121" i="9"/>
  <c r="S121" i="9"/>
  <c r="N123" i="9" l="1"/>
  <c r="O123" i="9" s="1"/>
  <c r="P123" i="9" s="1"/>
  <c r="R122" i="9"/>
  <c r="S122" i="9"/>
  <c r="N124" i="9" l="1"/>
  <c r="O124" i="9" s="1"/>
  <c r="P124" i="9" s="1"/>
  <c r="R123" i="9"/>
  <c r="S123" i="9"/>
  <c r="N125" i="9" l="1"/>
  <c r="O125" i="9" s="1"/>
  <c r="P125" i="9" s="1"/>
  <c r="R124" i="9"/>
  <c r="S124" i="9"/>
  <c r="N126" i="9" l="1"/>
  <c r="O126" i="9" s="1"/>
  <c r="P126" i="9" s="1"/>
  <c r="R125" i="9"/>
  <c r="S125" i="9"/>
  <c r="N127" i="9" l="1"/>
  <c r="O127" i="9" s="1"/>
  <c r="P127" i="9" s="1"/>
  <c r="R126" i="9"/>
  <c r="S126" i="9"/>
  <c r="N128" i="9" l="1"/>
  <c r="O128" i="9" s="1"/>
  <c r="P128" i="9" s="1"/>
  <c r="S127" i="9"/>
  <c r="R127" i="9"/>
  <c r="N129" i="9" l="1"/>
  <c r="O129" i="9" s="1"/>
  <c r="P129" i="9" s="1"/>
  <c r="S128" i="9"/>
  <c r="R128" i="9"/>
  <c r="N130" i="9" l="1"/>
  <c r="O130" i="9" s="1"/>
  <c r="P130" i="9" s="1"/>
  <c r="R129" i="9"/>
  <c r="S129" i="9"/>
  <c r="N131" i="9" l="1"/>
  <c r="O131" i="9" s="1"/>
  <c r="P131" i="9" s="1"/>
  <c r="R130" i="9"/>
  <c r="S130" i="9"/>
  <c r="N132" i="9" l="1"/>
  <c r="O132" i="9" s="1"/>
  <c r="P132" i="9" s="1"/>
  <c r="R131" i="9"/>
  <c r="S131" i="9"/>
  <c r="N133" i="9" l="1"/>
  <c r="O133" i="9" s="1"/>
  <c r="P133" i="9" s="1"/>
  <c r="R132" i="9"/>
  <c r="S132" i="9"/>
  <c r="N134" i="9" l="1"/>
  <c r="O134" i="9" s="1"/>
  <c r="P134" i="9" s="1"/>
  <c r="R133" i="9"/>
  <c r="S133" i="9"/>
  <c r="N135" i="9" l="1"/>
  <c r="O135" i="9" s="1"/>
  <c r="P135" i="9" s="1"/>
  <c r="S134" i="9"/>
  <c r="R134" i="9"/>
  <c r="N136" i="9" l="1"/>
  <c r="O136" i="9" s="1"/>
  <c r="P136" i="9" s="1"/>
  <c r="R135" i="9"/>
  <c r="S135" i="9"/>
  <c r="N137" i="9" l="1"/>
  <c r="O137" i="9" s="1"/>
  <c r="P137" i="9" s="1"/>
  <c r="R136" i="9"/>
  <c r="S136" i="9"/>
  <c r="N138" i="9" l="1"/>
  <c r="O138" i="9" s="1"/>
  <c r="P138" i="9" s="1"/>
  <c r="R137" i="9"/>
  <c r="S137" i="9"/>
  <c r="N139" i="9" l="1"/>
  <c r="O139" i="9" s="1"/>
  <c r="P139" i="9" s="1"/>
  <c r="R138" i="9"/>
  <c r="S138" i="9"/>
  <c r="N140" i="9" l="1"/>
  <c r="O140" i="9" s="1"/>
  <c r="P140" i="9" s="1"/>
  <c r="S139" i="9"/>
  <c r="R139" i="9"/>
  <c r="N141" i="9" l="1"/>
  <c r="O141" i="9" s="1"/>
  <c r="P141" i="9" s="1"/>
  <c r="S140" i="9"/>
  <c r="R140" i="9"/>
  <c r="N142" i="9" l="1"/>
  <c r="O142" i="9" s="1"/>
  <c r="P142" i="9" s="1"/>
  <c r="R141" i="9"/>
  <c r="S141" i="9"/>
  <c r="N143" i="9" l="1"/>
  <c r="O143" i="9" s="1"/>
  <c r="P143" i="9" s="1"/>
  <c r="R142" i="9"/>
  <c r="S142" i="9"/>
  <c r="N144" i="9" l="1"/>
  <c r="O144" i="9" s="1"/>
  <c r="P144" i="9" s="1"/>
  <c r="R143" i="9"/>
  <c r="S143" i="9"/>
  <c r="N145" i="9" l="1"/>
  <c r="O145" i="9" s="1"/>
  <c r="P145" i="9" s="1"/>
  <c r="R144" i="9"/>
  <c r="S144" i="9"/>
  <c r="N146" i="9" l="1"/>
  <c r="O146" i="9" s="1"/>
  <c r="P146" i="9" s="1"/>
  <c r="R145" i="9"/>
  <c r="S145" i="9"/>
  <c r="N147" i="9" l="1"/>
  <c r="O147" i="9" s="1"/>
  <c r="P147" i="9" s="1"/>
  <c r="S146" i="9"/>
  <c r="R146" i="9"/>
  <c r="N148" i="9" l="1"/>
  <c r="O148" i="9" s="1"/>
  <c r="P148" i="9" s="1"/>
  <c r="S147" i="9"/>
  <c r="R147" i="9"/>
  <c r="N149" i="9" l="1"/>
  <c r="O149" i="9" s="1"/>
  <c r="P149" i="9" s="1"/>
  <c r="R148" i="9"/>
  <c r="S148" i="9"/>
  <c r="N150" i="9" l="1"/>
  <c r="O150" i="9" s="1"/>
  <c r="P150" i="9" s="1"/>
  <c r="R149" i="9"/>
  <c r="S149" i="9"/>
  <c r="N151" i="9" l="1"/>
  <c r="O151" i="9" s="1"/>
  <c r="P151" i="9" s="1"/>
  <c r="R150" i="9"/>
  <c r="S150" i="9"/>
  <c r="N152" i="9" l="1"/>
  <c r="O152" i="9" s="1"/>
  <c r="P152" i="9" s="1"/>
  <c r="S151" i="9"/>
  <c r="R151" i="9"/>
  <c r="N153" i="9" l="1"/>
  <c r="O153" i="9" s="1"/>
  <c r="P153" i="9" s="1"/>
  <c r="R152" i="9"/>
  <c r="S152" i="9"/>
  <c r="N154" i="9" l="1"/>
  <c r="O154" i="9" s="1"/>
  <c r="P154" i="9" s="1"/>
  <c r="R153" i="9"/>
  <c r="S153" i="9"/>
  <c r="N155" i="9" l="1"/>
  <c r="O155" i="9" s="1"/>
  <c r="P155" i="9" s="1"/>
  <c r="R154" i="9"/>
  <c r="S154" i="9"/>
  <c r="N156" i="9" l="1"/>
  <c r="O156" i="9" s="1"/>
  <c r="P156" i="9" s="1"/>
  <c r="R155" i="9"/>
  <c r="S155" i="9"/>
  <c r="N157" i="9" l="1"/>
  <c r="O157" i="9" s="1"/>
  <c r="P157" i="9" s="1"/>
  <c r="S156" i="9"/>
  <c r="R156" i="9"/>
  <c r="N158" i="9" l="1"/>
  <c r="O158" i="9" s="1"/>
  <c r="P158" i="9" s="1"/>
  <c r="R157" i="9"/>
  <c r="S157" i="9"/>
  <c r="N159" i="9" l="1"/>
  <c r="O159" i="9" s="1"/>
  <c r="P159" i="9" s="1"/>
  <c r="R158" i="9"/>
  <c r="S158" i="9"/>
  <c r="N160" i="9" l="1"/>
  <c r="O160" i="9" s="1"/>
  <c r="P160" i="9" s="1"/>
  <c r="R159" i="9"/>
  <c r="S159" i="9"/>
  <c r="N161" i="9" l="1"/>
  <c r="O161" i="9" s="1"/>
  <c r="P161" i="9" s="1"/>
  <c r="R160" i="9"/>
  <c r="S160" i="9"/>
  <c r="N162" i="9" l="1"/>
  <c r="O162" i="9" s="1"/>
  <c r="P162" i="9" s="1"/>
  <c r="R161" i="9"/>
  <c r="S161" i="9"/>
  <c r="N163" i="9" l="1"/>
  <c r="O163" i="9" s="1"/>
  <c r="P163" i="9" s="1"/>
  <c r="S162" i="9"/>
  <c r="R162" i="9"/>
  <c r="N164" i="9" l="1"/>
  <c r="O164" i="9" s="1"/>
  <c r="P164" i="9" s="1"/>
  <c r="S163" i="9"/>
  <c r="R163" i="9"/>
  <c r="N165" i="9" l="1"/>
  <c r="O165" i="9" s="1"/>
  <c r="P165" i="9" s="1"/>
  <c r="R164" i="9"/>
  <c r="S164" i="9"/>
  <c r="N166" i="9" l="1"/>
  <c r="O166" i="9" s="1"/>
  <c r="P166" i="9" s="1"/>
  <c r="R165" i="9"/>
  <c r="S165" i="9"/>
  <c r="N167" i="9" l="1"/>
  <c r="O167" i="9" s="1"/>
  <c r="P167" i="9" s="1"/>
  <c r="S166" i="9"/>
  <c r="R166" i="9"/>
  <c r="N168" i="9" l="1"/>
  <c r="O168" i="9" s="1"/>
  <c r="P168" i="9" s="1"/>
  <c r="R167" i="9"/>
  <c r="S167" i="9"/>
  <c r="N169" i="9" l="1"/>
  <c r="O169" i="9" s="1"/>
  <c r="P169" i="9" s="1"/>
  <c r="S168" i="9"/>
  <c r="R168" i="9"/>
  <c r="N170" i="9" l="1"/>
  <c r="O170" i="9" s="1"/>
  <c r="P170" i="9" s="1"/>
  <c r="R169" i="9"/>
  <c r="S169" i="9"/>
  <c r="N171" i="9" l="1"/>
  <c r="O171" i="9" s="1"/>
  <c r="P171" i="9" s="1"/>
  <c r="S170" i="9"/>
  <c r="R170" i="9"/>
  <c r="N172" i="9" l="1"/>
  <c r="O172" i="9" s="1"/>
  <c r="P172" i="9" s="1"/>
  <c r="R171" i="9"/>
  <c r="S171" i="9"/>
  <c r="N173" i="9" l="1"/>
  <c r="O173" i="9" s="1"/>
  <c r="P173" i="9" s="1"/>
  <c r="R172" i="9"/>
  <c r="S172" i="9"/>
  <c r="N174" i="9" l="1"/>
  <c r="O174" i="9" s="1"/>
  <c r="P174" i="9" s="1"/>
  <c r="S173" i="9"/>
  <c r="R173" i="9"/>
  <c r="N175" i="9" l="1"/>
  <c r="O175" i="9" s="1"/>
  <c r="P175" i="9" s="1"/>
  <c r="S174" i="9"/>
  <c r="R174" i="9"/>
  <c r="N176" i="9" l="1"/>
  <c r="O176" i="9" s="1"/>
  <c r="P176" i="9" s="1"/>
  <c r="R175" i="9"/>
  <c r="S175" i="9"/>
  <c r="N177" i="9" l="1"/>
  <c r="O177" i="9" s="1"/>
  <c r="P177" i="9" s="1"/>
  <c r="R176" i="9"/>
  <c r="S176" i="9"/>
  <c r="N178" i="9" l="1"/>
  <c r="O178" i="9" s="1"/>
  <c r="P178" i="9" s="1"/>
  <c r="R177" i="9"/>
  <c r="S177" i="9"/>
  <c r="N179" i="9" l="1"/>
  <c r="O179" i="9" s="1"/>
  <c r="P179" i="9" s="1"/>
  <c r="R178" i="9"/>
  <c r="S178" i="9"/>
  <c r="N180" i="9" l="1"/>
  <c r="O180" i="9" s="1"/>
  <c r="P180" i="9" s="1"/>
  <c r="R179" i="9"/>
  <c r="S179" i="9"/>
  <c r="N181" i="9" l="1"/>
  <c r="O181" i="9" s="1"/>
  <c r="P181" i="9" s="1"/>
  <c r="S180" i="9"/>
  <c r="R180" i="9"/>
  <c r="N182" i="9" l="1"/>
  <c r="O182" i="9" s="1"/>
  <c r="P182" i="9" s="1"/>
  <c r="R181" i="9"/>
  <c r="S181" i="9"/>
  <c r="N183" i="9" l="1"/>
  <c r="O183" i="9" s="1"/>
  <c r="P183" i="9" s="1"/>
  <c r="R182" i="9"/>
  <c r="S182" i="9"/>
  <c r="N184" i="9" l="1"/>
  <c r="O184" i="9" s="1"/>
  <c r="P184" i="9" s="1"/>
  <c r="S183" i="9"/>
  <c r="R183" i="9"/>
  <c r="N185" i="9" l="1"/>
  <c r="O185" i="9" s="1"/>
  <c r="P185" i="9" s="1"/>
  <c r="R184" i="9"/>
  <c r="S184" i="9"/>
  <c r="N186" i="9" l="1"/>
  <c r="O186" i="9" s="1"/>
  <c r="P186" i="9" s="1"/>
  <c r="R185" i="9"/>
  <c r="S185" i="9"/>
  <c r="N187" i="9" l="1"/>
  <c r="O187" i="9" s="1"/>
  <c r="P187" i="9" s="1"/>
  <c r="R186" i="9"/>
  <c r="S186" i="9"/>
  <c r="N188" i="9" l="1"/>
  <c r="O188" i="9" s="1"/>
  <c r="P188" i="9" s="1"/>
  <c r="R187" i="9"/>
  <c r="S187" i="9"/>
  <c r="N189" i="9" l="1"/>
  <c r="O189" i="9" s="1"/>
  <c r="P189" i="9" s="1"/>
  <c r="R188" i="9"/>
  <c r="S188" i="9"/>
  <c r="N190" i="9" l="1"/>
  <c r="O190" i="9" s="1"/>
  <c r="P190" i="9" s="1"/>
  <c r="R189" i="9"/>
  <c r="S189" i="9"/>
  <c r="N191" i="9" l="1"/>
  <c r="O191" i="9" s="1"/>
  <c r="P191" i="9" s="1"/>
  <c r="S190" i="9"/>
  <c r="R190" i="9"/>
  <c r="N192" i="9" l="1"/>
  <c r="O192" i="9" s="1"/>
  <c r="P192" i="9" s="1"/>
  <c r="R191" i="9"/>
  <c r="S191" i="9"/>
  <c r="N193" i="9" l="1"/>
  <c r="O193" i="9" s="1"/>
  <c r="P193" i="9" s="1"/>
  <c r="R192" i="9"/>
  <c r="S192" i="9"/>
  <c r="N194" i="9" l="1"/>
  <c r="O194" i="9" s="1"/>
  <c r="P194" i="9" s="1"/>
  <c r="S193" i="9"/>
  <c r="R193" i="9"/>
  <c r="N195" i="9" l="1"/>
  <c r="O195" i="9" s="1"/>
  <c r="P195" i="9" s="1"/>
  <c r="R194" i="9"/>
  <c r="S194" i="9"/>
  <c r="N196" i="9" l="1"/>
  <c r="O196" i="9" s="1"/>
  <c r="P196" i="9" s="1"/>
  <c r="R195" i="9"/>
  <c r="S195" i="9"/>
  <c r="N197" i="9" l="1"/>
  <c r="O197" i="9" s="1"/>
  <c r="P197" i="9" s="1"/>
  <c r="R196" i="9"/>
  <c r="S196" i="9"/>
  <c r="N198" i="9" l="1"/>
  <c r="O198" i="9" s="1"/>
  <c r="P198" i="9" s="1"/>
  <c r="R197" i="9"/>
  <c r="S197" i="9"/>
  <c r="N199" i="9" l="1"/>
  <c r="O199" i="9" s="1"/>
  <c r="P199" i="9" s="1"/>
  <c r="R198" i="9"/>
  <c r="S198" i="9"/>
  <c r="N200" i="9" l="1"/>
  <c r="O200" i="9" s="1"/>
  <c r="P200" i="9" s="1"/>
  <c r="R199" i="9"/>
  <c r="S199" i="9"/>
  <c r="N201" i="9" l="1"/>
  <c r="O201" i="9" s="1"/>
  <c r="P201" i="9" s="1"/>
  <c r="R200" i="9"/>
  <c r="S200" i="9"/>
  <c r="N202" i="9" l="1"/>
  <c r="O202" i="9" s="1"/>
  <c r="P202" i="9" s="1"/>
  <c r="R201" i="9"/>
  <c r="S201" i="9"/>
  <c r="N203" i="9" l="1"/>
  <c r="O203" i="9" s="1"/>
  <c r="P203" i="9" s="1"/>
  <c r="S202" i="9"/>
  <c r="R202" i="9"/>
  <c r="N204" i="9" l="1"/>
  <c r="O204" i="9" s="1"/>
  <c r="P204" i="9" s="1"/>
  <c r="R203" i="9"/>
  <c r="S203" i="9"/>
  <c r="N205" i="9" l="1"/>
  <c r="O205" i="9" s="1"/>
  <c r="P205" i="9" s="1"/>
  <c r="R204" i="9"/>
  <c r="S204" i="9"/>
  <c r="N206" i="9" l="1"/>
  <c r="O206" i="9" s="1"/>
  <c r="P206" i="9" s="1"/>
  <c r="R205" i="9"/>
  <c r="S205" i="9"/>
  <c r="N207" i="9" l="1"/>
  <c r="O207" i="9" s="1"/>
  <c r="P207" i="9" s="1"/>
  <c r="S206" i="9"/>
  <c r="R206" i="9"/>
  <c r="N208" i="9" l="1"/>
  <c r="O208" i="9" s="1"/>
  <c r="P208" i="9" s="1"/>
  <c r="R207" i="9"/>
  <c r="S207" i="9"/>
  <c r="N209" i="9" l="1"/>
  <c r="O209" i="9" s="1"/>
  <c r="P209" i="9" s="1"/>
  <c r="R208" i="9"/>
  <c r="S208" i="9"/>
  <c r="N210" i="9" l="1"/>
  <c r="O210" i="9" s="1"/>
  <c r="P210" i="9" s="1"/>
  <c r="R209" i="9"/>
  <c r="S209" i="9"/>
  <c r="N211" i="9" l="1"/>
  <c r="O211" i="9" s="1"/>
  <c r="P211" i="9" s="1"/>
  <c r="S210" i="9"/>
  <c r="R210" i="9"/>
  <c r="N212" i="9" l="1"/>
  <c r="O212" i="9" s="1"/>
  <c r="P212" i="9" s="1"/>
  <c r="R211" i="9"/>
  <c r="S211" i="9"/>
  <c r="N213" i="9" l="1"/>
  <c r="O213" i="9" s="1"/>
  <c r="P213" i="9" s="1"/>
  <c r="R212" i="9"/>
  <c r="S212" i="9"/>
  <c r="N214" i="9" l="1"/>
  <c r="O214" i="9" s="1"/>
  <c r="P214" i="9" s="1"/>
  <c r="R213" i="9"/>
  <c r="S213" i="9"/>
  <c r="N215" i="9" l="1"/>
  <c r="O215" i="9" s="1"/>
  <c r="P215" i="9" s="1"/>
  <c r="R214" i="9"/>
  <c r="S214" i="9"/>
  <c r="N216" i="9" l="1"/>
  <c r="O216" i="9" s="1"/>
  <c r="P216" i="9" s="1"/>
  <c r="S215" i="9"/>
  <c r="R215" i="9"/>
  <c r="N217" i="9" l="1"/>
  <c r="O217" i="9" s="1"/>
  <c r="P217" i="9" s="1"/>
  <c r="S216" i="9"/>
  <c r="R216" i="9"/>
  <c r="N218" i="9" l="1"/>
  <c r="O218" i="9" s="1"/>
  <c r="P218" i="9" s="1"/>
  <c r="R217" i="9"/>
  <c r="S217" i="9"/>
  <c r="N219" i="9" l="1"/>
  <c r="O219" i="9" s="1"/>
  <c r="P219" i="9" s="1"/>
  <c r="R218" i="9"/>
  <c r="S218" i="9"/>
  <c r="N220" i="9" l="1"/>
  <c r="O220" i="9" s="1"/>
  <c r="P220" i="9" s="1"/>
  <c r="R219" i="9"/>
  <c r="S219" i="9"/>
  <c r="N221" i="9" l="1"/>
  <c r="O221" i="9" s="1"/>
  <c r="P221" i="9" s="1"/>
  <c r="R220" i="9"/>
  <c r="S220" i="9"/>
  <c r="N222" i="9" l="1"/>
  <c r="O222" i="9" s="1"/>
  <c r="P222" i="9" s="1"/>
  <c r="R221" i="9"/>
  <c r="S221" i="9"/>
  <c r="N223" i="9" l="1"/>
  <c r="O223" i="9" s="1"/>
  <c r="P223" i="9" s="1"/>
  <c r="S222" i="9"/>
  <c r="R222" i="9"/>
  <c r="N224" i="9" l="1"/>
  <c r="O224" i="9" s="1"/>
  <c r="P224" i="9" s="1"/>
  <c r="R223" i="9"/>
  <c r="S223" i="9"/>
  <c r="N225" i="9" l="1"/>
  <c r="O225" i="9" s="1"/>
  <c r="P225" i="9" s="1"/>
  <c r="R224" i="9"/>
  <c r="S224" i="9"/>
  <c r="N226" i="9" l="1"/>
  <c r="O226" i="9" s="1"/>
  <c r="P226" i="9" s="1"/>
  <c r="R225" i="9"/>
  <c r="S225" i="9"/>
  <c r="N227" i="9" l="1"/>
  <c r="O227" i="9" s="1"/>
  <c r="P227" i="9" s="1"/>
  <c r="R226" i="9"/>
  <c r="S226" i="9"/>
  <c r="N228" i="9" l="1"/>
  <c r="O228" i="9" s="1"/>
  <c r="P228" i="9" s="1"/>
  <c r="S227" i="9"/>
  <c r="R227" i="9"/>
  <c r="N229" i="9" l="1"/>
  <c r="O229" i="9" s="1"/>
  <c r="P229" i="9" s="1"/>
  <c r="R228" i="9"/>
  <c r="S228" i="9"/>
  <c r="N230" i="9" l="1"/>
  <c r="O230" i="9" s="1"/>
  <c r="P230" i="9" s="1"/>
  <c r="R229" i="9"/>
  <c r="S229" i="9"/>
  <c r="N231" i="9" l="1"/>
  <c r="O231" i="9" s="1"/>
  <c r="P231" i="9" s="1"/>
  <c r="R230" i="9"/>
  <c r="S230" i="9"/>
  <c r="N232" i="9" l="1"/>
  <c r="O232" i="9" s="1"/>
  <c r="P232" i="9" s="1"/>
  <c r="S231" i="9"/>
  <c r="R231" i="9"/>
  <c r="N233" i="9" l="1"/>
  <c r="O233" i="9" s="1"/>
  <c r="P233" i="9" s="1"/>
  <c r="R232" i="9"/>
  <c r="S232" i="9"/>
  <c r="N234" i="9" l="1"/>
  <c r="O234" i="9" s="1"/>
  <c r="P234" i="9" s="1"/>
  <c r="R233" i="9"/>
  <c r="S233" i="9"/>
  <c r="N235" i="9" l="1"/>
  <c r="O235" i="9" s="1"/>
  <c r="P235" i="9" s="1"/>
  <c r="S234" i="9"/>
  <c r="R234" i="9"/>
  <c r="N236" i="9" l="1"/>
  <c r="O236" i="9" s="1"/>
  <c r="P236" i="9" s="1"/>
  <c r="S235" i="9"/>
  <c r="R235" i="9"/>
  <c r="N237" i="9" l="1"/>
  <c r="O237" i="9" s="1"/>
  <c r="P237" i="9" s="1"/>
  <c r="R236" i="9"/>
  <c r="S236" i="9"/>
  <c r="N238" i="9" l="1"/>
  <c r="O238" i="9" s="1"/>
  <c r="P238" i="9" s="1"/>
  <c r="S237" i="9"/>
  <c r="R237" i="9"/>
  <c r="N239" i="9" l="1"/>
  <c r="O239" i="9" s="1"/>
  <c r="P239" i="9" s="1"/>
  <c r="R238" i="9"/>
  <c r="S238" i="9"/>
  <c r="N240" i="9" l="1"/>
  <c r="O240" i="9" s="1"/>
  <c r="P240" i="9" s="1"/>
  <c r="R239" i="9"/>
  <c r="S239" i="9"/>
  <c r="N241" i="9" l="1"/>
  <c r="O241" i="9" s="1"/>
  <c r="P241" i="9" s="1"/>
  <c r="R240" i="9"/>
  <c r="S240" i="9"/>
  <c r="N242" i="9" l="1"/>
  <c r="O242" i="9" s="1"/>
  <c r="P242" i="9" s="1"/>
  <c r="R241" i="9"/>
  <c r="S241" i="9"/>
  <c r="N243" i="9" l="1"/>
  <c r="O243" i="9" s="1"/>
  <c r="P243" i="9" s="1"/>
  <c r="S242" i="9"/>
  <c r="R242" i="9"/>
  <c r="N244" i="9" l="1"/>
  <c r="O244" i="9" s="1"/>
  <c r="P244" i="9" s="1"/>
  <c r="R243" i="9"/>
  <c r="S243" i="9"/>
  <c r="N245" i="9" l="1"/>
  <c r="O245" i="9" s="1"/>
  <c r="P245" i="9" s="1"/>
  <c r="R244" i="9"/>
  <c r="S244" i="9"/>
  <c r="N246" i="9" l="1"/>
  <c r="O246" i="9" s="1"/>
  <c r="P246" i="9" s="1"/>
  <c r="R245" i="9"/>
  <c r="S245" i="9"/>
  <c r="N247" i="9" l="1"/>
  <c r="O247" i="9" s="1"/>
  <c r="P247" i="9" s="1"/>
  <c r="S246" i="9"/>
  <c r="R246" i="9"/>
  <c r="N248" i="9" l="1"/>
  <c r="O248" i="9" s="1"/>
  <c r="P248" i="9" s="1"/>
  <c r="R247" i="9"/>
  <c r="S247" i="9"/>
  <c r="N249" i="9" l="1"/>
  <c r="O249" i="9" s="1"/>
  <c r="P249" i="9" s="1"/>
  <c r="R248" i="9"/>
  <c r="S248" i="9"/>
  <c r="N250" i="9" l="1"/>
  <c r="O250" i="9" s="1"/>
  <c r="P250" i="9" s="1"/>
  <c r="R249" i="9"/>
  <c r="S249" i="9"/>
  <c r="N251" i="9" l="1"/>
  <c r="O251" i="9" s="1"/>
  <c r="P251" i="9" s="1"/>
  <c r="S250" i="9"/>
  <c r="R250" i="9"/>
  <c r="N252" i="9" l="1"/>
  <c r="O252" i="9" s="1"/>
  <c r="P252" i="9" s="1"/>
  <c r="S251" i="9"/>
  <c r="R251" i="9"/>
  <c r="N253" i="9" l="1"/>
  <c r="O253" i="9" s="1"/>
  <c r="P253" i="9" s="1"/>
  <c r="R252" i="9"/>
  <c r="S252" i="9"/>
  <c r="N254" i="9" l="1"/>
  <c r="O254" i="9" s="1"/>
  <c r="P254" i="9" s="1"/>
  <c r="R253" i="9"/>
  <c r="S253" i="9"/>
  <c r="N255" i="9" l="1"/>
  <c r="O255" i="9" s="1"/>
  <c r="P255" i="9" s="1"/>
  <c r="R254" i="9"/>
  <c r="S254" i="9"/>
  <c r="N256" i="9" l="1"/>
  <c r="O256" i="9" s="1"/>
  <c r="P256" i="9" s="1"/>
  <c r="S255" i="9"/>
  <c r="R255" i="9"/>
  <c r="N257" i="9" l="1"/>
  <c r="O257" i="9" s="1"/>
  <c r="P257" i="9" s="1"/>
  <c r="R256" i="9"/>
  <c r="S256" i="9"/>
  <c r="N258" i="9" l="1"/>
  <c r="O258" i="9" s="1"/>
  <c r="P258" i="9" s="1"/>
  <c r="S257" i="9"/>
  <c r="R257" i="9"/>
  <c r="N259" i="9" l="1"/>
  <c r="O259" i="9" s="1"/>
  <c r="P259" i="9" s="1"/>
  <c r="R258" i="9"/>
  <c r="S258" i="9"/>
  <c r="N260" i="9" l="1"/>
  <c r="O260" i="9" s="1"/>
  <c r="P260" i="9" s="1"/>
  <c r="R259" i="9"/>
  <c r="S259" i="9"/>
  <c r="N261" i="9" l="1"/>
  <c r="O261" i="9" s="1"/>
  <c r="P261" i="9" s="1"/>
  <c r="R260" i="9"/>
  <c r="S260" i="9"/>
  <c r="N262" i="9" l="1"/>
  <c r="O262" i="9" s="1"/>
  <c r="P262" i="9" s="1"/>
  <c r="S261" i="9"/>
  <c r="R261" i="9"/>
  <c r="N263" i="9" l="1"/>
  <c r="O263" i="9" s="1"/>
  <c r="P263" i="9" s="1"/>
  <c r="R262" i="9"/>
  <c r="S262" i="9"/>
  <c r="N264" i="9" l="1"/>
  <c r="O264" i="9" s="1"/>
  <c r="P264" i="9" s="1"/>
  <c r="R263" i="9"/>
  <c r="S263" i="9"/>
  <c r="N265" i="9" l="1"/>
  <c r="O265" i="9" s="1"/>
  <c r="P265" i="9" s="1"/>
  <c r="R264" i="9"/>
  <c r="S264" i="9"/>
  <c r="N266" i="9" l="1"/>
  <c r="O266" i="9" s="1"/>
  <c r="P266" i="9" s="1"/>
  <c r="S265" i="9"/>
  <c r="R265" i="9"/>
  <c r="N267" i="9" l="1"/>
  <c r="O267" i="9" s="1"/>
  <c r="P267" i="9" s="1"/>
  <c r="R266" i="9"/>
  <c r="S266" i="9"/>
  <c r="N268" i="9" l="1"/>
  <c r="O268" i="9" s="1"/>
  <c r="P268" i="9" s="1"/>
  <c r="S267" i="9"/>
  <c r="R267" i="9"/>
  <c r="N269" i="9" l="1"/>
  <c r="O269" i="9" s="1"/>
  <c r="P269" i="9" s="1"/>
  <c r="R268" i="9"/>
  <c r="S268" i="9"/>
  <c r="N270" i="9" l="1"/>
  <c r="O270" i="9" s="1"/>
  <c r="P270" i="9" s="1"/>
  <c r="S269" i="9"/>
  <c r="R269" i="9"/>
  <c r="N271" i="9" l="1"/>
  <c r="O271" i="9" s="1"/>
  <c r="P271" i="9" s="1"/>
  <c r="R270" i="9"/>
  <c r="S270" i="9"/>
  <c r="N272" i="9" l="1"/>
  <c r="O272" i="9" s="1"/>
  <c r="P272" i="9" s="1"/>
  <c r="R271" i="9"/>
  <c r="S271" i="9"/>
  <c r="N273" i="9" l="1"/>
  <c r="O273" i="9" s="1"/>
  <c r="P273" i="9" s="1"/>
  <c r="R272" i="9"/>
  <c r="S272" i="9"/>
  <c r="N274" i="9" l="1"/>
  <c r="O274" i="9" s="1"/>
  <c r="P274" i="9" s="1"/>
  <c r="S273" i="9"/>
  <c r="R273" i="9"/>
  <c r="N275" i="9" l="1"/>
  <c r="O275" i="9" s="1"/>
  <c r="P275" i="9" s="1"/>
  <c r="S274" i="9"/>
  <c r="R274" i="9"/>
  <c r="N276" i="9" l="1"/>
  <c r="O276" i="9" s="1"/>
  <c r="P276" i="9" s="1"/>
  <c r="R275" i="9"/>
  <c r="S275" i="9"/>
  <c r="N277" i="9" l="1"/>
  <c r="O277" i="9" s="1"/>
  <c r="P277" i="9" s="1"/>
  <c r="S276" i="9"/>
  <c r="R276" i="9"/>
  <c r="N278" i="9" l="1"/>
  <c r="O278" i="9" s="1"/>
  <c r="P278" i="9" s="1"/>
  <c r="R277" i="9"/>
  <c r="S277" i="9"/>
  <c r="N279" i="9" l="1"/>
  <c r="O279" i="9" s="1"/>
  <c r="P279" i="9" s="1"/>
  <c r="S278" i="9"/>
  <c r="R278" i="9"/>
  <c r="N280" i="9" l="1"/>
  <c r="O280" i="9" s="1"/>
  <c r="P280" i="9" s="1"/>
  <c r="R279" i="9"/>
  <c r="S279" i="9"/>
  <c r="N281" i="9" l="1"/>
  <c r="O281" i="9" s="1"/>
  <c r="P281" i="9" s="1"/>
  <c r="S280" i="9"/>
  <c r="R280" i="9"/>
  <c r="N282" i="9" l="1"/>
  <c r="O282" i="9" s="1"/>
  <c r="P282" i="9" s="1"/>
  <c r="R281" i="9"/>
  <c r="S281" i="9"/>
  <c r="N283" i="9" l="1"/>
  <c r="O283" i="9" s="1"/>
  <c r="P283" i="9" s="1"/>
  <c r="S282" i="9"/>
  <c r="R282" i="9"/>
  <c r="N284" i="9" l="1"/>
  <c r="O284" i="9" s="1"/>
  <c r="P284" i="9" s="1"/>
  <c r="R283" i="9"/>
  <c r="S283" i="9"/>
  <c r="N285" i="9" l="1"/>
  <c r="O285" i="9" s="1"/>
  <c r="P285" i="9" s="1"/>
  <c r="R284" i="9"/>
  <c r="S284" i="9"/>
  <c r="N286" i="9" l="1"/>
  <c r="O286" i="9" s="1"/>
  <c r="P286" i="9" s="1"/>
  <c r="R285" i="9"/>
  <c r="S285" i="9"/>
  <c r="N287" i="9" l="1"/>
  <c r="O287" i="9" s="1"/>
  <c r="P287" i="9" s="1"/>
  <c r="S286" i="9"/>
  <c r="R286" i="9"/>
  <c r="N288" i="9" l="1"/>
  <c r="O288" i="9" s="1"/>
  <c r="P288" i="9" s="1"/>
  <c r="S287" i="9"/>
  <c r="R287" i="9"/>
  <c r="N289" i="9" l="1"/>
  <c r="O289" i="9" s="1"/>
  <c r="P289" i="9" s="1"/>
  <c r="R288" i="9"/>
  <c r="S288" i="9"/>
  <c r="N290" i="9" l="1"/>
  <c r="O290" i="9" s="1"/>
  <c r="P290" i="9" s="1"/>
  <c r="S289" i="9"/>
  <c r="R289" i="9"/>
  <c r="N291" i="9" l="1"/>
  <c r="O291" i="9" s="1"/>
  <c r="P291" i="9" s="1"/>
  <c r="R290" i="9"/>
  <c r="S290" i="9"/>
  <c r="N292" i="9" l="1"/>
  <c r="O292" i="9" s="1"/>
  <c r="P292" i="9" s="1"/>
  <c r="S291" i="9"/>
  <c r="R291" i="9"/>
  <c r="N293" i="9" l="1"/>
  <c r="O293" i="9" s="1"/>
  <c r="P293" i="9" s="1"/>
  <c r="R292" i="9"/>
  <c r="S292" i="9"/>
  <c r="N294" i="9" l="1"/>
  <c r="O294" i="9" s="1"/>
  <c r="P294" i="9" s="1"/>
  <c r="S293" i="9"/>
  <c r="R293" i="9"/>
  <c r="N295" i="9" l="1"/>
  <c r="O295" i="9" s="1"/>
  <c r="P295" i="9" s="1"/>
  <c r="R294" i="9"/>
  <c r="S294" i="9"/>
  <c r="N296" i="9" l="1"/>
  <c r="O296" i="9" s="1"/>
  <c r="P296" i="9" s="1"/>
  <c r="S295" i="9"/>
  <c r="R295" i="9"/>
  <c r="N297" i="9" l="1"/>
  <c r="O297" i="9" s="1"/>
  <c r="P297" i="9" s="1"/>
  <c r="R296" i="9"/>
  <c r="S296" i="9"/>
  <c r="N298" i="9" l="1"/>
  <c r="O298" i="9" s="1"/>
  <c r="P298" i="9" s="1"/>
  <c r="S297" i="9"/>
  <c r="R297" i="9"/>
  <c r="N299" i="9" l="1"/>
  <c r="O299" i="9" s="1"/>
  <c r="P299" i="9" s="1"/>
  <c r="R298" i="9"/>
  <c r="S298" i="9"/>
  <c r="N300" i="9" l="1"/>
  <c r="O300" i="9" s="1"/>
  <c r="P300" i="9" s="1"/>
  <c r="S299" i="9"/>
  <c r="R299" i="9"/>
  <c r="N301" i="9" l="1"/>
  <c r="O301" i="9" s="1"/>
  <c r="P301" i="9" s="1"/>
  <c r="R300" i="9"/>
  <c r="S300" i="9"/>
  <c r="N302" i="9" l="1"/>
  <c r="O302" i="9" s="1"/>
  <c r="P302" i="9" s="1"/>
  <c r="S301" i="9"/>
  <c r="R301" i="9"/>
  <c r="N303" i="9" l="1"/>
  <c r="O303" i="9" s="1"/>
  <c r="P303" i="9" s="1"/>
  <c r="R302" i="9"/>
  <c r="S302" i="9"/>
  <c r="N304" i="9" l="1"/>
  <c r="O304" i="9" s="1"/>
  <c r="P304" i="9" s="1"/>
  <c r="S303" i="9"/>
  <c r="R303" i="9"/>
  <c r="N305" i="9" l="1"/>
  <c r="O305" i="9" s="1"/>
  <c r="P305" i="9" s="1"/>
  <c r="R304" i="9"/>
  <c r="S304" i="9"/>
  <c r="N306" i="9" l="1"/>
  <c r="O306" i="9" s="1"/>
  <c r="P306" i="9" s="1"/>
  <c r="R305" i="9"/>
  <c r="S305" i="9"/>
  <c r="N307" i="9" l="1"/>
  <c r="O307" i="9" s="1"/>
  <c r="P307" i="9" s="1"/>
  <c r="R306" i="9"/>
  <c r="S306" i="9"/>
  <c r="N308" i="9" l="1"/>
  <c r="O308" i="9" s="1"/>
  <c r="P308" i="9" s="1"/>
  <c r="R307" i="9"/>
  <c r="S307" i="9"/>
  <c r="N309" i="9" l="1"/>
  <c r="O309" i="9" s="1"/>
  <c r="P309" i="9" s="1"/>
  <c r="R308" i="9"/>
  <c r="S308" i="9"/>
  <c r="N310" i="9" l="1"/>
  <c r="O310" i="9" s="1"/>
  <c r="P310" i="9" s="1"/>
  <c r="R309" i="9"/>
  <c r="S309" i="9"/>
  <c r="N311" i="9" l="1"/>
  <c r="O311" i="9" s="1"/>
  <c r="P311" i="9" s="1"/>
  <c r="R310" i="9"/>
  <c r="S310" i="9"/>
  <c r="N312" i="9" l="1"/>
  <c r="O312" i="9" s="1"/>
  <c r="P312" i="9" s="1"/>
  <c r="R311" i="9"/>
  <c r="S311" i="9"/>
  <c r="N313" i="9" l="1"/>
  <c r="O313" i="9" s="1"/>
  <c r="P313" i="9" s="1"/>
  <c r="R312" i="9"/>
  <c r="S312" i="9"/>
  <c r="N314" i="9" l="1"/>
  <c r="O314" i="9" s="1"/>
  <c r="P314" i="9" s="1"/>
  <c r="R313" i="9"/>
  <c r="S313" i="9"/>
  <c r="N315" i="9" l="1"/>
  <c r="O315" i="9" s="1"/>
  <c r="P315" i="9" s="1"/>
  <c r="R314" i="9"/>
  <c r="S314" i="9"/>
  <c r="N316" i="9" l="1"/>
  <c r="O316" i="9" s="1"/>
  <c r="P316" i="9" s="1"/>
  <c r="R315" i="9"/>
  <c r="S315" i="9"/>
  <c r="N317" i="9" l="1"/>
  <c r="O317" i="9" s="1"/>
  <c r="P317" i="9" s="1"/>
  <c r="R316" i="9"/>
  <c r="S316" i="9"/>
  <c r="N318" i="9" l="1"/>
  <c r="O318" i="9" s="1"/>
  <c r="P318" i="9" s="1"/>
  <c r="R317" i="9"/>
  <c r="S317" i="9"/>
  <c r="N319" i="9" l="1"/>
  <c r="O319" i="9" s="1"/>
  <c r="P319" i="9" s="1"/>
  <c r="R318" i="9"/>
  <c r="S318" i="9"/>
  <c r="N320" i="9" l="1"/>
  <c r="O320" i="9" s="1"/>
  <c r="P320" i="9" s="1"/>
  <c r="R319" i="9"/>
  <c r="S319" i="9"/>
  <c r="N321" i="9" l="1"/>
  <c r="O321" i="9" s="1"/>
  <c r="P321" i="9" s="1"/>
  <c r="R320" i="9"/>
  <c r="S320" i="9"/>
  <c r="N322" i="9" l="1"/>
  <c r="O322" i="9" s="1"/>
  <c r="P322" i="9" s="1"/>
  <c r="R321" i="9"/>
  <c r="S321" i="9"/>
  <c r="N323" i="9" l="1"/>
  <c r="O323" i="9" s="1"/>
  <c r="P323" i="9" s="1"/>
  <c r="R322" i="9"/>
  <c r="S322" i="9"/>
  <c r="N324" i="9" l="1"/>
  <c r="O324" i="9" s="1"/>
  <c r="P324" i="9" s="1"/>
  <c r="R323" i="9"/>
  <c r="S323" i="9"/>
  <c r="N325" i="9" l="1"/>
  <c r="O325" i="9" s="1"/>
  <c r="P325" i="9" s="1"/>
  <c r="R324" i="9"/>
  <c r="S324" i="9"/>
  <c r="N326" i="9" l="1"/>
  <c r="O326" i="9" s="1"/>
  <c r="P326" i="9" s="1"/>
  <c r="R325" i="9"/>
  <c r="S325" i="9"/>
  <c r="N327" i="9" l="1"/>
  <c r="O327" i="9" s="1"/>
  <c r="P327" i="9" s="1"/>
  <c r="R326" i="9"/>
  <c r="S326" i="9"/>
  <c r="N328" i="9" l="1"/>
  <c r="O328" i="9" s="1"/>
  <c r="P328" i="9" s="1"/>
  <c r="R327" i="9"/>
  <c r="S327" i="9"/>
  <c r="N329" i="9" l="1"/>
  <c r="O329" i="9" s="1"/>
  <c r="P329" i="9" s="1"/>
  <c r="R328" i="9"/>
  <c r="S328" i="9"/>
  <c r="N330" i="9" l="1"/>
  <c r="O330" i="9" s="1"/>
  <c r="P330" i="9" s="1"/>
  <c r="R329" i="9"/>
  <c r="S329" i="9"/>
  <c r="N331" i="9" l="1"/>
  <c r="O331" i="9" s="1"/>
  <c r="P331" i="9" s="1"/>
  <c r="R330" i="9"/>
  <c r="S330" i="9"/>
  <c r="N332" i="9" l="1"/>
  <c r="O332" i="9" s="1"/>
  <c r="P332" i="9" s="1"/>
  <c r="S331" i="9"/>
  <c r="R331" i="9"/>
  <c r="N333" i="9" l="1"/>
  <c r="O333" i="9" s="1"/>
  <c r="P333" i="9" s="1"/>
  <c r="R332" i="9"/>
  <c r="S332" i="9"/>
  <c r="N334" i="9" l="1"/>
  <c r="O334" i="9" s="1"/>
  <c r="P334" i="9" s="1"/>
  <c r="R333" i="9"/>
  <c r="S333" i="9"/>
  <c r="N335" i="9" l="1"/>
  <c r="O335" i="9" s="1"/>
  <c r="P335" i="9" s="1"/>
  <c r="R334" i="9"/>
  <c r="S334" i="9"/>
  <c r="N336" i="9" l="1"/>
  <c r="O336" i="9" s="1"/>
  <c r="P336" i="9" s="1"/>
  <c r="R335" i="9"/>
  <c r="S335" i="9"/>
  <c r="N337" i="9" l="1"/>
  <c r="O337" i="9" s="1"/>
  <c r="P337" i="9" s="1"/>
  <c r="R336" i="9"/>
  <c r="S336" i="9"/>
  <c r="N338" i="9" l="1"/>
  <c r="O338" i="9" s="1"/>
  <c r="P338" i="9" s="1"/>
  <c r="R337" i="9"/>
  <c r="S337" i="9"/>
  <c r="N339" i="9" l="1"/>
  <c r="O339" i="9" s="1"/>
  <c r="P339" i="9" s="1"/>
  <c r="R338" i="9"/>
  <c r="S338" i="9"/>
  <c r="N340" i="9" l="1"/>
  <c r="O340" i="9" s="1"/>
  <c r="P340" i="9" s="1"/>
  <c r="R339" i="9"/>
  <c r="S339" i="9"/>
  <c r="N341" i="9" l="1"/>
  <c r="O341" i="9" s="1"/>
  <c r="P341" i="9" s="1"/>
  <c r="R340" i="9"/>
  <c r="S340" i="9"/>
  <c r="N342" i="9" l="1"/>
  <c r="O342" i="9" s="1"/>
  <c r="P342" i="9" s="1"/>
  <c r="S341" i="9"/>
  <c r="R341" i="9"/>
  <c r="N343" i="9" l="1"/>
  <c r="O343" i="9" s="1"/>
  <c r="P343" i="9" s="1"/>
  <c r="R342" i="9"/>
  <c r="S342" i="9"/>
  <c r="N344" i="9" l="1"/>
  <c r="O344" i="9" s="1"/>
  <c r="P344" i="9" s="1"/>
  <c r="S343" i="9"/>
  <c r="R343" i="9"/>
  <c r="N345" i="9" l="1"/>
  <c r="O345" i="9" s="1"/>
  <c r="P345" i="9" s="1"/>
  <c r="S344" i="9"/>
  <c r="R344" i="9"/>
  <c r="N346" i="9" l="1"/>
  <c r="O346" i="9" s="1"/>
  <c r="P346" i="9" s="1"/>
  <c r="R345" i="9"/>
  <c r="S345" i="9"/>
  <c r="N347" i="9" l="1"/>
  <c r="O347" i="9" s="1"/>
  <c r="P347" i="9" s="1"/>
  <c r="R346" i="9"/>
  <c r="S346" i="9"/>
  <c r="N348" i="9" l="1"/>
  <c r="O348" i="9" s="1"/>
  <c r="P348" i="9" s="1"/>
  <c r="R347" i="9"/>
  <c r="S347" i="9"/>
  <c r="N349" i="9" l="1"/>
  <c r="O349" i="9" s="1"/>
  <c r="P349" i="9" s="1"/>
  <c r="R348" i="9"/>
  <c r="S348" i="9"/>
  <c r="N350" i="9" l="1"/>
  <c r="O350" i="9" s="1"/>
  <c r="P350" i="9" s="1"/>
  <c r="R349" i="9"/>
  <c r="S349" i="9"/>
  <c r="N351" i="9" l="1"/>
  <c r="O351" i="9" s="1"/>
  <c r="P351" i="9" s="1"/>
  <c r="R350" i="9"/>
  <c r="S350" i="9"/>
  <c r="N352" i="9" l="1"/>
  <c r="O352" i="9" s="1"/>
  <c r="P352" i="9" s="1"/>
  <c r="R351" i="9"/>
  <c r="S351" i="9"/>
  <c r="N353" i="9" l="1"/>
  <c r="O353" i="9" s="1"/>
  <c r="P353" i="9" s="1"/>
  <c r="R352" i="9"/>
  <c r="S352" i="9"/>
  <c r="N354" i="9" l="1"/>
  <c r="O354" i="9" s="1"/>
  <c r="P354" i="9" s="1"/>
  <c r="R353" i="9"/>
  <c r="S353" i="9"/>
  <c r="N355" i="9" l="1"/>
  <c r="O355" i="9" s="1"/>
  <c r="P355" i="9" s="1"/>
  <c r="R354" i="9"/>
  <c r="S354" i="9"/>
  <c r="N356" i="9" l="1"/>
  <c r="O356" i="9" s="1"/>
  <c r="P356" i="9" s="1"/>
  <c r="R355" i="9"/>
  <c r="S355" i="9"/>
  <c r="N357" i="9" l="1"/>
  <c r="O357" i="9" s="1"/>
  <c r="P357" i="9" s="1"/>
  <c r="R356" i="9"/>
  <c r="S356" i="9"/>
  <c r="N358" i="9" l="1"/>
  <c r="O358" i="9" s="1"/>
  <c r="P358" i="9" s="1"/>
  <c r="R357" i="9"/>
  <c r="S357" i="9"/>
  <c r="N359" i="9" l="1"/>
  <c r="O359" i="9" s="1"/>
  <c r="P359" i="9" s="1"/>
  <c r="R358" i="9"/>
  <c r="S358" i="9"/>
  <c r="N360" i="9" l="1"/>
  <c r="O360" i="9" s="1"/>
  <c r="P360" i="9" s="1"/>
  <c r="R359" i="9"/>
  <c r="S359" i="9"/>
  <c r="N361" i="9" l="1"/>
  <c r="O361" i="9" s="1"/>
  <c r="P361" i="9" s="1"/>
  <c r="R360" i="9"/>
  <c r="S360" i="9"/>
  <c r="N362" i="9" l="1"/>
  <c r="O362" i="9" s="1"/>
  <c r="P362" i="9" s="1"/>
  <c r="R361" i="9"/>
  <c r="S361" i="9"/>
  <c r="N363" i="9" l="1"/>
  <c r="O363" i="9" s="1"/>
  <c r="P363" i="9" s="1"/>
  <c r="R362" i="9"/>
  <c r="S362" i="9"/>
  <c r="N364" i="9" l="1"/>
  <c r="O364" i="9" s="1"/>
  <c r="P364" i="9" s="1"/>
  <c r="R363" i="9"/>
  <c r="S363" i="9"/>
  <c r="N365" i="9" l="1"/>
  <c r="O365" i="9" s="1"/>
  <c r="P365" i="9" s="1"/>
  <c r="R364" i="9"/>
  <c r="S364" i="9"/>
  <c r="N366" i="9" l="1"/>
  <c r="O366" i="9" s="1"/>
  <c r="P366" i="9" s="1"/>
  <c r="R365" i="9"/>
  <c r="S365" i="9"/>
  <c r="N367" i="9" l="1"/>
  <c r="O367" i="9" s="1"/>
  <c r="P367" i="9" s="1"/>
  <c r="R366" i="9"/>
  <c r="S366" i="9"/>
  <c r="N368" i="9" l="1"/>
  <c r="O368" i="9" s="1"/>
  <c r="P368" i="9" s="1"/>
  <c r="R367" i="9"/>
  <c r="S367" i="9"/>
  <c r="N369" i="9" l="1"/>
  <c r="O369" i="9" s="1"/>
  <c r="P369" i="9" s="1"/>
  <c r="R368" i="9"/>
  <c r="S368" i="9"/>
  <c r="N370" i="9" l="1"/>
  <c r="O370" i="9" s="1"/>
  <c r="P370" i="9" s="1"/>
  <c r="R369" i="9"/>
  <c r="S369" i="9"/>
  <c r="N371" i="9" l="1"/>
  <c r="O371" i="9" s="1"/>
  <c r="P371" i="9" s="1"/>
  <c r="R370" i="9"/>
  <c r="S370" i="9"/>
  <c r="N372" i="9" l="1"/>
  <c r="O372" i="9" s="1"/>
  <c r="P372" i="9" s="1"/>
  <c r="R371" i="9"/>
  <c r="S371" i="9"/>
  <c r="N373" i="9" l="1"/>
  <c r="O373" i="9" s="1"/>
  <c r="P373" i="9" s="1"/>
  <c r="R372" i="9"/>
  <c r="S372" i="9"/>
  <c r="N374" i="9" l="1"/>
  <c r="O374" i="9" s="1"/>
  <c r="P374" i="9" s="1"/>
  <c r="R373" i="9"/>
  <c r="S373" i="9"/>
  <c r="N375" i="9" l="1"/>
  <c r="O375" i="9" s="1"/>
  <c r="P375" i="9" s="1"/>
  <c r="R374" i="9"/>
  <c r="S374" i="9"/>
  <c r="N376" i="9" l="1"/>
  <c r="O376" i="9" s="1"/>
  <c r="P376" i="9" s="1"/>
  <c r="R375" i="9"/>
  <c r="S375" i="9"/>
  <c r="N377" i="9" l="1"/>
  <c r="O377" i="9" s="1"/>
  <c r="P377" i="9" s="1"/>
  <c r="R376" i="9"/>
  <c r="S376" i="9"/>
  <c r="N378" i="9" l="1"/>
  <c r="O378" i="9" s="1"/>
  <c r="P378" i="9" s="1"/>
  <c r="R377" i="9"/>
  <c r="S377" i="9"/>
  <c r="N379" i="9" l="1"/>
  <c r="O379" i="9" s="1"/>
  <c r="P379" i="9" s="1"/>
  <c r="R378" i="9"/>
  <c r="S378" i="9"/>
  <c r="N380" i="9" l="1"/>
  <c r="O380" i="9" s="1"/>
  <c r="P380" i="9" s="1"/>
  <c r="R379" i="9"/>
  <c r="S379" i="9"/>
  <c r="N381" i="9" l="1"/>
  <c r="O381" i="9" s="1"/>
  <c r="P381" i="9" s="1"/>
  <c r="R380" i="9"/>
  <c r="S380" i="9"/>
  <c r="N382" i="9" l="1"/>
  <c r="O382" i="9" s="1"/>
  <c r="P382" i="9" s="1"/>
  <c r="R381" i="9"/>
  <c r="S381" i="9"/>
  <c r="N383" i="9" l="1"/>
  <c r="O383" i="9" s="1"/>
  <c r="P383" i="9" s="1"/>
  <c r="R382" i="9"/>
  <c r="S382" i="9"/>
  <c r="N384" i="9" l="1"/>
  <c r="O384" i="9" s="1"/>
  <c r="P384" i="9" s="1"/>
  <c r="R383" i="9"/>
  <c r="S383" i="9"/>
  <c r="N385" i="9" l="1"/>
  <c r="O385" i="9" s="1"/>
  <c r="P385" i="9" s="1"/>
  <c r="R384" i="9"/>
  <c r="S384" i="9"/>
  <c r="N386" i="9" l="1"/>
  <c r="O386" i="9" s="1"/>
  <c r="P386" i="9" s="1"/>
  <c r="R385" i="9"/>
  <c r="S385" i="9"/>
  <c r="N387" i="9" l="1"/>
  <c r="O387" i="9" s="1"/>
  <c r="P387" i="9" s="1"/>
  <c r="R386" i="9"/>
  <c r="S386" i="9"/>
  <c r="N388" i="9" l="1"/>
  <c r="O388" i="9" s="1"/>
  <c r="P388" i="9" s="1"/>
  <c r="R387" i="9"/>
  <c r="S387" i="9"/>
  <c r="N389" i="9" l="1"/>
  <c r="O389" i="9" s="1"/>
  <c r="P389" i="9" s="1"/>
  <c r="R388" i="9"/>
  <c r="S388" i="9"/>
  <c r="N390" i="9" l="1"/>
  <c r="O390" i="9" s="1"/>
  <c r="P390" i="9" s="1"/>
  <c r="R389" i="9"/>
  <c r="S389" i="9"/>
  <c r="N391" i="9" l="1"/>
  <c r="O391" i="9" s="1"/>
  <c r="P391" i="9" s="1"/>
  <c r="R390" i="9"/>
  <c r="S390" i="9"/>
  <c r="N392" i="9" l="1"/>
  <c r="O392" i="9" s="1"/>
  <c r="P392" i="9" s="1"/>
  <c r="R391" i="9"/>
  <c r="S391" i="9"/>
  <c r="N393" i="9" l="1"/>
  <c r="O393" i="9" s="1"/>
  <c r="P393" i="9" s="1"/>
  <c r="R392" i="9"/>
  <c r="S392" i="9"/>
  <c r="N394" i="9" l="1"/>
  <c r="O394" i="9" s="1"/>
  <c r="P394" i="9" s="1"/>
  <c r="R393" i="9"/>
  <c r="S393" i="9"/>
  <c r="N395" i="9" l="1"/>
  <c r="O395" i="9" s="1"/>
  <c r="P395" i="9" s="1"/>
  <c r="R394" i="9"/>
  <c r="S394" i="9"/>
  <c r="N396" i="9" l="1"/>
  <c r="O396" i="9" s="1"/>
  <c r="P396" i="9" s="1"/>
  <c r="R395" i="9"/>
  <c r="S395" i="9"/>
  <c r="N397" i="9" l="1"/>
  <c r="O397" i="9" s="1"/>
  <c r="P397" i="9" s="1"/>
  <c r="R396" i="9"/>
  <c r="S396" i="9"/>
  <c r="N398" i="9" l="1"/>
  <c r="O398" i="9" s="1"/>
  <c r="P398" i="9" s="1"/>
  <c r="R397" i="9"/>
  <c r="S397" i="9"/>
  <c r="N399" i="9" l="1"/>
  <c r="O399" i="9" s="1"/>
  <c r="P399" i="9" s="1"/>
  <c r="S398" i="9"/>
  <c r="R398" i="9"/>
  <c r="N400" i="9" l="1"/>
  <c r="O400" i="9" s="1"/>
  <c r="P400" i="9" s="1"/>
  <c r="R399" i="9"/>
  <c r="S399" i="9"/>
  <c r="N401" i="9" l="1"/>
  <c r="O401" i="9" s="1"/>
  <c r="P401" i="9" s="1"/>
  <c r="S400" i="9"/>
  <c r="R400" i="9"/>
  <c r="N402" i="9" l="1"/>
  <c r="O402" i="9" s="1"/>
  <c r="P402" i="9" s="1"/>
  <c r="R401" i="9"/>
  <c r="S401" i="9"/>
  <c r="N403" i="9" l="1"/>
  <c r="O403" i="9" s="1"/>
  <c r="P403" i="9" s="1"/>
  <c r="S402" i="9"/>
  <c r="R402" i="9"/>
  <c r="N404" i="9" l="1"/>
  <c r="O404" i="9" s="1"/>
  <c r="P404" i="9" s="1"/>
  <c r="R403" i="9"/>
  <c r="S403" i="9"/>
  <c r="N405" i="9" l="1"/>
  <c r="O405" i="9" s="1"/>
  <c r="P405" i="9" s="1"/>
  <c r="R404" i="9"/>
  <c r="S404" i="9"/>
  <c r="N406" i="9" l="1"/>
  <c r="O406" i="9" s="1"/>
  <c r="P406" i="9" s="1"/>
  <c r="R405" i="9"/>
  <c r="S405" i="9"/>
  <c r="N407" i="9" l="1"/>
  <c r="O407" i="9" s="1"/>
  <c r="P407" i="9" s="1"/>
  <c r="R406" i="9"/>
  <c r="S406" i="9"/>
  <c r="N408" i="9" l="1"/>
  <c r="O408" i="9" s="1"/>
  <c r="P408" i="9" s="1"/>
  <c r="R407" i="9"/>
  <c r="S407" i="9"/>
  <c r="N409" i="9" l="1"/>
  <c r="O409" i="9" s="1"/>
  <c r="P409" i="9" s="1"/>
  <c r="S408" i="9"/>
  <c r="R408" i="9"/>
  <c r="N410" i="9" l="1"/>
  <c r="O410" i="9" s="1"/>
  <c r="P410" i="9" s="1"/>
  <c r="S409" i="9"/>
  <c r="R409" i="9"/>
  <c r="N411" i="9" l="1"/>
  <c r="O411" i="9" s="1"/>
  <c r="P411" i="9" s="1"/>
  <c r="R410" i="9"/>
  <c r="S410" i="9"/>
  <c r="N412" i="9" l="1"/>
  <c r="O412" i="9" s="1"/>
  <c r="P412" i="9" s="1"/>
  <c r="R411" i="9"/>
  <c r="S411" i="9"/>
  <c r="N413" i="9" l="1"/>
  <c r="O413" i="9" s="1"/>
  <c r="P413" i="9" s="1"/>
  <c r="R412" i="9"/>
  <c r="S412" i="9"/>
  <c r="N414" i="9" l="1"/>
  <c r="O414" i="9" s="1"/>
  <c r="P414" i="9" s="1"/>
  <c r="R413" i="9"/>
  <c r="S413" i="9"/>
  <c r="N415" i="9" l="1"/>
  <c r="O415" i="9" s="1"/>
  <c r="P415" i="9" s="1"/>
  <c r="R414" i="9"/>
  <c r="S414" i="9"/>
  <c r="N416" i="9" l="1"/>
  <c r="O416" i="9" s="1"/>
  <c r="P416" i="9" s="1"/>
  <c r="R415" i="9"/>
  <c r="S415" i="9"/>
  <c r="N417" i="9" l="1"/>
  <c r="O417" i="9" s="1"/>
  <c r="P417" i="9" s="1"/>
  <c r="R416" i="9"/>
  <c r="S416" i="9"/>
  <c r="N418" i="9" l="1"/>
  <c r="O418" i="9" s="1"/>
  <c r="P418" i="9" s="1"/>
  <c r="R417" i="9"/>
  <c r="S417" i="9"/>
  <c r="N419" i="9" l="1"/>
  <c r="O419" i="9" s="1"/>
  <c r="P419" i="9" s="1"/>
  <c r="R418" i="9"/>
  <c r="S418" i="9"/>
  <c r="N420" i="9" l="1"/>
  <c r="O420" i="9" s="1"/>
  <c r="P420" i="9" s="1"/>
  <c r="R419" i="9"/>
  <c r="S419" i="9"/>
  <c r="N421" i="9" l="1"/>
  <c r="O421" i="9" s="1"/>
  <c r="P421" i="9" s="1"/>
  <c r="R420" i="9"/>
  <c r="S420" i="9"/>
  <c r="N422" i="9" l="1"/>
  <c r="O422" i="9" s="1"/>
  <c r="P422" i="9" s="1"/>
  <c r="R421" i="9"/>
  <c r="S421" i="9"/>
  <c r="N423" i="9" l="1"/>
  <c r="O423" i="9" s="1"/>
  <c r="P423" i="9" s="1"/>
  <c r="R422" i="9"/>
  <c r="S422" i="9"/>
  <c r="N424" i="9" l="1"/>
  <c r="O424" i="9" s="1"/>
  <c r="P424" i="9" s="1"/>
  <c r="R423" i="9"/>
  <c r="S423" i="9"/>
  <c r="N425" i="9" l="1"/>
  <c r="O425" i="9" s="1"/>
  <c r="P425" i="9" s="1"/>
  <c r="R424" i="9"/>
  <c r="S424" i="9"/>
  <c r="N426" i="9" l="1"/>
  <c r="O426" i="9" s="1"/>
  <c r="P426" i="9" s="1"/>
  <c r="R425" i="9"/>
  <c r="S425" i="9"/>
  <c r="N427" i="9" l="1"/>
  <c r="O427" i="9" s="1"/>
  <c r="P427" i="9" s="1"/>
  <c r="R426" i="9"/>
  <c r="S426" i="9"/>
  <c r="N428" i="9" l="1"/>
  <c r="O428" i="9" s="1"/>
  <c r="P428" i="9" s="1"/>
  <c r="R427" i="9"/>
  <c r="S427" i="9"/>
  <c r="N429" i="9" l="1"/>
  <c r="O429" i="9" s="1"/>
  <c r="P429" i="9" s="1"/>
  <c r="R428" i="9"/>
  <c r="S428" i="9"/>
  <c r="N430" i="9" l="1"/>
  <c r="O430" i="9" s="1"/>
  <c r="P430" i="9" s="1"/>
  <c r="R429" i="9"/>
  <c r="S429" i="9"/>
  <c r="N431" i="9" l="1"/>
  <c r="O431" i="9" s="1"/>
  <c r="P431" i="9" s="1"/>
  <c r="R430" i="9"/>
  <c r="S430" i="9"/>
  <c r="N432" i="9" l="1"/>
  <c r="O432" i="9" s="1"/>
  <c r="P432" i="9" s="1"/>
  <c r="S431" i="9"/>
  <c r="R431" i="9"/>
  <c r="N433" i="9" l="1"/>
  <c r="O433" i="9" s="1"/>
  <c r="P433" i="9" s="1"/>
  <c r="R432" i="9"/>
  <c r="S432" i="9"/>
  <c r="N434" i="9" l="1"/>
  <c r="O434" i="9" s="1"/>
  <c r="P434" i="9" s="1"/>
  <c r="R433" i="9"/>
  <c r="S433" i="9"/>
  <c r="N435" i="9" l="1"/>
  <c r="O435" i="9" s="1"/>
  <c r="P435" i="9" s="1"/>
  <c r="R434" i="9"/>
  <c r="S434" i="9"/>
  <c r="N436" i="9" l="1"/>
  <c r="O436" i="9" s="1"/>
  <c r="P436" i="9" s="1"/>
  <c r="R435" i="9"/>
  <c r="S435" i="9"/>
  <c r="N437" i="9" l="1"/>
  <c r="O437" i="9" s="1"/>
  <c r="P437" i="9" s="1"/>
  <c r="R436" i="9"/>
  <c r="S436" i="9"/>
  <c r="N438" i="9" l="1"/>
  <c r="O438" i="9" s="1"/>
  <c r="P438" i="9" s="1"/>
  <c r="R437" i="9"/>
  <c r="S437" i="9"/>
  <c r="N439" i="9" l="1"/>
  <c r="O439" i="9" s="1"/>
  <c r="P439" i="9" s="1"/>
  <c r="R438" i="9"/>
  <c r="S438" i="9"/>
  <c r="N440" i="9" l="1"/>
  <c r="O440" i="9" s="1"/>
  <c r="P440" i="9" s="1"/>
  <c r="R439" i="9"/>
  <c r="S439" i="9"/>
  <c r="N441" i="9" l="1"/>
  <c r="O441" i="9" s="1"/>
  <c r="P441" i="9" s="1"/>
  <c r="R440" i="9"/>
  <c r="S440" i="9"/>
  <c r="N442" i="9" l="1"/>
  <c r="O442" i="9" s="1"/>
  <c r="P442" i="9" s="1"/>
  <c r="R441" i="9"/>
  <c r="S441" i="9"/>
  <c r="N443" i="9" l="1"/>
  <c r="O443" i="9" s="1"/>
  <c r="P443" i="9" s="1"/>
  <c r="R442" i="9"/>
  <c r="S442" i="9"/>
  <c r="N444" i="9" l="1"/>
  <c r="O444" i="9" s="1"/>
  <c r="P444" i="9" s="1"/>
  <c r="R443" i="9"/>
  <c r="S443" i="9"/>
  <c r="N445" i="9" l="1"/>
  <c r="O445" i="9" s="1"/>
  <c r="P445" i="9" s="1"/>
  <c r="R444" i="9"/>
  <c r="S444" i="9"/>
  <c r="N446" i="9" l="1"/>
  <c r="O446" i="9" s="1"/>
  <c r="P446" i="9" s="1"/>
  <c r="R445" i="9"/>
  <c r="S445" i="9"/>
  <c r="N447" i="9" l="1"/>
  <c r="O447" i="9" s="1"/>
  <c r="P447" i="9" s="1"/>
  <c r="R446" i="9"/>
  <c r="S446" i="9"/>
  <c r="N448" i="9" l="1"/>
  <c r="O448" i="9" s="1"/>
  <c r="P448" i="9" s="1"/>
  <c r="R447" i="9"/>
  <c r="S447" i="9"/>
  <c r="N449" i="9" l="1"/>
  <c r="O449" i="9" s="1"/>
  <c r="P449" i="9" s="1"/>
  <c r="R448" i="9"/>
  <c r="S448" i="9"/>
  <c r="N450" i="9" l="1"/>
  <c r="O450" i="9" s="1"/>
  <c r="P450" i="9" s="1"/>
  <c r="R449" i="9"/>
  <c r="S449" i="9"/>
  <c r="N451" i="9" l="1"/>
  <c r="O451" i="9" s="1"/>
  <c r="P451" i="9" s="1"/>
  <c r="R450" i="9"/>
  <c r="S450" i="9"/>
  <c r="N452" i="9" l="1"/>
  <c r="O452" i="9" s="1"/>
  <c r="P452" i="9" s="1"/>
  <c r="R451" i="9"/>
  <c r="S451" i="9"/>
  <c r="N453" i="9" l="1"/>
  <c r="O453" i="9" s="1"/>
  <c r="P453" i="9" s="1"/>
  <c r="R452" i="9"/>
  <c r="S452" i="9"/>
  <c r="N454" i="9" l="1"/>
  <c r="O454" i="9" s="1"/>
  <c r="P454" i="9" s="1"/>
  <c r="S453" i="9"/>
  <c r="R453" i="9"/>
  <c r="N455" i="9" l="1"/>
  <c r="O455" i="9" s="1"/>
  <c r="P455" i="9" s="1"/>
  <c r="S454" i="9"/>
  <c r="R454" i="9"/>
  <c r="N456" i="9" l="1"/>
  <c r="O456" i="9" s="1"/>
  <c r="P456" i="9" s="1"/>
  <c r="R455" i="9"/>
  <c r="S455" i="9"/>
  <c r="N457" i="9" l="1"/>
  <c r="O457" i="9" s="1"/>
  <c r="P457" i="9" s="1"/>
  <c r="S456" i="9"/>
  <c r="R456" i="9"/>
  <c r="N458" i="9" l="1"/>
  <c r="O458" i="9" s="1"/>
  <c r="P458" i="9" s="1"/>
  <c r="R457" i="9"/>
  <c r="S457" i="9"/>
  <c r="N459" i="9" l="1"/>
  <c r="O459" i="9" s="1"/>
  <c r="P459" i="9" s="1"/>
  <c r="R458" i="9"/>
  <c r="S458" i="9"/>
  <c r="N460" i="9" l="1"/>
  <c r="O460" i="9" s="1"/>
  <c r="P460" i="9" s="1"/>
  <c r="S459" i="9"/>
  <c r="R459" i="9"/>
  <c r="N461" i="9" l="1"/>
  <c r="O461" i="9" s="1"/>
  <c r="P461" i="9" s="1"/>
  <c r="R460" i="9"/>
  <c r="S460" i="9"/>
  <c r="N462" i="9" l="1"/>
  <c r="O462" i="9" s="1"/>
  <c r="P462" i="9" s="1"/>
  <c r="R461" i="9"/>
  <c r="S461" i="9"/>
  <c r="N463" i="9" l="1"/>
  <c r="O463" i="9" s="1"/>
  <c r="P463" i="9" s="1"/>
  <c r="R462" i="9"/>
  <c r="S462" i="9"/>
  <c r="N464" i="9" l="1"/>
  <c r="O464" i="9" s="1"/>
  <c r="P464" i="9" s="1"/>
  <c r="R463" i="9"/>
  <c r="S463" i="9"/>
  <c r="N465" i="9" l="1"/>
  <c r="O465" i="9" s="1"/>
  <c r="P465" i="9" s="1"/>
  <c r="R464" i="9"/>
  <c r="S464" i="9"/>
  <c r="N466" i="9" l="1"/>
  <c r="O466" i="9" s="1"/>
  <c r="P466" i="9" s="1"/>
  <c r="S465" i="9"/>
  <c r="R465" i="9"/>
  <c r="N467" i="9" l="1"/>
  <c r="O467" i="9" s="1"/>
  <c r="P467" i="9" s="1"/>
  <c r="R466" i="9"/>
  <c r="S466" i="9"/>
  <c r="N468" i="9" l="1"/>
  <c r="O468" i="9" s="1"/>
  <c r="P468" i="9" s="1"/>
  <c r="R467" i="9"/>
  <c r="S467" i="9"/>
  <c r="N469" i="9" l="1"/>
  <c r="O469" i="9" s="1"/>
  <c r="P469" i="9" s="1"/>
  <c r="S468" i="9"/>
  <c r="R468" i="9"/>
  <c r="N470" i="9" l="1"/>
  <c r="O470" i="9" s="1"/>
  <c r="P470" i="9" s="1"/>
  <c r="R469" i="9"/>
  <c r="S469" i="9"/>
  <c r="N471" i="9" l="1"/>
  <c r="O471" i="9" s="1"/>
  <c r="P471" i="9" s="1"/>
  <c r="S470" i="9"/>
  <c r="R470" i="9"/>
  <c r="N472" i="9" l="1"/>
  <c r="O472" i="9" s="1"/>
  <c r="P472" i="9" s="1"/>
  <c r="R471" i="9"/>
  <c r="S471" i="9"/>
  <c r="N473" i="9" l="1"/>
  <c r="O473" i="9" s="1"/>
  <c r="P473" i="9" s="1"/>
  <c r="R472" i="9"/>
  <c r="S472" i="9"/>
  <c r="N474" i="9" l="1"/>
  <c r="O474" i="9" s="1"/>
  <c r="P474" i="9" s="1"/>
  <c r="R473" i="9"/>
  <c r="S473" i="9"/>
  <c r="N475" i="9" l="1"/>
  <c r="O475" i="9" s="1"/>
  <c r="P475" i="9" s="1"/>
  <c r="R474" i="9"/>
  <c r="S474" i="9"/>
  <c r="N476" i="9" l="1"/>
  <c r="O476" i="9" s="1"/>
  <c r="P476" i="9" s="1"/>
  <c r="R475" i="9"/>
  <c r="S475" i="9"/>
  <c r="N477" i="9" l="1"/>
  <c r="O477" i="9" s="1"/>
  <c r="P477" i="9" s="1"/>
  <c r="R476" i="9"/>
  <c r="S476" i="9"/>
  <c r="N478" i="9" l="1"/>
  <c r="O478" i="9" s="1"/>
  <c r="P478" i="9" s="1"/>
  <c r="R477" i="9"/>
  <c r="S477" i="9"/>
  <c r="N479" i="9" l="1"/>
  <c r="O479" i="9" s="1"/>
  <c r="P479" i="9" s="1"/>
  <c r="R478" i="9"/>
  <c r="S478" i="9"/>
  <c r="N480" i="9" l="1"/>
  <c r="O480" i="9" s="1"/>
  <c r="P480" i="9" s="1"/>
  <c r="R479" i="9"/>
  <c r="S479" i="9"/>
  <c r="N481" i="9" l="1"/>
  <c r="O481" i="9" s="1"/>
  <c r="P481" i="9" s="1"/>
  <c r="R480" i="9"/>
  <c r="S480" i="9"/>
  <c r="N482" i="9" l="1"/>
  <c r="O482" i="9" s="1"/>
  <c r="P482" i="9" s="1"/>
  <c r="R481" i="9"/>
  <c r="S481" i="9"/>
  <c r="N483" i="9" l="1"/>
  <c r="O483" i="9" s="1"/>
  <c r="P483" i="9" s="1"/>
  <c r="R482" i="9"/>
  <c r="S482" i="9"/>
  <c r="N484" i="9" l="1"/>
  <c r="O484" i="9" s="1"/>
  <c r="P484" i="9" s="1"/>
  <c r="R483" i="9"/>
  <c r="S483" i="9"/>
  <c r="N485" i="9" l="1"/>
  <c r="O485" i="9" s="1"/>
  <c r="P485" i="9" s="1"/>
  <c r="R484" i="9"/>
  <c r="S484" i="9"/>
  <c r="N486" i="9" l="1"/>
  <c r="O486" i="9" s="1"/>
  <c r="P486" i="9" s="1"/>
  <c r="R485" i="9"/>
  <c r="S485" i="9"/>
  <c r="N487" i="9" l="1"/>
  <c r="O487" i="9" s="1"/>
  <c r="P487" i="9" s="1"/>
  <c r="R486" i="9"/>
  <c r="S486" i="9"/>
  <c r="N488" i="9" l="1"/>
  <c r="O488" i="9" s="1"/>
  <c r="P488" i="9" s="1"/>
  <c r="R487" i="9"/>
  <c r="S487" i="9"/>
  <c r="N489" i="9" l="1"/>
  <c r="O489" i="9" s="1"/>
  <c r="P489" i="9" s="1"/>
  <c r="R488" i="9"/>
  <c r="S488" i="9"/>
  <c r="N490" i="9" l="1"/>
  <c r="O490" i="9" s="1"/>
  <c r="P490" i="9" s="1"/>
  <c r="R489" i="9"/>
  <c r="S489" i="9"/>
  <c r="N491" i="9" l="1"/>
  <c r="O491" i="9" s="1"/>
  <c r="P491" i="9" s="1"/>
  <c r="R490" i="9"/>
  <c r="S490" i="9"/>
  <c r="N492" i="9" l="1"/>
  <c r="O492" i="9" s="1"/>
  <c r="P492" i="9" s="1"/>
  <c r="R491" i="9"/>
  <c r="S491" i="9"/>
  <c r="N493" i="9" l="1"/>
  <c r="O493" i="9" s="1"/>
  <c r="P493" i="9" s="1"/>
  <c r="R492" i="9"/>
  <c r="S492" i="9"/>
  <c r="N494" i="9" l="1"/>
  <c r="O494" i="9" s="1"/>
  <c r="P494" i="9" s="1"/>
  <c r="R493" i="9"/>
  <c r="S493" i="9"/>
  <c r="N495" i="9" l="1"/>
  <c r="O495" i="9" s="1"/>
  <c r="P495" i="9" s="1"/>
  <c r="R494" i="9"/>
  <c r="S494" i="9"/>
  <c r="N496" i="9" l="1"/>
  <c r="O496" i="9" s="1"/>
  <c r="P496" i="9" s="1"/>
  <c r="S495" i="9"/>
  <c r="R495" i="9"/>
  <c r="N497" i="9" l="1"/>
  <c r="O497" i="9" s="1"/>
  <c r="P497" i="9" s="1"/>
  <c r="R496" i="9"/>
  <c r="S496" i="9"/>
  <c r="N498" i="9" l="1"/>
  <c r="O498" i="9" s="1"/>
  <c r="P498" i="9" s="1"/>
  <c r="S497" i="9"/>
  <c r="R497" i="9"/>
  <c r="N499" i="9" l="1"/>
  <c r="O499" i="9" s="1"/>
  <c r="P499" i="9" s="1"/>
  <c r="R498" i="9"/>
  <c r="S498" i="9"/>
  <c r="N500" i="9" l="1"/>
  <c r="O500" i="9" s="1"/>
  <c r="P500" i="9" s="1"/>
  <c r="S499" i="9"/>
  <c r="R499" i="9"/>
  <c r="N501" i="9" l="1"/>
  <c r="O501" i="9" s="1"/>
  <c r="P501" i="9" s="1"/>
  <c r="R500" i="9"/>
  <c r="S500" i="9"/>
  <c r="N502" i="9" l="1"/>
  <c r="O502" i="9" s="1"/>
  <c r="P502" i="9" s="1"/>
  <c r="S501" i="9"/>
  <c r="R501" i="9"/>
  <c r="N503" i="9" l="1"/>
  <c r="O503" i="9" s="1"/>
  <c r="P503" i="9" s="1"/>
  <c r="R502" i="9"/>
  <c r="S502" i="9"/>
  <c r="N504" i="9" l="1"/>
  <c r="O504" i="9" s="1"/>
  <c r="P504" i="9" s="1"/>
  <c r="S503" i="9"/>
  <c r="R503" i="9"/>
  <c r="N505" i="9" l="1"/>
  <c r="O505" i="9" s="1"/>
  <c r="P505" i="9" s="1"/>
  <c r="R504" i="9"/>
  <c r="S504" i="9"/>
  <c r="N506" i="9" l="1"/>
  <c r="O506" i="9" s="1"/>
  <c r="P506" i="9" s="1"/>
  <c r="S505" i="9"/>
  <c r="R505" i="9"/>
  <c r="N507" i="9" l="1"/>
  <c r="O507" i="9" s="1"/>
  <c r="P507" i="9" s="1"/>
  <c r="R506" i="9"/>
  <c r="S506" i="9"/>
  <c r="N508" i="9" l="1"/>
  <c r="O508" i="9" s="1"/>
  <c r="P508" i="9" s="1"/>
  <c r="R507" i="9"/>
  <c r="S507" i="9"/>
  <c r="N509" i="9" l="1"/>
  <c r="O509" i="9" s="1"/>
  <c r="P509" i="9" s="1"/>
  <c r="S508" i="9"/>
  <c r="R508" i="9"/>
  <c r="N510" i="9" l="1"/>
  <c r="O510" i="9" s="1"/>
  <c r="P510" i="9" s="1"/>
  <c r="R509" i="9"/>
  <c r="S509" i="9"/>
  <c r="N511" i="9" l="1"/>
  <c r="O511" i="9" s="1"/>
  <c r="P511" i="9" s="1"/>
  <c r="R510" i="9"/>
  <c r="S510" i="9"/>
  <c r="N512" i="9" l="1"/>
  <c r="O512" i="9" s="1"/>
  <c r="P512" i="9" s="1"/>
  <c r="R511" i="9"/>
  <c r="S511" i="9"/>
  <c r="N513" i="9" l="1"/>
  <c r="O513" i="9" s="1"/>
  <c r="P513" i="9" s="1"/>
  <c r="R512" i="9"/>
  <c r="S512" i="9"/>
  <c r="N514" i="9" l="1"/>
  <c r="O514" i="9" s="1"/>
  <c r="P514" i="9" s="1"/>
  <c r="R513" i="9"/>
  <c r="S513" i="9"/>
  <c r="N515" i="9" l="1"/>
  <c r="O515" i="9" s="1"/>
  <c r="P515" i="9" s="1"/>
  <c r="R514" i="9"/>
  <c r="S514" i="9"/>
  <c r="N516" i="9" l="1"/>
  <c r="O516" i="9" s="1"/>
  <c r="P516" i="9" s="1"/>
  <c r="R515" i="9"/>
  <c r="S515" i="9"/>
  <c r="N517" i="9" l="1"/>
  <c r="O517" i="9" s="1"/>
  <c r="P517" i="9" s="1"/>
  <c r="R516" i="9"/>
  <c r="S516" i="9"/>
  <c r="N518" i="9" l="1"/>
  <c r="O518" i="9" s="1"/>
  <c r="P518" i="9" s="1"/>
  <c r="R517" i="9"/>
  <c r="S517" i="9"/>
  <c r="N519" i="9" l="1"/>
  <c r="O519" i="9" s="1"/>
  <c r="P519" i="9" s="1"/>
  <c r="R518" i="9"/>
  <c r="S518" i="9"/>
  <c r="N520" i="9" l="1"/>
  <c r="O520" i="9" s="1"/>
  <c r="P520" i="9" s="1"/>
  <c r="R519" i="9"/>
  <c r="S519" i="9"/>
  <c r="N521" i="9" l="1"/>
  <c r="O521" i="9" s="1"/>
  <c r="P521" i="9" s="1"/>
  <c r="R520" i="9"/>
  <c r="S520" i="9"/>
  <c r="N522" i="9" l="1"/>
  <c r="O522" i="9" s="1"/>
  <c r="P522" i="9" s="1"/>
  <c r="R521" i="9"/>
  <c r="S521" i="9"/>
  <c r="N523" i="9" l="1"/>
  <c r="O523" i="9" s="1"/>
  <c r="P523" i="9" s="1"/>
  <c r="R522" i="9"/>
  <c r="S522" i="9"/>
  <c r="N524" i="9" l="1"/>
  <c r="O524" i="9" s="1"/>
  <c r="P524" i="9" s="1"/>
  <c r="R523" i="9"/>
  <c r="S523" i="9"/>
  <c r="N525" i="9" l="1"/>
  <c r="O525" i="9" s="1"/>
  <c r="P525" i="9" s="1"/>
  <c r="R524" i="9"/>
  <c r="S524" i="9"/>
  <c r="N526" i="9" l="1"/>
  <c r="O526" i="9" s="1"/>
  <c r="P526" i="9" s="1"/>
  <c r="R525" i="9"/>
  <c r="S525" i="9"/>
  <c r="N527" i="9" l="1"/>
  <c r="O527" i="9" s="1"/>
  <c r="P527" i="9" s="1"/>
  <c r="R526" i="9"/>
  <c r="S526" i="9"/>
  <c r="N528" i="9" l="1"/>
  <c r="O528" i="9" s="1"/>
  <c r="P528" i="9" s="1"/>
  <c r="R527" i="9"/>
  <c r="S527" i="9"/>
  <c r="N529" i="9" l="1"/>
  <c r="O529" i="9" s="1"/>
  <c r="P529" i="9" s="1"/>
  <c r="R528" i="9"/>
  <c r="S528" i="9"/>
  <c r="N530" i="9" l="1"/>
  <c r="O530" i="9" s="1"/>
  <c r="P530" i="9" s="1"/>
  <c r="R529" i="9"/>
  <c r="S529" i="9"/>
  <c r="N531" i="9" l="1"/>
  <c r="O531" i="9" s="1"/>
  <c r="P531" i="9" s="1"/>
  <c r="R530" i="9"/>
  <c r="S530" i="9"/>
  <c r="N532" i="9" l="1"/>
  <c r="O532" i="9" s="1"/>
  <c r="P532" i="9" s="1"/>
  <c r="R531" i="9"/>
  <c r="S531" i="9"/>
  <c r="N533" i="9" l="1"/>
  <c r="O533" i="9" s="1"/>
  <c r="P533" i="9" s="1"/>
  <c r="R532" i="9"/>
  <c r="S532" i="9"/>
  <c r="N534" i="9" l="1"/>
  <c r="O534" i="9" s="1"/>
  <c r="P534" i="9" s="1"/>
  <c r="R533" i="9"/>
  <c r="S533" i="9"/>
  <c r="N535" i="9" l="1"/>
  <c r="O535" i="9" s="1"/>
  <c r="P535" i="9" s="1"/>
  <c r="R534" i="9"/>
  <c r="S534" i="9"/>
  <c r="N536" i="9" l="1"/>
  <c r="O536" i="9" s="1"/>
  <c r="P536" i="9" s="1"/>
  <c r="R535" i="9"/>
  <c r="S535" i="9"/>
  <c r="N537" i="9" l="1"/>
  <c r="O537" i="9" s="1"/>
  <c r="P537" i="9" s="1"/>
  <c r="R536" i="9"/>
  <c r="S536" i="9"/>
  <c r="N538" i="9" l="1"/>
  <c r="O538" i="9" s="1"/>
  <c r="P538" i="9" s="1"/>
  <c r="R537" i="9"/>
  <c r="S537" i="9"/>
  <c r="N539" i="9" l="1"/>
  <c r="O539" i="9" s="1"/>
  <c r="P539" i="9" s="1"/>
  <c r="R538" i="9"/>
  <c r="S538" i="9"/>
  <c r="N540" i="9" l="1"/>
  <c r="O540" i="9" s="1"/>
  <c r="P540" i="9" s="1"/>
  <c r="R539" i="9"/>
  <c r="S539" i="9"/>
  <c r="N541" i="9" l="1"/>
  <c r="O541" i="9" s="1"/>
  <c r="P541" i="9" s="1"/>
  <c r="R540" i="9"/>
  <c r="S540" i="9"/>
  <c r="N542" i="9" l="1"/>
  <c r="O542" i="9" s="1"/>
  <c r="P542" i="9" s="1"/>
  <c r="R541" i="9"/>
  <c r="S541" i="9"/>
  <c r="N543" i="9" l="1"/>
  <c r="O543" i="9" s="1"/>
  <c r="P543" i="9" s="1"/>
  <c r="R542" i="9"/>
  <c r="S542" i="9"/>
  <c r="N544" i="9" l="1"/>
  <c r="O544" i="9" s="1"/>
  <c r="P544" i="9" s="1"/>
  <c r="R543" i="9"/>
  <c r="S543" i="9"/>
  <c r="N545" i="9" l="1"/>
  <c r="O545" i="9" s="1"/>
  <c r="P545" i="9" s="1"/>
  <c r="R544" i="9"/>
  <c r="S544" i="9"/>
  <c r="N546" i="9" l="1"/>
  <c r="O546" i="9" s="1"/>
  <c r="P546" i="9" s="1"/>
  <c r="R545" i="9"/>
  <c r="S545" i="9"/>
  <c r="N547" i="9" l="1"/>
  <c r="O547" i="9" s="1"/>
  <c r="P547" i="9" s="1"/>
  <c r="R546" i="9"/>
  <c r="S546" i="9"/>
  <c r="N548" i="9" l="1"/>
  <c r="O548" i="9" s="1"/>
  <c r="P548" i="9" s="1"/>
  <c r="R547" i="9"/>
  <c r="S547" i="9"/>
  <c r="N549" i="9" l="1"/>
  <c r="O549" i="9" s="1"/>
  <c r="P549" i="9" s="1"/>
  <c r="R548" i="9"/>
  <c r="S548" i="9"/>
  <c r="N550" i="9" l="1"/>
  <c r="O550" i="9" s="1"/>
  <c r="P550" i="9" s="1"/>
  <c r="R549" i="9"/>
  <c r="S549" i="9"/>
  <c r="N551" i="9" l="1"/>
  <c r="O551" i="9" s="1"/>
  <c r="P551" i="9" s="1"/>
  <c r="R550" i="9"/>
  <c r="S550" i="9"/>
  <c r="N552" i="9" l="1"/>
  <c r="O552" i="9" s="1"/>
  <c r="P552" i="9" s="1"/>
  <c r="R551" i="9"/>
  <c r="S551" i="9"/>
  <c r="N553" i="9" l="1"/>
  <c r="O553" i="9" s="1"/>
  <c r="P553" i="9" s="1"/>
  <c r="R552" i="9"/>
  <c r="S552" i="9"/>
  <c r="N554" i="9" l="1"/>
  <c r="O554" i="9" s="1"/>
  <c r="P554" i="9" s="1"/>
  <c r="R553" i="9"/>
  <c r="S553" i="9"/>
  <c r="N555" i="9" l="1"/>
  <c r="O555" i="9" s="1"/>
  <c r="P555" i="9" s="1"/>
  <c r="R554" i="9"/>
  <c r="S554" i="9"/>
  <c r="N556" i="9" l="1"/>
  <c r="O556" i="9" s="1"/>
  <c r="P556" i="9" s="1"/>
  <c r="R555" i="9"/>
  <c r="S555" i="9"/>
  <c r="N557" i="9" l="1"/>
  <c r="O557" i="9" s="1"/>
  <c r="P557" i="9" s="1"/>
  <c r="R556" i="9"/>
  <c r="S556" i="9"/>
  <c r="N558" i="9" l="1"/>
  <c r="O558" i="9" s="1"/>
  <c r="P558" i="9" s="1"/>
  <c r="R557" i="9"/>
  <c r="S557" i="9"/>
  <c r="N559" i="9" l="1"/>
  <c r="O559" i="9" s="1"/>
  <c r="P559" i="9" s="1"/>
  <c r="R558" i="9"/>
  <c r="S558" i="9"/>
  <c r="N560" i="9" l="1"/>
  <c r="O560" i="9" s="1"/>
  <c r="P560" i="9" s="1"/>
  <c r="R559" i="9"/>
  <c r="S559" i="9"/>
  <c r="N561" i="9" l="1"/>
  <c r="O561" i="9" s="1"/>
  <c r="P561" i="9" s="1"/>
  <c r="R560" i="9"/>
  <c r="S560" i="9"/>
  <c r="N562" i="9" l="1"/>
  <c r="O562" i="9" s="1"/>
  <c r="P562" i="9" s="1"/>
  <c r="R561" i="9"/>
  <c r="S561" i="9"/>
  <c r="N563" i="9" l="1"/>
  <c r="O563" i="9" s="1"/>
  <c r="P563" i="9" s="1"/>
  <c r="R562" i="9"/>
  <c r="S562" i="9"/>
  <c r="N564" i="9" l="1"/>
  <c r="O564" i="9" s="1"/>
  <c r="P564" i="9" s="1"/>
  <c r="R563" i="9"/>
  <c r="S563" i="9"/>
  <c r="N565" i="9" l="1"/>
  <c r="O565" i="9" s="1"/>
  <c r="P565" i="9" s="1"/>
  <c r="R564" i="9"/>
  <c r="S564" i="9"/>
  <c r="N566" i="9" l="1"/>
  <c r="O566" i="9" s="1"/>
  <c r="P566" i="9" s="1"/>
  <c r="R565" i="9"/>
  <c r="S565" i="9"/>
  <c r="N567" i="9" l="1"/>
  <c r="O567" i="9" s="1"/>
  <c r="P567" i="9" s="1"/>
  <c r="R566" i="9"/>
  <c r="S566" i="9"/>
  <c r="N568" i="9" l="1"/>
  <c r="O568" i="9" s="1"/>
  <c r="P568" i="9" s="1"/>
  <c r="R567" i="9"/>
  <c r="S567" i="9"/>
  <c r="N569" i="9" l="1"/>
  <c r="O569" i="9" s="1"/>
  <c r="P569" i="9" s="1"/>
  <c r="R568" i="9"/>
  <c r="S568" i="9"/>
  <c r="N570" i="9" l="1"/>
  <c r="O570" i="9" s="1"/>
  <c r="P570" i="9" s="1"/>
  <c r="R569" i="9"/>
  <c r="S569" i="9"/>
  <c r="N571" i="9" l="1"/>
  <c r="O571" i="9" s="1"/>
  <c r="P571" i="9" s="1"/>
  <c r="R570" i="9"/>
  <c r="S570" i="9"/>
  <c r="N572" i="9" l="1"/>
  <c r="O572" i="9" s="1"/>
  <c r="P572" i="9" s="1"/>
  <c r="R571" i="9"/>
  <c r="S571" i="9"/>
  <c r="N573" i="9" l="1"/>
  <c r="O573" i="9" s="1"/>
  <c r="P573" i="9" s="1"/>
  <c r="R572" i="9"/>
  <c r="S572" i="9"/>
  <c r="N574" i="9" l="1"/>
  <c r="O574" i="9" s="1"/>
  <c r="P574" i="9" s="1"/>
  <c r="R573" i="9"/>
  <c r="S573" i="9"/>
  <c r="N575" i="9" l="1"/>
  <c r="O575" i="9" s="1"/>
  <c r="P575" i="9" s="1"/>
  <c r="R574" i="9"/>
  <c r="S574" i="9"/>
  <c r="N576" i="9" l="1"/>
  <c r="O576" i="9" s="1"/>
  <c r="P576" i="9" s="1"/>
  <c r="R575" i="9"/>
  <c r="S575" i="9"/>
  <c r="N577" i="9" l="1"/>
  <c r="O577" i="9" s="1"/>
  <c r="P577" i="9" s="1"/>
  <c r="R576" i="9"/>
  <c r="S576" i="9"/>
  <c r="N578" i="9" l="1"/>
  <c r="O578" i="9" s="1"/>
  <c r="P578" i="9" s="1"/>
  <c r="R577" i="9"/>
  <c r="S577" i="9"/>
  <c r="N579" i="9" l="1"/>
  <c r="O579" i="9" s="1"/>
  <c r="P579" i="9" s="1"/>
  <c r="R578" i="9"/>
  <c r="S578" i="9"/>
  <c r="N580" i="9" l="1"/>
  <c r="O580" i="9" s="1"/>
  <c r="P580" i="9" s="1"/>
  <c r="R579" i="9"/>
  <c r="S579" i="9"/>
  <c r="N581" i="9" l="1"/>
  <c r="O581" i="9" s="1"/>
  <c r="P581" i="9" s="1"/>
  <c r="R580" i="9"/>
  <c r="S580" i="9"/>
  <c r="N582" i="9" l="1"/>
  <c r="O582" i="9" s="1"/>
  <c r="P582" i="9" s="1"/>
  <c r="R581" i="9"/>
  <c r="S581" i="9"/>
  <c r="N583" i="9" l="1"/>
  <c r="O583" i="9" s="1"/>
  <c r="P583" i="9" s="1"/>
  <c r="R582" i="9"/>
  <c r="S582" i="9"/>
  <c r="N584" i="9" l="1"/>
  <c r="O584" i="9" s="1"/>
  <c r="P584" i="9" s="1"/>
  <c r="R583" i="9"/>
  <c r="S583" i="9"/>
  <c r="N585" i="9" l="1"/>
  <c r="O585" i="9" s="1"/>
  <c r="P585" i="9" s="1"/>
  <c r="R584" i="9"/>
  <c r="S584" i="9"/>
  <c r="N586" i="9" l="1"/>
  <c r="O586" i="9" s="1"/>
  <c r="P586" i="9" s="1"/>
  <c r="R585" i="9"/>
  <c r="S585" i="9"/>
  <c r="N587" i="9" l="1"/>
  <c r="O587" i="9" s="1"/>
  <c r="P587" i="9" s="1"/>
  <c r="R586" i="9"/>
  <c r="S586" i="9"/>
  <c r="N588" i="9" l="1"/>
  <c r="O588" i="9" s="1"/>
  <c r="P588" i="9" s="1"/>
  <c r="R587" i="9"/>
  <c r="S587" i="9"/>
  <c r="N589" i="9" l="1"/>
  <c r="O589" i="9" s="1"/>
  <c r="P589" i="9" s="1"/>
  <c r="R588" i="9"/>
  <c r="S588" i="9"/>
  <c r="N590" i="9" l="1"/>
  <c r="O590" i="9" s="1"/>
  <c r="P590" i="9" s="1"/>
  <c r="R589" i="9"/>
  <c r="S589" i="9"/>
  <c r="N591" i="9" l="1"/>
  <c r="O591" i="9" s="1"/>
  <c r="P591" i="9" s="1"/>
  <c r="R590" i="9"/>
  <c r="S590" i="9"/>
  <c r="N592" i="9" l="1"/>
  <c r="O592" i="9" s="1"/>
  <c r="P592" i="9" s="1"/>
  <c r="R591" i="9"/>
  <c r="S591" i="9"/>
  <c r="N593" i="9" l="1"/>
  <c r="O593" i="9" s="1"/>
  <c r="P593" i="9" s="1"/>
  <c r="R592" i="9"/>
  <c r="S592" i="9"/>
  <c r="N594" i="9" l="1"/>
  <c r="O594" i="9" s="1"/>
  <c r="P594" i="9" s="1"/>
  <c r="R593" i="9"/>
  <c r="S593" i="9"/>
  <c r="N595" i="9" l="1"/>
  <c r="O595" i="9" s="1"/>
  <c r="P595" i="9" s="1"/>
  <c r="R594" i="9"/>
  <c r="S594" i="9"/>
  <c r="N596" i="9" l="1"/>
  <c r="O596" i="9" s="1"/>
  <c r="P596" i="9" s="1"/>
  <c r="R595" i="9"/>
  <c r="S595" i="9"/>
  <c r="N597" i="9" l="1"/>
  <c r="O597" i="9" s="1"/>
  <c r="P597" i="9" s="1"/>
  <c r="R596" i="9"/>
  <c r="S596" i="9"/>
  <c r="N598" i="9" l="1"/>
  <c r="O598" i="9" s="1"/>
  <c r="P598" i="9" s="1"/>
  <c r="R597" i="9"/>
  <c r="S597" i="9"/>
  <c r="N599" i="9" l="1"/>
  <c r="O599" i="9" s="1"/>
  <c r="P599" i="9" s="1"/>
  <c r="R598" i="9"/>
  <c r="S598" i="9"/>
  <c r="N600" i="9" l="1"/>
  <c r="O600" i="9" s="1"/>
  <c r="P600" i="9" s="1"/>
  <c r="R599" i="9"/>
  <c r="S599" i="9"/>
  <c r="N601" i="9" l="1"/>
  <c r="O601" i="9" s="1"/>
  <c r="P601" i="9" s="1"/>
  <c r="R600" i="9"/>
  <c r="S600" i="9"/>
  <c r="N602" i="9" l="1"/>
  <c r="O602" i="9" s="1"/>
  <c r="P602" i="9" s="1"/>
  <c r="R601" i="9"/>
  <c r="S601" i="9"/>
  <c r="N603" i="9" l="1"/>
  <c r="O603" i="9" s="1"/>
  <c r="P603" i="9" s="1"/>
  <c r="R602" i="9"/>
  <c r="S602" i="9"/>
  <c r="N604" i="9" l="1"/>
  <c r="O604" i="9" s="1"/>
  <c r="P604" i="9" s="1"/>
  <c r="R603" i="9"/>
  <c r="S603" i="9"/>
  <c r="N605" i="9" l="1"/>
  <c r="O605" i="9" s="1"/>
  <c r="P605" i="9" s="1"/>
  <c r="R604" i="9"/>
  <c r="S604" i="9"/>
  <c r="N606" i="9" l="1"/>
  <c r="O606" i="9" s="1"/>
  <c r="P606" i="9" s="1"/>
  <c r="R605" i="9"/>
  <c r="S605" i="9"/>
  <c r="N607" i="9" l="1"/>
  <c r="O607" i="9" s="1"/>
  <c r="P607" i="9" s="1"/>
  <c r="R606" i="9"/>
  <c r="S606" i="9"/>
  <c r="N608" i="9" l="1"/>
  <c r="O608" i="9" s="1"/>
  <c r="P608" i="9" s="1"/>
  <c r="R607" i="9"/>
  <c r="S607" i="9"/>
  <c r="N609" i="9" l="1"/>
  <c r="O609" i="9" s="1"/>
  <c r="P609" i="9" s="1"/>
  <c r="R608" i="9"/>
  <c r="S608" i="9"/>
  <c r="N610" i="9" l="1"/>
  <c r="O610" i="9" s="1"/>
  <c r="P610" i="9" s="1"/>
  <c r="R609" i="9"/>
  <c r="S609" i="9"/>
  <c r="N611" i="9" l="1"/>
  <c r="O611" i="9" s="1"/>
  <c r="P611" i="9" s="1"/>
  <c r="R610" i="9"/>
  <c r="S610" i="9"/>
  <c r="N612" i="9" l="1"/>
  <c r="O612" i="9" s="1"/>
  <c r="P612" i="9" s="1"/>
  <c r="R611" i="9"/>
  <c r="S611" i="9"/>
  <c r="N613" i="9" l="1"/>
  <c r="O613" i="9" s="1"/>
  <c r="P613" i="9" s="1"/>
  <c r="R612" i="9"/>
  <c r="S612" i="9"/>
  <c r="N614" i="9" l="1"/>
  <c r="O614" i="9" s="1"/>
  <c r="P614" i="9" s="1"/>
  <c r="R613" i="9"/>
  <c r="S613" i="9"/>
  <c r="N615" i="9" l="1"/>
  <c r="O615" i="9" s="1"/>
  <c r="P615" i="9" s="1"/>
  <c r="R614" i="9"/>
  <c r="S614" i="9"/>
  <c r="N616" i="9" l="1"/>
  <c r="O616" i="9" s="1"/>
  <c r="P616" i="9" s="1"/>
  <c r="R615" i="9"/>
  <c r="S615" i="9"/>
  <c r="N617" i="9" l="1"/>
  <c r="O617" i="9" s="1"/>
  <c r="P617" i="9" s="1"/>
  <c r="R616" i="9"/>
  <c r="S616" i="9"/>
  <c r="N618" i="9" l="1"/>
  <c r="O618" i="9" s="1"/>
  <c r="P618" i="9" s="1"/>
  <c r="R617" i="9"/>
  <c r="S617" i="9"/>
  <c r="N619" i="9" l="1"/>
  <c r="O619" i="9" s="1"/>
  <c r="P619" i="9" s="1"/>
  <c r="R618" i="9"/>
  <c r="S618" i="9"/>
  <c r="N620" i="9" l="1"/>
  <c r="O620" i="9" s="1"/>
  <c r="P620" i="9" s="1"/>
  <c r="R619" i="9"/>
  <c r="S619" i="9"/>
  <c r="N621" i="9" l="1"/>
  <c r="O621" i="9" s="1"/>
  <c r="P621" i="9" s="1"/>
  <c r="R620" i="9"/>
  <c r="S620" i="9"/>
  <c r="N622" i="9" l="1"/>
  <c r="O622" i="9" s="1"/>
  <c r="P622" i="9" s="1"/>
  <c r="R621" i="9"/>
  <c r="S621" i="9"/>
  <c r="N623" i="9" l="1"/>
  <c r="O623" i="9" s="1"/>
  <c r="P623" i="9" s="1"/>
  <c r="R622" i="9"/>
  <c r="S622" i="9"/>
  <c r="N624" i="9" l="1"/>
  <c r="O624" i="9" s="1"/>
  <c r="P624" i="9" s="1"/>
  <c r="R623" i="9"/>
  <c r="S623" i="9"/>
  <c r="N625" i="9" l="1"/>
  <c r="O625" i="9" s="1"/>
  <c r="P625" i="9" s="1"/>
  <c r="R624" i="9"/>
  <c r="S624" i="9"/>
  <c r="N626" i="9" l="1"/>
  <c r="O626" i="9" s="1"/>
  <c r="P626" i="9" s="1"/>
  <c r="R625" i="9"/>
  <c r="S625" i="9"/>
  <c r="N627" i="9" l="1"/>
  <c r="O627" i="9" s="1"/>
  <c r="P627" i="9" s="1"/>
  <c r="R626" i="9"/>
  <c r="S626" i="9"/>
  <c r="N628" i="9" l="1"/>
  <c r="O628" i="9" s="1"/>
  <c r="P628" i="9" s="1"/>
  <c r="R627" i="9"/>
  <c r="S627" i="9"/>
  <c r="N629" i="9" l="1"/>
  <c r="O629" i="9" s="1"/>
  <c r="P629" i="9" s="1"/>
  <c r="R628" i="9"/>
  <c r="S628" i="9"/>
  <c r="N630" i="9" l="1"/>
  <c r="O630" i="9" s="1"/>
  <c r="P630" i="9" s="1"/>
  <c r="R629" i="9"/>
  <c r="S629" i="9"/>
  <c r="N631" i="9" l="1"/>
  <c r="O631" i="9" s="1"/>
  <c r="P631" i="9" s="1"/>
  <c r="R630" i="9"/>
  <c r="S630" i="9"/>
  <c r="N632" i="9" l="1"/>
  <c r="O632" i="9" s="1"/>
  <c r="P632" i="9" s="1"/>
  <c r="R631" i="9"/>
  <c r="S631" i="9"/>
  <c r="N633" i="9" l="1"/>
  <c r="O633" i="9" s="1"/>
  <c r="P633" i="9" s="1"/>
  <c r="R632" i="9"/>
  <c r="S632" i="9"/>
  <c r="N634" i="9" l="1"/>
  <c r="O634" i="9" s="1"/>
  <c r="P634" i="9" s="1"/>
  <c r="R633" i="9"/>
  <c r="S633" i="9"/>
  <c r="N635" i="9" l="1"/>
  <c r="O635" i="9" s="1"/>
  <c r="P635" i="9" s="1"/>
  <c r="R634" i="9"/>
  <c r="S634" i="9"/>
  <c r="N636" i="9" l="1"/>
  <c r="O636" i="9" s="1"/>
  <c r="P636" i="9" s="1"/>
  <c r="R635" i="9"/>
  <c r="S635" i="9"/>
  <c r="N637" i="9" l="1"/>
  <c r="O637" i="9" s="1"/>
  <c r="P637" i="9" s="1"/>
  <c r="R636" i="9"/>
  <c r="S636" i="9"/>
  <c r="N638" i="9" l="1"/>
  <c r="O638" i="9" s="1"/>
  <c r="P638" i="9" s="1"/>
  <c r="R637" i="9"/>
  <c r="S637" i="9"/>
  <c r="N639" i="9" l="1"/>
  <c r="O639" i="9" s="1"/>
  <c r="P639" i="9" s="1"/>
  <c r="R638" i="9"/>
  <c r="S638" i="9"/>
  <c r="N640" i="9" l="1"/>
  <c r="O640" i="9" s="1"/>
  <c r="P640" i="9" s="1"/>
  <c r="R639" i="9"/>
  <c r="S639" i="9"/>
  <c r="N641" i="9" l="1"/>
  <c r="O641" i="9" s="1"/>
  <c r="P641" i="9" s="1"/>
  <c r="R640" i="9"/>
  <c r="S640" i="9"/>
  <c r="N642" i="9" l="1"/>
  <c r="O642" i="9" s="1"/>
  <c r="P642" i="9" s="1"/>
  <c r="R641" i="9"/>
  <c r="S641" i="9"/>
  <c r="N643" i="9" l="1"/>
  <c r="O643" i="9" s="1"/>
  <c r="P643" i="9" s="1"/>
  <c r="R642" i="9"/>
  <c r="S642" i="9"/>
  <c r="N644" i="9" l="1"/>
  <c r="O644" i="9" s="1"/>
  <c r="P644" i="9" s="1"/>
  <c r="R643" i="9"/>
  <c r="S643" i="9"/>
  <c r="N645" i="9" l="1"/>
  <c r="O645" i="9" s="1"/>
  <c r="P645" i="9" s="1"/>
  <c r="R644" i="9"/>
  <c r="S644" i="9"/>
  <c r="N646" i="9" l="1"/>
  <c r="O646" i="9" s="1"/>
  <c r="P646" i="9" s="1"/>
  <c r="R645" i="9"/>
  <c r="S645" i="9"/>
  <c r="N647" i="9" l="1"/>
  <c r="O647" i="9" s="1"/>
  <c r="P647" i="9" s="1"/>
  <c r="R646" i="9"/>
  <c r="S646" i="9"/>
  <c r="N648" i="9" l="1"/>
  <c r="O648" i="9" s="1"/>
  <c r="P648" i="9" s="1"/>
  <c r="R647" i="9"/>
  <c r="S647" i="9"/>
  <c r="N649" i="9" l="1"/>
  <c r="O649" i="9" s="1"/>
  <c r="P649" i="9" s="1"/>
  <c r="R648" i="9"/>
  <c r="S648" i="9"/>
  <c r="N650" i="9" l="1"/>
  <c r="O650" i="9" s="1"/>
  <c r="P650" i="9" s="1"/>
  <c r="S649" i="9"/>
  <c r="R649" i="9"/>
  <c r="R650" i="9" l="1"/>
  <c r="N651" i="9"/>
  <c r="O651" i="9" s="1"/>
  <c r="P651" i="9" s="1"/>
  <c r="S650" i="9"/>
  <c r="N652" i="9" l="1"/>
  <c r="O652" i="9" s="1"/>
  <c r="P652" i="9" s="1"/>
  <c r="S651" i="9"/>
  <c r="R651" i="9"/>
  <c r="N653" i="9" l="1"/>
  <c r="O653" i="9" s="1"/>
  <c r="P653" i="9" s="1"/>
  <c r="R652" i="9"/>
  <c r="S652" i="9"/>
  <c r="N654" i="9" l="1"/>
  <c r="O654" i="9" s="1"/>
  <c r="P654" i="9" s="1"/>
  <c r="S653" i="9"/>
  <c r="R653" i="9"/>
  <c r="N655" i="9" l="1"/>
  <c r="O655" i="9" s="1"/>
  <c r="P655" i="9" s="1"/>
  <c r="R654" i="9"/>
  <c r="S654" i="9"/>
  <c r="N656" i="9" l="1"/>
  <c r="O656" i="9" s="1"/>
  <c r="P656" i="9" s="1"/>
  <c r="S655" i="9"/>
  <c r="R655" i="9"/>
  <c r="N657" i="9" l="1"/>
  <c r="O657" i="9" s="1"/>
  <c r="P657" i="9" s="1"/>
  <c r="R656" i="9"/>
  <c r="S656" i="9"/>
  <c r="N658" i="9" l="1"/>
  <c r="O658" i="9" s="1"/>
  <c r="P658" i="9" s="1"/>
  <c r="S657" i="9"/>
  <c r="R657" i="9"/>
  <c r="N659" i="9" l="1"/>
  <c r="O659" i="9" s="1"/>
  <c r="P659" i="9" s="1"/>
  <c r="R658" i="9"/>
  <c r="S658" i="9"/>
  <c r="N660" i="9" l="1"/>
  <c r="O660" i="9" s="1"/>
  <c r="P660" i="9" s="1"/>
  <c r="S659" i="9"/>
  <c r="R659" i="9"/>
  <c r="N661" i="9" l="1"/>
  <c r="O661" i="9" s="1"/>
  <c r="P661" i="9" s="1"/>
  <c r="R660" i="9"/>
  <c r="S660" i="9"/>
  <c r="N662" i="9" l="1"/>
  <c r="O662" i="9" s="1"/>
  <c r="P662" i="9" s="1"/>
  <c r="S661" i="9"/>
  <c r="R661" i="9"/>
  <c r="N663" i="9" l="1"/>
  <c r="O663" i="9" s="1"/>
  <c r="P663" i="9" s="1"/>
  <c r="R662" i="9"/>
  <c r="S662" i="9"/>
  <c r="N664" i="9" l="1"/>
  <c r="O664" i="9" s="1"/>
  <c r="P664" i="9" s="1"/>
  <c r="S663" i="9"/>
  <c r="R663" i="9"/>
  <c r="N665" i="9" l="1"/>
  <c r="O665" i="9" s="1"/>
  <c r="P665" i="9" s="1"/>
  <c r="R664" i="9"/>
  <c r="S664" i="9"/>
  <c r="N666" i="9" l="1"/>
  <c r="O666" i="9" s="1"/>
  <c r="P666" i="9" s="1"/>
  <c r="S665" i="9"/>
  <c r="R665" i="9"/>
  <c r="N667" i="9" l="1"/>
  <c r="O667" i="9" s="1"/>
  <c r="P667" i="9" s="1"/>
  <c r="R666" i="9"/>
  <c r="S666" i="9"/>
  <c r="N668" i="9" l="1"/>
  <c r="O668" i="9" s="1"/>
  <c r="P668" i="9" s="1"/>
  <c r="S667" i="9"/>
  <c r="R667" i="9"/>
  <c r="N669" i="9" l="1"/>
  <c r="O669" i="9" s="1"/>
  <c r="P669" i="9" s="1"/>
  <c r="R668" i="9"/>
  <c r="S668" i="9"/>
  <c r="N670" i="9" l="1"/>
  <c r="O670" i="9" s="1"/>
  <c r="P670" i="9" s="1"/>
  <c r="S669" i="9"/>
  <c r="R669" i="9"/>
  <c r="N671" i="9" l="1"/>
  <c r="O671" i="9" s="1"/>
  <c r="P671" i="9" s="1"/>
  <c r="R670" i="9"/>
  <c r="S670" i="9"/>
  <c r="N672" i="9" l="1"/>
  <c r="O672" i="9" s="1"/>
  <c r="P672" i="9" s="1"/>
  <c r="S671" i="9"/>
  <c r="R671" i="9"/>
  <c r="N673" i="9" l="1"/>
  <c r="O673" i="9" s="1"/>
  <c r="P673" i="9" s="1"/>
  <c r="R672" i="9"/>
  <c r="S672" i="9"/>
  <c r="N674" i="9" l="1"/>
  <c r="O674" i="9" s="1"/>
  <c r="P674" i="9" s="1"/>
  <c r="S673" i="9"/>
  <c r="R673" i="9"/>
  <c r="N675" i="9" l="1"/>
  <c r="O675" i="9" s="1"/>
  <c r="P675" i="9" s="1"/>
  <c r="R674" i="9"/>
  <c r="S674" i="9"/>
  <c r="N676" i="9" l="1"/>
  <c r="O676" i="9" s="1"/>
  <c r="P676" i="9" s="1"/>
  <c r="S675" i="9"/>
  <c r="R675" i="9"/>
  <c r="N677" i="9" l="1"/>
  <c r="O677" i="9" s="1"/>
  <c r="P677" i="9" s="1"/>
  <c r="R676" i="9"/>
  <c r="S676" i="9"/>
  <c r="N678" i="9" l="1"/>
  <c r="O678" i="9" s="1"/>
  <c r="P678" i="9" s="1"/>
  <c r="S677" i="9"/>
  <c r="R677" i="9"/>
  <c r="N679" i="9" l="1"/>
  <c r="O679" i="9" s="1"/>
  <c r="P679" i="9" s="1"/>
  <c r="R678" i="9"/>
  <c r="S678" i="9"/>
  <c r="N680" i="9" l="1"/>
  <c r="O680" i="9" s="1"/>
  <c r="P680" i="9" s="1"/>
  <c r="S679" i="9"/>
  <c r="R679" i="9"/>
  <c r="N681" i="9" l="1"/>
  <c r="O681" i="9" s="1"/>
  <c r="P681" i="9" s="1"/>
  <c r="R680" i="9"/>
  <c r="S680" i="9"/>
  <c r="N682" i="9" l="1"/>
  <c r="O682" i="9" s="1"/>
  <c r="P682" i="9" s="1"/>
  <c r="S681" i="9"/>
  <c r="R681" i="9"/>
  <c r="N683" i="9" l="1"/>
  <c r="O683" i="9" s="1"/>
  <c r="P683" i="9" s="1"/>
  <c r="R682" i="9"/>
  <c r="S682" i="9"/>
  <c r="N684" i="9" l="1"/>
  <c r="O684" i="9" s="1"/>
  <c r="P684" i="9" s="1"/>
  <c r="S683" i="9"/>
  <c r="R683" i="9"/>
  <c r="R684" i="9" l="1"/>
  <c r="S684" i="9"/>
  <c r="N685" i="9"/>
  <c r="O685" i="9" s="1"/>
  <c r="P685" i="9" s="1"/>
  <c r="N686" i="9" l="1"/>
  <c r="O686" i="9" s="1"/>
  <c r="P686" i="9" s="1"/>
  <c r="S685" i="9"/>
  <c r="R685" i="9"/>
  <c r="N687" i="9" l="1"/>
  <c r="O687" i="9" s="1"/>
  <c r="P687" i="9" s="1"/>
  <c r="R686" i="9"/>
  <c r="S686" i="9"/>
  <c r="N688" i="9" l="1"/>
  <c r="O688" i="9" s="1"/>
  <c r="P688" i="9" s="1"/>
  <c r="S687" i="9"/>
  <c r="R687" i="9"/>
  <c r="N689" i="9" l="1"/>
  <c r="O689" i="9" s="1"/>
  <c r="P689" i="9" s="1"/>
  <c r="R688" i="9"/>
  <c r="S688" i="9"/>
  <c r="N690" i="9" l="1"/>
  <c r="O690" i="9" s="1"/>
  <c r="P690" i="9" s="1"/>
  <c r="S689" i="9"/>
  <c r="R689" i="9"/>
  <c r="N691" i="9" l="1"/>
  <c r="O691" i="9" s="1"/>
  <c r="P691" i="9" s="1"/>
  <c r="R690" i="9"/>
  <c r="S690" i="9"/>
  <c r="N692" i="9" l="1"/>
  <c r="O692" i="9" s="1"/>
  <c r="P692" i="9" s="1"/>
  <c r="S691" i="9"/>
  <c r="R691" i="9"/>
  <c r="N693" i="9" l="1"/>
  <c r="O693" i="9" s="1"/>
  <c r="P693" i="9" s="1"/>
  <c r="R692" i="9"/>
  <c r="S692" i="9"/>
  <c r="N694" i="9" l="1"/>
  <c r="O694" i="9" s="1"/>
  <c r="P694" i="9" s="1"/>
  <c r="S693" i="9"/>
  <c r="R693" i="9"/>
  <c r="N695" i="9" l="1"/>
  <c r="O695" i="9" s="1"/>
  <c r="P695" i="9" s="1"/>
  <c r="R694" i="9"/>
  <c r="S694" i="9"/>
  <c r="N696" i="9" l="1"/>
  <c r="O696" i="9" s="1"/>
  <c r="P696" i="9" s="1"/>
  <c r="S695" i="9"/>
  <c r="R695" i="9"/>
  <c r="N697" i="9" l="1"/>
  <c r="O697" i="9" s="1"/>
  <c r="P697" i="9" s="1"/>
  <c r="R696" i="9"/>
  <c r="S696" i="9"/>
  <c r="N698" i="9" l="1"/>
  <c r="O698" i="9" s="1"/>
  <c r="P698" i="9" s="1"/>
  <c r="S697" i="9"/>
  <c r="R697" i="9"/>
  <c r="N699" i="9" l="1"/>
  <c r="O699" i="9" s="1"/>
  <c r="P699" i="9" s="1"/>
  <c r="R698" i="9"/>
  <c r="S698" i="9"/>
  <c r="N700" i="9" l="1"/>
  <c r="O700" i="9" s="1"/>
  <c r="P700" i="9" s="1"/>
  <c r="S699" i="9"/>
  <c r="R699" i="9"/>
  <c r="N701" i="9" l="1"/>
  <c r="O701" i="9" s="1"/>
  <c r="P701" i="9" s="1"/>
  <c r="R700" i="9"/>
  <c r="S700" i="9"/>
  <c r="N702" i="9" l="1"/>
  <c r="O702" i="9" s="1"/>
  <c r="P702" i="9" s="1"/>
  <c r="S701" i="9"/>
  <c r="R701" i="9"/>
  <c r="N703" i="9" l="1"/>
  <c r="O703" i="9" s="1"/>
  <c r="P703" i="9" s="1"/>
  <c r="R702" i="9"/>
  <c r="S702" i="9"/>
  <c r="N704" i="9" l="1"/>
  <c r="O704" i="9" s="1"/>
  <c r="P704" i="9" s="1"/>
  <c r="S703" i="9"/>
  <c r="R703" i="9"/>
  <c r="N705" i="9" l="1"/>
  <c r="O705" i="9" s="1"/>
  <c r="P705" i="9" s="1"/>
  <c r="R704" i="9"/>
  <c r="S704" i="9"/>
  <c r="N706" i="9" l="1"/>
  <c r="O706" i="9" s="1"/>
  <c r="P706" i="9" s="1"/>
  <c r="S705" i="9"/>
  <c r="R705" i="9"/>
  <c r="N707" i="9" l="1"/>
  <c r="O707" i="9" s="1"/>
  <c r="P707" i="9" s="1"/>
  <c r="R706" i="9"/>
  <c r="S706" i="9"/>
  <c r="N708" i="9" l="1"/>
  <c r="O708" i="9" s="1"/>
  <c r="P708" i="9" s="1"/>
  <c r="S707" i="9"/>
  <c r="R707" i="9"/>
  <c r="N709" i="9" l="1"/>
  <c r="O709" i="9" s="1"/>
  <c r="P709" i="9" s="1"/>
  <c r="R708" i="9"/>
  <c r="S708" i="9"/>
  <c r="N710" i="9" l="1"/>
  <c r="O710" i="9" s="1"/>
  <c r="P710" i="9" s="1"/>
  <c r="S709" i="9"/>
  <c r="R709" i="9"/>
  <c r="N711" i="9" l="1"/>
  <c r="O711" i="9" s="1"/>
  <c r="P711" i="9" s="1"/>
  <c r="R710" i="9"/>
  <c r="S710" i="9"/>
  <c r="N712" i="9" l="1"/>
  <c r="O712" i="9" s="1"/>
  <c r="P712" i="9" s="1"/>
  <c r="S711" i="9"/>
  <c r="R711" i="9"/>
  <c r="N713" i="9" l="1"/>
  <c r="O713" i="9" s="1"/>
  <c r="P713" i="9" s="1"/>
  <c r="R712" i="9"/>
  <c r="S712" i="9"/>
  <c r="N714" i="9" l="1"/>
  <c r="O714" i="9" s="1"/>
  <c r="P714" i="9" s="1"/>
  <c r="S713" i="9"/>
  <c r="R713" i="9"/>
  <c r="N715" i="9" l="1"/>
  <c r="O715" i="9" s="1"/>
  <c r="P715" i="9" s="1"/>
  <c r="R714" i="9"/>
  <c r="S714" i="9"/>
  <c r="N716" i="9" l="1"/>
  <c r="O716" i="9" s="1"/>
  <c r="P716" i="9" s="1"/>
  <c r="S715" i="9"/>
  <c r="R715" i="9"/>
  <c r="N717" i="9" l="1"/>
  <c r="O717" i="9" s="1"/>
  <c r="P717" i="9" s="1"/>
  <c r="R716" i="9"/>
  <c r="S716" i="9"/>
  <c r="N718" i="9" l="1"/>
  <c r="O718" i="9" s="1"/>
  <c r="P718" i="9" s="1"/>
  <c r="S717" i="9"/>
  <c r="R717" i="9"/>
  <c r="N719" i="9" l="1"/>
  <c r="O719" i="9" s="1"/>
  <c r="P719" i="9" s="1"/>
  <c r="R718" i="9"/>
  <c r="S718" i="9"/>
  <c r="N720" i="9" l="1"/>
  <c r="O720" i="9" s="1"/>
  <c r="P720" i="9" s="1"/>
  <c r="S719" i="9"/>
  <c r="R719" i="9"/>
  <c r="N721" i="9" l="1"/>
  <c r="O721" i="9" s="1"/>
  <c r="P721" i="9" s="1"/>
  <c r="R720" i="9"/>
  <c r="S720" i="9"/>
  <c r="N722" i="9" l="1"/>
  <c r="O722" i="9" s="1"/>
  <c r="P722" i="9" s="1"/>
  <c r="S721" i="9"/>
  <c r="R721" i="9"/>
  <c r="N723" i="9" l="1"/>
  <c r="O723" i="9" s="1"/>
  <c r="P723" i="9" s="1"/>
  <c r="R722" i="9"/>
  <c r="S722" i="9"/>
  <c r="N724" i="9" l="1"/>
  <c r="O724" i="9" s="1"/>
  <c r="P724" i="9" s="1"/>
  <c r="S723" i="9"/>
  <c r="R723" i="9"/>
  <c r="N725" i="9" l="1"/>
  <c r="O725" i="9" s="1"/>
  <c r="P725" i="9" s="1"/>
  <c r="R724" i="9"/>
  <c r="S724" i="9"/>
  <c r="N726" i="9" l="1"/>
  <c r="O726" i="9" s="1"/>
  <c r="P726" i="9" s="1"/>
  <c r="S725" i="9"/>
  <c r="R725" i="9"/>
  <c r="N727" i="9" l="1"/>
  <c r="O727" i="9" s="1"/>
  <c r="P727" i="9" s="1"/>
  <c r="R726" i="9"/>
  <c r="S726" i="9"/>
  <c r="N728" i="9" l="1"/>
  <c r="O728" i="9" s="1"/>
  <c r="P728" i="9" s="1"/>
  <c r="S727" i="9"/>
  <c r="R727" i="9"/>
  <c r="N729" i="9" l="1"/>
  <c r="O729" i="9" s="1"/>
  <c r="P729" i="9" s="1"/>
  <c r="R728" i="9"/>
  <c r="S728" i="9"/>
  <c r="N730" i="9" l="1"/>
  <c r="O730" i="9" s="1"/>
  <c r="P730" i="9" s="1"/>
  <c r="S729" i="9"/>
  <c r="R729" i="9"/>
  <c r="N731" i="9" l="1"/>
  <c r="O731" i="9" s="1"/>
  <c r="P731" i="9" s="1"/>
  <c r="R730" i="9"/>
  <c r="S730" i="9"/>
  <c r="N732" i="9" l="1"/>
  <c r="O732" i="9" s="1"/>
  <c r="P732" i="9" s="1"/>
  <c r="S731" i="9"/>
  <c r="R731" i="9"/>
  <c r="N733" i="9" l="1"/>
  <c r="O733" i="9" s="1"/>
  <c r="P733" i="9" s="1"/>
  <c r="R732" i="9"/>
  <c r="S732" i="9"/>
  <c r="N734" i="9" l="1"/>
  <c r="O734" i="9" s="1"/>
  <c r="P734" i="9" s="1"/>
  <c r="S733" i="9"/>
  <c r="R733" i="9"/>
  <c r="N735" i="9" l="1"/>
  <c r="O735" i="9" s="1"/>
  <c r="P735" i="9" s="1"/>
  <c r="R734" i="9"/>
  <c r="S734" i="9"/>
  <c r="N736" i="9" l="1"/>
  <c r="O736" i="9" s="1"/>
  <c r="P736" i="9" s="1"/>
  <c r="S735" i="9"/>
  <c r="R735" i="9"/>
  <c r="N737" i="9" l="1"/>
  <c r="O737" i="9" s="1"/>
  <c r="P737" i="9" s="1"/>
  <c r="R736" i="9"/>
  <c r="S736" i="9"/>
  <c r="N738" i="9" l="1"/>
  <c r="O738" i="9" s="1"/>
  <c r="P738" i="9" s="1"/>
  <c r="S737" i="9"/>
  <c r="R737" i="9"/>
  <c r="N739" i="9" l="1"/>
  <c r="O739" i="9" s="1"/>
  <c r="P739" i="9" s="1"/>
  <c r="R738" i="9"/>
  <c r="S738" i="9"/>
  <c r="N740" i="9" l="1"/>
  <c r="O740" i="9" s="1"/>
  <c r="P740" i="9" s="1"/>
  <c r="S739" i="9"/>
  <c r="R739" i="9"/>
  <c r="N741" i="9" l="1"/>
  <c r="O741" i="9" s="1"/>
  <c r="P741" i="9" s="1"/>
  <c r="S740" i="9"/>
  <c r="R740" i="9"/>
  <c r="N742" i="9" l="1"/>
  <c r="O742" i="9" s="1"/>
  <c r="P742" i="9" s="1"/>
  <c r="S741" i="9"/>
  <c r="R741" i="9"/>
  <c r="N743" i="9" l="1"/>
  <c r="O743" i="9" s="1"/>
  <c r="P743" i="9" s="1"/>
  <c r="S742" i="9"/>
  <c r="R742" i="9"/>
  <c r="N744" i="9" l="1"/>
  <c r="O744" i="9" s="1"/>
  <c r="P744" i="9" s="1"/>
  <c r="R743" i="9"/>
  <c r="S743" i="9"/>
  <c r="N745" i="9" l="1"/>
  <c r="O745" i="9" s="1"/>
  <c r="P745" i="9" s="1"/>
  <c r="S744" i="9"/>
  <c r="R744" i="9"/>
  <c r="N746" i="9" l="1"/>
  <c r="O746" i="9" s="1"/>
  <c r="P746" i="9" s="1"/>
  <c r="R745" i="9"/>
  <c r="S745" i="9"/>
  <c r="N747" i="9" l="1"/>
  <c r="O747" i="9" s="1"/>
  <c r="P747" i="9" s="1"/>
  <c r="S746" i="9"/>
  <c r="R746" i="9"/>
  <c r="N748" i="9" l="1"/>
  <c r="O748" i="9" s="1"/>
  <c r="P748" i="9" s="1"/>
  <c r="R747" i="9"/>
  <c r="S747" i="9"/>
  <c r="N749" i="9" l="1"/>
  <c r="O749" i="9" s="1"/>
  <c r="P749" i="9" s="1"/>
  <c r="S748" i="9"/>
  <c r="R748" i="9"/>
  <c r="N750" i="9" l="1"/>
  <c r="O750" i="9" s="1"/>
  <c r="P750" i="9" s="1"/>
  <c r="R749" i="9"/>
  <c r="S749" i="9"/>
  <c r="N751" i="9" l="1"/>
  <c r="O751" i="9" s="1"/>
  <c r="P751" i="9" s="1"/>
  <c r="S750" i="9"/>
  <c r="R750" i="9"/>
  <c r="N752" i="9" l="1"/>
  <c r="O752" i="9" s="1"/>
  <c r="P752" i="9" s="1"/>
  <c r="R751" i="9"/>
  <c r="S751" i="9"/>
  <c r="N753" i="9" l="1"/>
  <c r="O753" i="9" s="1"/>
  <c r="P753" i="9" s="1"/>
  <c r="S752" i="9"/>
  <c r="R752" i="9"/>
  <c r="N754" i="9" l="1"/>
  <c r="O754" i="9" s="1"/>
  <c r="P754" i="9" s="1"/>
  <c r="R753" i="9"/>
  <c r="S753" i="9"/>
  <c r="N755" i="9" l="1"/>
  <c r="O755" i="9" s="1"/>
  <c r="P755" i="9" s="1"/>
  <c r="S754" i="9"/>
  <c r="R754" i="9"/>
  <c r="N756" i="9" l="1"/>
  <c r="O756" i="9" s="1"/>
  <c r="P756" i="9" s="1"/>
  <c r="R755" i="9"/>
  <c r="S755" i="9"/>
  <c r="N757" i="9" l="1"/>
  <c r="O757" i="9" s="1"/>
  <c r="P757" i="9" s="1"/>
  <c r="S756" i="9"/>
  <c r="R756" i="9"/>
  <c r="N758" i="9" l="1"/>
  <c r="O758" i="9" s="1"/>
  <c r="P758" i="9" s="1"/>
  <c r="R757" i="9"/>
  <c r="S757" i="9"/>
  <c r="N759" i="9" l="1"/>
  <c r="O759" i="9" s="1"/>
  <c r="P759" i="9" s="1"/>
  <c r="S758" i="9"/>
  <c r="R758" i="9"/>
  <c r="N760" i="9" l="1"/>
  <c r="O760" i="9" s="1"/>
  <c r="P760" i="9" s="1"/>
  <c r="R759" i="9"/>
  <c r="S759" i="9"/>
  <c r="N761" i="9" l="1"/>
  <c r="O761" i="9" s="1"/>
  <c r="P761" i="9" s="1"/>
  <c r="S760" i="9"/>
  <c r="R760" i="9"/>
  <c r="N762" i="9" l="1"/>
  <c r="O762" i="9" s="1"/>
  <c r="P762" i="9" s="1"/>
  <c r="R761" i="9"/>
  <c r="S761" i="9"/>
  <c r="N763" i="9" l="1"/>
  <c r="O763" i="9" s="1"/>
  <c r="P763" i="9" s="1"/>
  <c r="S762" i="9"/>
  <c r="R762" i="9"/>
  <c r="N764" i="9" l="1"/>
  <c r="O764" i="9" s="1"/>
  <c r="P764" i="9" s="1"/>
  <c r="R763" i="9"/>
  <c r="S763" i="9"/>
  <c r="N765" i="9" l="1"/>
  <c r="O765" i="9" s="1"/>
  <c r="P765" i="9" s="1"/>
  <c r="S764" i="9"/>
  <c r="R764" i="9"/>
  <c r="N766" i="9" l="1"/>
  <c r="O766" i="9" s="1"/>
  <c r="P766" i="9" s="1"/>
  <c r="R765" i="9"/>
  <c r="S765" i="9"/>
  <c r="N767" i="9" l="1"/>
  <c r="O767" i="9" s="1"/>
  <c r="P767" i="9" s="1"/>
  <c r="S766" i="9"/>
  <c r="R766" i="9"/>
  <c r="N768" i="9" l="1"/>
  <c r="O768" i="9" s="1"/>
  <c r="P768" i="9" s="1"/>
  <c r="R767" i="9"/>
  <c r="S767" i="9"/>
  <c r="N769" i="9" l="1"/>
  <c r="O769" i="9" s="1"/>
  <c r="P769" i="9" s="1"/>
  <c r="S768" i="9"/>
  <c r="R768" i="9"/>
  <c r="N770" i="9" l="1"/>
  <c r="O770" i="9" s="1"/>
  <c r="P770" i="9" s="1"/>
  <c r="R769" i="9"/>
  <c r="S769" i="9"/>
  <c r="N771" i="9" l="1"/>
  <c r="O771" i="9" s="1"/>
  <c r="P771" i="9" s="1"/>
  <c r="S770" i="9"/>
  <c r="R770" i="9"/>
  <c r="N772" i="9" l="1"/>
  <c r="O772" i="9" s="1"/>
  <c r="P772" i="9" s="1"/>
  <c r="R771" i="9"/>
  <c r="S771" i="9"/>
  <c r="N773" i="9" l="1"/>
  <c r="O773" i="9" s="1"/>
  <c r="P773" i="9" s="1"/>
  <c r="S772" i="9"/>
  <c r="R772" i="9"/>
  <c r="N774" i="9" l="1"/>
  <c r="O774" i="9" s="1"/>
  <c r="P774" i="9" s="1"/>
  <c r="R773" i="9"/>
  <c r="S773" i="9"/>
  <c r="N775" i="9" l="1"/>
  <c r="O775" i="9" s="1"/>
  <c r="P775" i="9" s="1"/>
  <c r="S774" i="9"/>
  <c r="R774" i="9"/>
  <c r="N776" i="9" l="1"/>
  <c r="O776" i="9" s="1"/>
  <c r="P776" i="9" s="1"/>
  <c r="R775" i="9"/>
  <c r="S775" i="9"/>
  <c r="N777" i="9" l="1"/>
  <c r="O777" i="9" s="1"/>
  <c r="P777" i="9" s="1"/>
  <c r="S776" i="9"/>
  <c r="R776" i="9"/>
  <c r="N778" i="9" l="1"/>
  <c r="O778" i="9" s="1"/>
  <c r="P778" i="9" s="1"/>
  <c r="R777" i="9"/>
  <c r="S777" i="9"/>
  <c r="N779" i="9" l="1"/>
  <c r="O779" i="9" s="1"/>
  <c r="P779" i="9" s="1"/>
  <c r="S778" i="9"/>
  <c r="R778" i="9"/>
  <c r="N780" i="9" l="1"/>
  <c r="O780" i="9" s="1"/>
  <c r="P780" i="9" s="1"/>
  <c r="R779" i="9"/>
  <c r="S779" i="9"/>
  <c r="N781" i="9" l="1"/>
  <c r="O781" i="9" s="1"/>
  <c r="P781" i="9" s="1"/>
  <c r="S780" i="9"/>
  <c r="R780" i="9"/>
  <c r="N782" i="9" l="1"/>
  <c r="O782" i="9" s="1"/>
  <c r="P782" i="9" s="1"/>
  <c r="R781" i="9"/>
  <c r="S781" i="9"/>
  <c r="N783" i="9" l="1"/>
  <c r="O783" i="9" s="1"/>
  <c r="P783" i="9" s="1"/>
  <c r="S782" i="9"/>
  <c r="R782" i="9"/>
  <c r="N784" i="9" l="1"/>
  <c r="O784" i="9" s="1"/>
  <c r="P784" i="9" s="1"/>
  <c r="R783" i="9"/>
  <c r="S783" i="9"/>
  <c r="N785" i="9" l="1"/>
  <c r="O785" i="9" s="1"/>
  <c r="P785" i="9" s="1"/>
  <c r="S784" i="9"/>
  <c r="R784" i="9"/>
  <c r="N786" i="9" l="1"/>
  <c r="O786" i="9" s="1"/>
  <c r="P786" i="9" s="1"/>
  <c r="R785" i="9"/>
  <c r="S785" i="9"/>
  <c r="N787" i="9" l="1"/>
  <c r="O787" i="9" s="1"/>
  <c r="P787" i="9" s="1"/>
  <c r="S786" i="9"/>
  <c r="R786" i="9"/>
  <c r="N788" i="9" l="1"/>
  <c r="O788" i="9" s="1"/>
  <c r="P788" i="9" s="1"/>
  <c r="S787" i="9"/>
  <c r="R787" i="9"/>
  <c r="N789" i="9" l="1"/>
  <c r="O789" i="9" s="1"/>
  <c r="P789" i="9" s="1"/>
  <c r="R788" i="9"/>
  <c r="S788" i="9"/>
  <c r="N790" i="9" l="1"/>
  <c r="O790" i="9" s="1"/>
  <c r="P790" i="9" s="1"/>
  <c r="R789" i="9"/>
  <c r="S789" i="9"/>
  <c r="N791" i="9" l="1"/>
  <c r="O791" i="9" s="1"/>
  <c r="P791" i="9" s="1"/>
  <c r="R790" i="9"/>
  <c r="S790" i="9"/>
  <c r="N792" i="9" l="1"/>
  <c r="O792" i="9" s="1"/>
  <c r="P792" i="9" s="1"/>
  <c r="R791" i="9"/>
  <c r="S791" i="9"/>
  <c r="N793" i="9" l="1"/>
  <c r="O793" i="9" s="1"/>
  <c r="P793" i="9" s="1"/>
  <c r="R792" i="9"/>
  <c r="S792" i="9"/>
  <c r="N794" i="9" l="1"/>
  <c r="O794" i="9" s="1"/>
  <c r="P794" i="9" s="1"/>
  <c r="R793" i="9"/>
  <c r="S793" i="9"/>
  <c r="N795" i="9" l="1"/>
  <c r="O795" i="9" s="1"/>
  <c r="P795" i="9" s="1"/>
  <c r="R794" i="9"/>
  <c r="S794" i="9"/>
  <c r="N796" i="9" l="1"/>
  <c r="O796" i="9" s="1"/>
  <c r="P796" i="9" s="1"/>
  <c r="R795" i="9"/>
  <c r="S795" i="9"/>
  <c r="N797" i="9" l="1"/>
  <c r="O797" i="9" s="1"/>
  <c r="P797" i="9" s="1"/>
  <c r="R796" i="9"/>
  <c r="S796" i="9"/>
  <c r="N798" i="9" l="1"/>
  <c r="O798" i="9" s="1"/>
  <c r="P798" i="9" s="1"/>
  <c r="R797" i="9"/>
  <c r="S797" i="9"/>
  <c r="N799" i="9" l="1"/>
  <c r="O799" i="9" s="1"/>
  <c r="P799" i="9" s="1"/>
  <c r="R798" i="9"/>
  <c r="S798" i="9"/>
  <c r="N800" i="9" l="1"/>
  <c r="O800" i="9" s="1"/>
  <c r="P800" i="9" s="1"/>
  <c r="R799" i="9"/>
  <c r="S799" i="9"/>
  <c r="N801" i="9" l="1"/>
  <c r="O801" i="9" s="1"/>
  <c r="P801" i="9" s="1"/>
  <c r="R800" i="9"/>
  <c r="S800" i="9"/>
  <c r="N802" i="9" l="1"/>
  <c r="O802" i="9" s="1"/>
  <c r="P802" i="9" s="1"/>
  <c r="R801" i="9"/>
  <c r="S801" i="9"/>
  <c r="N803" i="9" l="1"/>
  <c r="O803" i="9" s="1"/>
  <c r="P803" i="9" s="1"/>
  <c r="R802" i="9"/>
  <c r="S802" i="9"/>
  <c r="N804" i="9" l="1"/>
  <c r="O804" i="9" s="1"/>
  <c r="P804" i="9" s="1"/>
  <c r="S803" i="9"/>
  <c r="R803" i="9"/>
  <c r="N805" i="9" l="1"/>
  <c r="O805" i="9" s="1"/>
  <c r="P805" i="9" s="1"/>
  <c r="R804" i="9"/>
  <c r="S804" i="9"/>
  <c r="N806" i="9" l="1"/>
  <c r="O806" i="9" s="1"/>
  <c r="P806" i="9" s="1"/>
  <c r="S805" i="9"/>
  <c r="R805" i="9"/>
  <c r="N807" i="9" l="1"/>
  <c r="O807" i="9" s="1"/>
  <c r="P807" i="9" s="1"/>
  <c r="R806" i="9"/>
  <c r="S806" i="9"/>
  <c r="N808" i="9" l="1"/>
  <c r="O808" i="9" s="1"/>
  <c r="P808" i="9" s="1"/>
  <c r="S807" i="9"/>
  <c r="R807" i="9"/>
  <c r="N809" i="9" l="1"/>
  <c r="O809" i="9" s="1"/>
  <c r="P809" i="9" s="1"/>
  <c r="R808" i="9"/>
  <c r="S808" i="9"/>
  <c r="N810" i="9" l="1"/>
  <c r="O810" i="9" s="1"/>
  <c r="P810" i="9" s="1"/>
  <c r="S809" i="9"/>
  <c r="R809" i="9"/>
  <c r="N811" i="9" l="1"/>
  <c r="O811" i="9" s="1"/>
  <c r="P811" i="9" s="1"/>
  <c r="R810" i="9"/>
  <c r="S810" i="9"/>
  <c r="N812" i="9" l="1"/>
  <c r="O812" i="9" s="1"/>
  <c r="P812" i="9" s="1"/>
  <c r="S811" i="9"/>
  <c r="R811" i="9"/>
  <c r="N813" i="9" l="1"/>
  <c r="O813" i="9" s="1"/>
  <c r="P813" i="9" s="1"/>
  <c r="R812" i="9"/>
  <c r="S812" i="9"/>
  <c r="N814" i="9" l="1"/>
  <c r="O814" i="9" s="1"/>
  <c r="P814" i="9" s="1"/>
  <c r="S813" i="9"/>
  <c r="R813" i="9"/>
  <c r="N815" i="9" l="1"/>
  <c r="O815" i="9" s="1"/>
  <c r="P815" i="9" s="1"/>
  <c r="R814" i="9"/>
  <c r="S814" i="9"/>
  <c r="N816" i="9" l="1"/>
  <c r="O816" i="9" s="1"/>
  <c r="P816" i="9" s="1"/>
  <c r="S815" i="9"/>
  <c r="R815" i="9"/>
  <c r="N817" i="9" l="1"/>
  <c r="O817" i="9" s="1"/>
  <c r="P817" i="9" s="1"/>
  <c r="R816" i="9"/>
  <c r="S816" i="9"/>
  <c r="N818" i="9" l="1"/>
  <c r="O818" i="9" s="1"/>
  <c r="P818" i="9" s="1"/>
  <c r="S817" i="9"/>
  <c r="R817" i="9"/>
  <c r="N819" i="9" l="1"/>
  <c r="O819" i="9" s="1"/>
  <c r="P819" i="9" s="1"/>
  <c r="R818" i="9"/>
  <c r="S818" i="9"/>
  <c r="N820" i="9" l="1"/>
  <c r="O820" i="9" s="1"/>
  <c r="P820" i="9" s="1"/>
  <c r="S819" i="9"/>
  <c r="R819" i="9"/>
  <c r="N821" i="9" l="1"/>
  <c r="O821" i="9" s="1"/>
  <c r="P821" i="9" s="1"/>
  <c r="R820" i="9"/>
  <c r="S820" i="9"/>
  <c r="N822" i="9" l="1"/>
  <c r="O822" i="9" s="1"/>
  <c r="P822" i="9" s="1"/>
  <c r="R821" i="9"/>
  <c r="S821" i="9"/>
  <c r="N823" i="9" l="1"/>
  <c r="O823" i="9" s="1"/>
  <c r="P823" i="9" s="1"/>
  <c r="R822" i="9"/>
  <c r="S822" i="9"/>
  <c r="N824" i="9" l="1"/>
  <c r="O824" i="9" s="1"/>
  <c r="P824" i="9" s="1"/>
  <c r="R823" i="9"/>
  <c r="S823" i="9"/>
  <c r="N825" i="9" l="1"/>
  <c r="O825" i="9" s="1"/>
  <c r="P825" i="9" s="1"/>
  <c r="R824" i="9"/>
  <c r="S824" i="9"/>
  <c r="N826" i="9" l="1"/>
  <c r="O826" i="9" s="1"/>
  <c r="P826" i="9" s="1"/>
  <c r="R825" i="9"/>
  <c r="S825" i="9"/>
  <c r="N827" i="9" l="1"/>
  <c r="O827" i="9" s="1"/>
  <c r="P827" i="9" s="1"/>
  <c r="R826" i="9"/>
  <c r="S826" i="9"/>
  <c r="N828" i="9" l="1"/>
  <c r="O828" i="9" s="1"/>
  <c r="P828" i="9" s="1"/>
  <c r="R827" i="9"/>
  <c r="S827" i="9"/>
  <c r="N829" i="9" l="1"/>
  <c r="O829" i="9" s="1"/>
  <c r="P829" i="9" s="1"/>
  <c r="R828" i="9"/>
  <c r="S828" i="9"/>
  <c r="N830" i="9" l="1"/>
  <c r="O830" i="9" s="1"/>
  <c r="P830" i="9" s="1"/>
  <c r="R829" i="9"/>
  <c r="S829" i="9"/>
  <c r="N831" i="9" l="1"/>
  <c r="O831" i="9" s="1"/>
  <c r="P831" i="9" s="1"/>
  <c r="R830" i="9"/>
  <c r="S830" i="9"/>
  <c r="N832" i="9" l="1"/>
  <c r="O832" i="9" s="1"/>
  <c r="P832" i="9" s="1"/>
  <c r="R831" i="9"/>
  <c r="S831" i="9"/>
  <c r="N833" i="9" l="1"/>
  <c r="O833" i="9" s="1"/>
  <c r="P833" i="9" s="1"/>
  <c r="R832" i="9"/>
  <c r="S832" i="9"/>
  <c r="N834" i="9" l="1"/>
  <c r="O834" i="9" s="1"/>
  <c r="P834" i="9" s="1"/>
  <c r="R833" i="9"/>
  <c r="S833" i="9"/>
  <c r="N835" i="9" l="1"/>
  <c r="O835" i="9" s="1"/>
  <c r="P835" i="9" s="1"/>
  <c r="R834" i="9"/>
  <c r="S834" i="9"/>
  <c r="N836" i="9" l="1"/>
  <c r="O836" i="9" s="1"/>
  <c r="P836" i="9" s="1"/>
  <c r="R835" i="9"/>
  <c r="S835" i="9"/>
  <c r="N837" i="9" l="1"/>
  <c r="O837" i="9" s="1"/>
  <c r="P837" i="9" s="1"/>
  <c r="R836" i="9"/>
  <c r="S836" i="9"/>
  <c r="N838" i="9" l="1"/>
  <c r="O838" i="9" s="1"/>
  <c r="P838" i="9" s="1"/>
  <c r="R837" i="9"/>
  <c r="S837" i="9"/>
  <c r="N839" i="9" l="1"/>
  <c r="O839" i="9" s="1"/>
  <c r="P839" i="9" s="1"/>
  <c r="R838" i="9"/>
  <c r="S838" i="9"/>
  <c r="N840" i="9" l="1"/>
  <c r="O840" i="9" s="1"/>
  <c r="P840" i="9" s="1"/>
  <c r="R839" i="9"/>
  <c r="S839" i="9"/>
  <c r="N841" i="9" l="1"/>
  <c r="O841" i="9" s="1"/>
  <c r="P841" i="9" s="1"/>
  <c r="S840" i="9"/>
  <c r="R840" i="9"/>
  <c r="N842" i="9" l="1"/>
  <c r="O842" i="9" s="1"/>
  <c r="P842" i="9" s="1"/>
  <c r="R841" i="9"/>
  <c r="S841" i="9"/>
  <c r="N843" i="9" l="1"/>
  <c r="O843" i="9" s="1"/>
  <c r="P843" i="9" s="1"/>
  <c r="S842" i="9"/>
  <c r="R842" i="9"/>
  <c r="N844" i="9" l="1"/>
  <c r="O844" i="9" s="1"/>
  <c r="P844" i="9" s="1"/>
  <c r="R843" i="9"/>
  <c r="S843" i="9"/>
  <c r="N845" i="9" l="1"/>
  <c r="O845" i="9" s="1"/>
  <c r="P845" i="9" s="1"/>
  <c r="S844" i="9"/>
  <c r="R844" i="9"/>
  <c r="N846" i="9" l="1"/>
  <c r="O846" i="9" s="1"/>
  <c r="P846" i="9" s="1"/>
  <c r="R845" i="9"/>
  <c r="S845" i="9"/>
  <c r="N847" i="9" l="1"/>
  <c r="O847" i="9" s="1"/>
  <c r="P847" i="9" s="1"/>
  <c r="S846" i="9"/>
  <c r="R846" i="9"/>
  <c r="N848" i="9" l="1"/>
  <c r="O848" i="9" s="1"/>
  <c r="P848" i="9" s="1"/>
  <c r="R847" i="9"/>
  <c r="S847" i="9"/>
  <c r="N849" i="9" l="1"/>
  <c r="O849" i="9" s="1"/>
  <c r="P849" i="9" s="1"/>
  <c r="S848" i="9"/>
  <c r="R848" i="9"/>
  <c r="N850" i="9" l="1"/>
  <c r="O850" i="9" s="1"/>
  <c r="P850" i="9" s="1"/>
  <c r="R849" i="9"/>
  <c r="S849" i="9"/>
  <c r="N851" i="9" l="1"/>
  <c r="O851" i="9" s="1"/>
  <c r="P851" i="9" s="1"/>
  <c r="S850" i="9"/>
  <c r="R850" i="9"/>
  <c r="N852" i="9" l="1"/>
  <c r="O852" i="9" s="1"/>
  <c r="P852" i="9" s="1"/>
  <c r="R851" i="9"/>
  <c r="S851" i="9"/>
  <c r="N853" i="9" l="1"/>
  <c r="O853" i="9" s="1"/>
  <c r="P853" i="9" s="1"/>
  <c r="S852" i="9"/>
  <c r="R852" i="9"/>
  <c r="N854" i="9" l="1"/>
  <c r="O854" i="9" s="1"/>
  <c r="P854" i="9" s="1"/>
  <c r="R853" i="9"/>
  <c r="S853" i="9"/>
  <c r="N855" i="9" l="1"/>
  <c r="O855" i="9" s="1"/>
  <c r="P855" i="9" s="1"/>
  <c r="S854" i="9"/>
  <c r="R854" i="9"/>
  <c r="N856" i="9" l="1"/>
  <c r="O856" i="9" s="1"/>
  <c r="P856" i="9" s="1"/>
  <c r="R855" i="9"/>
  <c r="S855" i="9"/>
  <c r="N857" i="9" l="1"/>
  <c r="O857" i="9" s="1"/>
  <c r="P857" i="9" s="1"/>
  <c r="S856" i="9"/>
  <c r="R856" i="9"/>
  <c r="N858" i="9" l="1"/>
  <c r="O858" i="9" s="1"/>
  <c r="P858" i="9" s="1"/>
  <c r="R857" i="9"/>
  <c r="S857" i="9"/>
  <c r="N859" i="9" l="1"/>
  <c r="O859" i="9" s="1"/>
  <c r="P859" i="9" s="1"/>
  <c r="S858" i="9"/>
  <c r="R858" i="9"/>
  <c r="N860" i="9" l="1"/>
  <c r="O860" i="9" s="1"/>
  <c r="P860" i="9" s="1"/>
  <c r="R859" i="9"/>
  <c r="S859" i="9"/>
  <c r="N861" i="9" l="1"/>
  <c r="O861" i="9" s="1"/>
  <c r="P861" i="9" s="1"/>
  <c r="S860" i="9"/>
  <c r="R860" i="9"/>
  <c r="N862" i="9" l="1"/>
  <c r="O862" i="9" s="1"/>
  <c r="P862" i="9" s="1"/>
  <c r="R861" i="9"/>
  <c r="S861" i="9"/>
  <c r="N863" i="9" l="1"/>
  <c r="O863" i="9" s="1"/>
  <c r="P863" i="9" s="1"/>
  <c r="S862" i="9"/>
  <c r="R862" i="9"/>
  <c r="N864" i="9" l="1"/>
  <c r="O864" i="9" s="1"/>
  <c r="P864" i="9" s="1"/>
  <c r="R863" i="9"/>
  <c r="S863" i="9"/>
  <c r="N865" i="9" l="1"/>
  <c r="O865" i="9" s="1"/>
  <c r="P865" i="9" s="1"/>
  <c r="S864" i="9"/>
  <c r="R864" i="9"/>
  <c r="N866" i="9" l="1"/>
  <c r="O866" i="9" s="1"/>
  <c r="P866" i="9" s="1"/>
  <c r="R865" i="9"/>
  <c r="S865" i="9"/>
  <c r="N867" i="9" l="1"/>
  <c r="O867" i="9" s="1"/>
  <c r="P867" i="9" s="1"/>
  <c r="S866" i="9"/>
  <c r="R866" i="9"/>
  <c r="N868" i="9" l="1"/>
  <c r="O868" i="9" s="1"/>
  <c r="P868" i="9" s="1"/>
  <c r="R867" i="9"/>
  <c r="S867" i="9"/>
  <c r="N869" i="9" l="1"/>
  <c r="O869" i="9" s="1"/>
  <c r="P869" i="9" s="1"/>
  <c r="S868" i="9"/>
  <c r="R868" i="9"/>
  <c r="N870" i="9" l="1"/>
  <c r="O870" i="9" s="1"/>
  <c r="P870" i="9" s="1"/>
  <c r="R869" i="9"/>
  <c r="S869" i="9"/>
  <c r="N871" i="9" l="1"/>
  <c r="O871" i="9" s="1"/>
  <c r="P871" i="9" s="1"/>
  <c r="S870" i="9"/>
  <c r="R870" i="9"/>
  <c r="N872" i="9" l="1"/>
  <c r="O872" i="9" s="1"/>
  <c r="P872" i="9" s="1"/>
  <c r="R871" i="9"/>
  <c r="S871" i="9"/>
  <c r="N873" i="9" l="1"/>
  <c r="O873" i="9" s="1"/>
  <c r="P873" i="9" s="1"/>
  <c r="S872" i="9"/>
  <c r="R872" i="9"/>
  <c r="N874" i="9" l="1"/>
  <c r="O874" i="9" s="1"/>
  <c r="P874" i="9" s="1"/>
  <c r="R873" i="9"/>
  <c r="S873" i="9"/>
  <c r="N875" i="9" l="1"/>
  <c r="O875" i="9" s="1"/>
  <c r="P875" i="9" s="1"/>
  <c r="S874" i="9"/>
  <c r="R874" i="9"/>
  <c r="N876" i="9" l="1"/>
  <c r="O876" i="9" s="1"/>
  <c r="P876" i="9" s="1"/>
  <c r="R875" i="9"/>
  <c r="S875" i="9"/>
  <c r="N877" i="9" l="1"/>
  <c r="O877" i="9" s="1"/>
  <c r="P877" i="9" s="1"/>
  <c r="S876" i="9"/>
  <c r="R876" i="9"/>
  <c r="N878" i="9" l="1"/>
  <c r="O878" i="9" s="1"/>
  <c r="P878" i="9" s="1"/>
  <c r="R877" i="9"/>
  <c r="S877" i="9"/>
  <c r="N879" i="9" l="1"/>
  <c r="O879" i="9" s="1"/>
  <c r="P879" i="9" s="1"/>
  <c r="S878" i="9"/>
  <c r="R878" i="9"/>
  <c r="N880" i="9" l="1"/>
  <c r="O880" i="9" s="1"/>
  <c r="P880" i="9" s="1"/>
  <c r="R879" i="9"/>
  <c r="S879" i="9"/>
  <c r="N881" i="9" l="1"/>
  <c r="O881" i="9" s="1"/>
  <c r="P881" i="9" s="1"/>
  <c r="S880" i="9"/>
  <c r="R880" i="9"/>
  <c r="N882" i="9" l="1"/>
  <c r="O882" i="9" s="1"/>
  <c r="P882" i="9" s="1"/>
  <c r="R881" i="9"/>
  <c r="S881" i="9"/>
  <c r="N883" i="9" l="1"/>
  <c r="O883" i="9" s="1"/>
  <c r="P883" i="9" s="1"/>
  <c r="S882" i="9"/>
  <c r="R882" i="9"/>
  <c r="N884" i="9" l="1"/>
  <c r="O884" i="9" s="1"/>
  <c r="P884" i="9" s="1"/>
  <c r="R883" i="9"/>
  <c r="S883" i="9"/>
  <c r="N885" i="9" l="1"/>
  <c r="O885" i="9" s="1"/>
  <c r="P885" i="9" s="1"/>
  <c r="S884" i="9"/>
  <c r="R884" i="9"/>
  <c r="N886" i="9" l="1"/>
  <c r="O886" i="9" s="1"/>
  <c r="P886" i="9" s="1"/>
  <c r="R885" i="9"/>
  <c r="S885" i="9"/>
  <c r="S886" i="9" l="1"/>
  <c r="R886" i="9"/>
  <c r="N887" i="9"/>
  <c r="O887" i="9" s="1"/>
  <c r="P887" i="9" s="1"/>
  <c r="N888" i="9" l="1"/>
  <c r="O888" i="9" s="1"/>
  <c r="P888" i="9" s="1"/>
  <c r="R887" i="9"/>
  <c r="S887" i="9"/>
  <c r="N889" i="9" l="1"/>
  <c r="O889" i="9" s="1"/>
  <c r="P889" i="9" s="1"/>
  <c r="S888" i="9"/>
  <c r="R888" i="9"/>
  <c r="N890" i="9" l="1"/>
  <c r="O890" i="9" s="1"/>
  <c r="P890" i="9" s="1"/>
  <c r="R889" i="9"/>
  <c r="S889" i="9"/>
  <c r="N891" i="9" l="1"/>
  <c r="O891" i="9" s="1"/>
  <c r="P891" i="9" s="1"/>
  <c r="S890" i="9"/>
  <c r="R890" i="9"/>
  <c r="Y40" i="9" l="1"/>
  <c r="Y36" i="9"/>
  <c r="Y32" i="9"/>
  <c r="Y28" i="9"/>
  <c r="Y24" i="9"/>
  <c r="Y19" i="9"/>
  <c r="Y16" i="9"/>
  <c r="Y11" i="9"/>
  <c r="Y8" i="9"/>
  <c r="Y3" i="9"/>
  <c r="Y35" i="9"/>
  <c r="Y27" i="9"/>
  <c r="Y20" i="9"/>
  <c r="Y12" i="9"/>
  <c r="Y4" i="9"/>
  <c r="Y37" i="9"/>
  <c r="Y29" i="9"/>
  <c r="Y21" i="9"/>
  <c r="Y13" i="9"/>
  <c r="Y5" i="9"/>
  <c r="Y42" i="9"/>
  <c r="Y38" i="9"/>
  <c r="Y34" i="9"/>
  <c r="Y30" i="9"/>
  <c r="Y26" i="9"/>
  <c r="Y22" i="9"/>
  <c r="Y18" i="9"/>
  <c r="Y14" i="9"/>
  <c r="Y10" i="9"/>
  <c r="Y6" i="9"/>
  <c r="U2" i="9"/>
  <c r="Y39" i="9"/>
  <c r="Y31" i="9"/>
  <c r="Y23" i="9"/>
  <c r="Y15" i="9"/>
  <c r="Y7" i="9"/>
  <c r="Y41" i="9"/>
  <c r="Y33" i="9"/>
  <c r="Y25" i="9"/>
  <c r="Y17" i="9"/>
  <c r="Y9" i="9"/>
  <c r="Y2" i="9"/>
  <c r="Z42" i="9"/>
  <c r="Z38" i="9"/>
  <c r="Z33" i="9"/>
  <c r="Z29" i="9"/>
  <c r="Z26" i="9"/>
  <c r="Z22" i="9"/>
  <c r="Z17" i="9"/>
  <c r="Z13" i="9"/>
  <c r="Z10" i="9"/>
  <c r="Z6" i="9"/>
  <c r="V2" i="9"/>
  <c r="Z37" i="9"/>
  <c r="Z25" i="9"/>
  <c r="Z18" i="9"/>
  <c r="Z9" i="9"/>
  <c r="Z2" i="9"/>
  <c r="Z36" i="9"/>
  <c r="Z28" i="9"/>
  <c r="Z20" i="9"/>
  <c r="Z12" i="9"/>
  <c r="Z4" i="9"/>
  <c r="Z39" i="9"/>
  <c r="Z35" i="9"/>
  <c r="Z31" i="9"/>
  <c r="Z27" i="9"/>
  <c r="Z23" i="9"/>
  <c r="Z19" i="9"/>
  <c r="Z15" i="9"/>
  <c r="Z11" i="9"/>
  <c r="Z7" i="9"/>
  <c r="Z3" i="9"/>
  <c r="Z41" i="9"/>
  <c r="Z34" i="9"/>
  <c r="Z30" i="9"/>
  <c r="Z21" i="9"/>
  <c r="Z14" i="9"/>
  <c r="Z5" i="9"/>
  <c r="Z40" i="9"/>
  <c r="Z32" i="9"/>
  <c r="Z24" i="9"/>
  <c r="Z16" i="9"/>
  <c r="Z8" i="9"/>
  <c r="N892" i="9"/>
  <c r="O892" i="9" s="1"/>
  <c r="P892" i="9" s="1"/>
  <c r="R891" i="9"/>
  <c r="S891" i="9"/>
  <c r="N893" i="9" l="1"/>
  <c r="O893" i="9" s="1"/>
  <c r="P893" i="9" s="1"/>
  <c r="S892" i="9"/>
  <c r="R892" i="9"/>
  <c r="N894" i="9" l="1"/>
  <c r="O894" i="9" s="1"/>
  <c r="P894" i="9" s="1"/>
  <c r="R893" i="9"/>
  <c r="S893" i="9"/>
  <c r="N895" i="9" l="1"/>
  <c r="O895" i="9" s="1"/>
  <c r="P895" i="9" s="1"/>
  <c r="S894" i="9"/>
  <c r="R894" i="9"/>
  <c r="N896" i="9" l="1"/>
  <c r="O896" i="9" s="1"/>
  <c r="P896" i="9" s="1"/>
  <c r="R895" i="9"/>
  <c r="S895" i="9"/>
  <c r="N897" i="9" l="1"/>
  <c r="O897" i="9" s="1"/>
  <c r="P897" i="9" s="1"/>
  <c r="S896" i="9"/>
  <c r="R896" i="9"/>
  <c r="N898" i="9" l="1"/>
  <c r="O898" i="9" s="1"/>
  <c r="P898" i="9" s="1"/>
  <c r="R897" i="9"/>
  <c r="S897" i="9"/>
  <c r="N899" i="9" l="1"/>
  <c r="O899" i="9" s="1"/>
  <c r="P899" i="9" s="1"/>
  <c r="S898" i="9"/>
  <c r="R898" i="9"/>
  <c r="N900" i="9" l="1"/>
  <c r="O900" i="9" s="1"/>
  <c r="P900" i="9" s="1"/>
  <c r="R899" i="9"/>
  <c r="S899" i="9"/>
  <c r="N901" i="9" l="1"/>
  <c r="O901" i="9" s="1"/>
  <c r="P901" i="9" s="1"/>
  <c r="S900" i="9"/>
  <c r="R900" i="9"/>
  <c r="N902" i="9" l="1"/>
  <c r="O902" i="9" s="1"/>
  <c r="P902" i="9" s="1"/>
  <c r="R901" i="9"/>
  <c r="S901" i="9"/>
  <c r="N903" i="9" l="1"/>
  <c r="O903" i="9" s="1"/>
  <c r="P903" i="9" s="1"/>
  <c r="S902" i="9"/>
  <c r="R902" i="9"/>
  <c r="N904" i="9" l="1"/>
  <c r="O904" i="9" s="1"/>
  <c r="P904" i="9" s="1"/>
  <c r="R903" i="9"/>
  <c r="S903" i="9"/>
  <c r="N905" i="9" l="1"/>
  <c r="O905" i="9" s="1"/>
  <c r="P905" i="9" s="1"/>
  <c r="S904" i="9"/>
  <c r="R904" i="9"/>
  <c r="N906" i="9" l="1"/>
  <c r="O906" i="9" s="1"/>
  <c r="P906" i="9" s="1"/>
  <c r="R905" i="9"/>
  <c r="S905" i="9"/>
  <c r="N907" i="9" l="1"/>
  <c r="O907" i="9" s="1"/>
  <c r="P907" i="9" s="1"/>
  <c r="S906" i="9"/>
  <c r="R906" i="9"/>
  <c r="N908" i="9" l="1"/>
  <c r="O908" i="9" s="1"/>
  <c r="P908" i="9" s="1"/>
  <c r="R907" i="9"/>
  <c r="S907" i="9"/>
  <c r="N909" i="9" l="1"/>
  <c r="O909" i="9" s="1"/>
  <c r="P909" i="9" s="1"/>
  <c r="S908" i="9"/>
  <c r="R908" i="9"/>
  <c r="N910" i="9" l="1"/>
  <c r="O910" i="9" s="1"/>
  <c r="P910" i="9" s="1"/>
  <c r="R909" i="9"/>
  <c r="S909" i="9"/>
  <c r="N911" i="9" l="1"/>
  <c r="O911" i="9" s="1"/>
  <c r="P911" i="9" s="1"/>
  <c r="S910" i="9"/>
  <c r="R910" i="9"/>
  <c r="N912" i="9" l="1"/>
  <c r="O912" i="9" s="1"/>
  <c r="P912" i="9" s="1"/>
  <c r="R911" i="9"/>
  <c r="S911" i="9"/>
  <c r="N913" i="9" l="1"/>
  <c r="O913" i="9" s="1"/>
  <c r="P913" i="9" s="1"/>
  <c r="S912" i="9"/>
  <c r="R912" i="9"/>
  <c r="N914" i="9" l="1"/>
  <c r="O914" i="9" s="1"/>
  <c r="P914" i="9" s="1"/>
  <c r="R913" i="9"/>
  <c r="S913" i="9"/>
  <c r="N915" i="9" l="1"/>
  <c r="O915" i="9" s="1"/>
  <c r="P915" i="9" s="1"/>
  <c r="S914" i="9"/>
  <c r="R914" i="9"/>
  <c r="N916" i="9" l="1"/>
  <c r="O916" i="9" s="1"/>
  <c r="P916" i="9" s="1"/>
  <c r="R915" i="9"/>
  <c r="S915" i="9"/>
  <c r="N917" i="9" l="1"/>
  <c r="O917" i="9" s="1"/>
  <c r="P917" i="9" s="1"/>
  <c r="S916" i="9"/>
  <c r="R916" i="9"/>
  <c r="N918" i="9" l="1"/>
  <c r="O918" i="9" s="1"/>
  <c r="P918" i="9" s="1"/>
  <c r="R917" i="9"/>
  <c r="S917" i="9"/>
  <c r="N919" i="9" l="1"/>
  <c r="O919" i="9" s="1"/>
  <c r="P919" i="9" s="1"/>
  <c r="S918" i="9"/>
  <c r="R918" i="9"/>
  <c r="N920" i="9" l="1"/>
  <c r="O920" i="9" s="1"/>
  <c r="P920" i="9" s="1"/>
  <c r="R919" i="9"/>
  <c r="S919" i="9"/>
  <c r="N921" i="9" l="1"/>
  <c r="O921" i="9" s="1"/>
  <c r="P921" i="9" s="1"/>
  <c r="S920" i="9"/>
  <c r="R920" i="9"/>
  <c r="N922" i="9" l="1"/>
  <c r="O922" i="9" s="1"/>
  <c r="P922" i="9" s="1"/>
  <c r="R921" i="9"/>
  <c r="S921" i="9"/>
  <c r="N923" i="9" l="1"/>
  <c r="O923" i="9" s="1"/>
  <c r="P923" i="9" s="1"/>
  <c r="S922" i="9"/>
  <c r="R922" i="9"/>
  <c r="N924" i="9" l="1"/>
  <c r="O924" i="9" s="1"/>
  <c r="P924" i="9" s="1"/>
  <c r="R923" i="9"/>
  <c r="S923" i="9"/>
  <c r="N925" i="9" l="1"/>
  <c r="O925" i="9" s="1"/>
  <c r="P925" i="9" s="1"/>
  <c r="S924" i="9"/>
  <c r="R924" i="9"/>
  <c r="N926" i="9" l="1"/>
  <c r="O926" i="9" s="1"/>
  <c r="P926" i="9" s="1"/>
  <c r="R925" i="9"/>
  <c r="S925" i="9"/>
  <c r="N927" i="9" l="1"/>
  <c r="O927" i="9" s="1"/>
  <c r="P927" i="9" s="1"/>
  <c r="S926" i="9"/>
  <c r="R926" i="9"/>
  <c r="N928" i="9" l="1"/>
  <c r="O928" i="9" s="1"/>
  <c r="P928" i="9" s="1"/>
  <c r="R927" i="9"/>
  <c r="S927" i="9"/>
  <c r="N929" i="9" l="1"/>
  <c r="O929" i="9" s="1"/>
  <c r="P929" i="9" s="1"/>
  <c r="S928" i="9"/>
  <c r="R928" i="9"/>
  <c r="N930" i="9" l="1"/>
  <c r="O930" i="9" s="1"/>
  <c r="P930" i="9" s="1"/>
  <c r="R929" i="9"/>
  <c r="S929" i="9"/>
  <c r="N931" i="9" l="1"/>
  <c r="O931" i="9" s="1"/>
  <c r="P931" i="9" s="1"/>
  <c r="S930" i="9"/>
  <c r="R930" i="9"/>
  <c r="N932" i="9" l="1"/>
  <c r="O932" i="9" s="1"/>
  <c r="P932" i="9" s="1"/>
  <c r="R931" i="9"/>
  <c r="S931" i="9"/>
  <c r="N933" i="9" l="1"/>
  <c r="O933" i="9" s="1"/>
  <c r="P933" i="9" s="1"/>
  <c r="S932" i="9"/>
  <c r="R932" i="9"/>
  <c r="N934" i="9" l="1"/>
  <c r="O934" i="9" s="1"/>
  <c r="P934" i="9" s="1"/>
  <c r="R933" i="9"/>
  <c r="S933" i="9"/>
  <c r="N935" i="9" l="1"/>
  <c r="O935" i="9" s="1"/>
  <c r="P935" i="9" s="1"/>
  <c r="S934" i="9"/>
  <c r="R934" i="9"/>
  <c r="N936" i="9" l="1"/>
  <c r="O936" i="9" s="1"/>
  <c r="P936" i="9" s="1"/>
  <c r="R935" i="9"/>
  <c r="S935" i="9"/>
  <c r="N937" i="9" l="1"/>
  <c r="O937" i="9" s="1"/>
  <c r="P937" i="9" s="1"/>
  <c r="S936" i="9"/>
  <c r="R936" i="9"/>
  <c r="N938" i="9" l="1"/>
  <c r="O938" i="9" s="1"/>
  <c r="P938" i="9" s="1"/>
  <c r="R937" i="9"/>
  <c r="S937" i="9"/>
  <c r="S938" i="9" l="1"/>
  <c r="N939" i="9"/>
  <c r="O939" i="9" s="1"/>
  <c r="P939" i="9" s="1"/>
  <c r="R938" i="9"/>
  <c r="N940" i="9" l="1"/>
  <c r="O940" i="9" s="1"/>
  <c r="P940" i="9" s="1"/>
  <c r="R939" i="9"/>
  <c r="S939" i="9"/>
  <c r="N941" i="9" l="1"/>
  <c r="O941" i="9" s="1"/>
  <c r="P941" i="9" s="1"/>
  <c r="S940" i="9"/>
  <c r="R940" i="9"/>
  <c r="N942" i="9" l="1"/>
  <c r="O942" i="9" s="1"/>
  <c r="P942" i="9" s="1"/>
  <c r="R941" i="9"/>
  <c r="S941" i="9"/>
  <c r="N943" i="9" l="1"/>
  <c r="O943" i="9" s="1"/>
  <c r="P943" i="9" s="1"/>
  <c r="S942" i="9"/>
  <c r="R942" i="9"/>
  <c r="N944" i="9" l="1"/>
  <c r="O944" i="9" s="1"/>
  <c r="P944" i="9" s="1"/>
  <c r="R943" i="9"/>
  <c r="S943" i="9"/>
  <c r="N945" i="9" l="1"/>
  <c r="O945" i="9" s="1"/>
  <c r="P945" i="9" s="1"/>
  <c r="S944" i="9"/>
  <c r="R944" i="9"/>
  <c r="N946" i="9" l="1"/>
  <c r="O946" i="9" s="1"/>
  <c r="P946" i="9" s="1"/>
  <c r="R945" i="9"/>
  <c r="S945" i="9"/>
  <c r="N947" i="9" l="1"/>
  <c r="O947" i="9" s="1"/>
  <c r="P947" i="9" s="1"/>
  <c r="S946" i="9"/>
  <c r="R946" i="9"/>
  <c r="N948" i="9" l="1"/>
  <c r="O948" i="9" s="1"/>
  <c r="P948" i="9" s="1"/>
  <c r="R947" i="9"/>
  <c r="S947" i="9"/>
  <c r="N949" i="9" l="1"/>
  <c r="O949" i="9" s="1"/>
  <c r="P949" i="9" s="1"/>
  <c r="S948" i="9"/>
  <c r="R948" i="9"/>
  <c r="N950" i="9" l="1"/>
  <c r="O950" i="9" s="1"/>
  <c r="P950" i="9" s="1"/>
  <c r="R949" i="9"/>
  <c r="S949" i="9"/>
  <c r="N951" i="9" l="1"/>
  <c r="O951" i="9" s="1"/>
  <c r="P951" i="9" s="1"/>
  <c r="S950" i="9"/>
  <c r="R950" i="9"/>
  <c r="N952" i="9" l="1"/>
  <c r="O952" i="9" s="1"/>
  <c r="P952" i="9" s="1"/>
  <c r="R951" i="9"/>
  <c r="S951" i="9"/>
  <c r="N953" i="9" l="1"/>
  <c r="O953" i="9" s="1"/>
  <c r="P953" i="9" s="1"/>
  <c r="S952" i="9"/>
  <c r="R952" i="9"/>
  <c r="N954" i="9" l="1"/>
  <c r="O954" i="9" s="1"/>
  <c r="P954" i="9" s="1"/>
  <c r="R953" i="9"/>
  <c r="S953" i="9"/>
  <c r="N955" i="9" l="1"/>
  <c r="O955" i="9" s="1"/>
  <c r="P955" i="9" s="1"/>
  <c r="S954" i="9"/>
  <c r="R954" i="9"/>
  <c r="N956" i="9" l="1"/>
  <c r="O956" i="9" s="1"/>
  <c r="P956" i="9" s="1"/>
  <c r="R955" i="9"/>
  <c r="S955" i="9"/>
  <c r="N957" i="9" l="1"/>
  <c r="O957" i="9" s="1"/>
  <c r="P957" i="9" s="1"/>
  <c r="S956" i="9"/>
  <c r="R956" i="9"/>
  <c r="N958" i="9" l="1"/>
  <c r="O958" i="9" s="1"/>
  <c r="P958" i="9" s="1"/>
  <c r="R957" i="9"/>
  <c r="S957" i="9"/>
  <c r="N959" i="9" l="1"/>
  <c r="O959" i="9" s="1"/>
  <c r="P959" i="9" s="1"/>
  <c r="S958" i="9"/>
  <c r="R958" i="9"/>
  <c r="N960" i="9" l="1"/>
  <c r="O960" i="9" s="1"/>
  <c r="P960" i="9" s="1"/>
  <c r="R959" i="9"/>
  <c r="S959" i="9"/>
  <c r="N961" i="9" l="1"/>
  <c r="O961" i="9" s="1"/>
  <c r="P961" i="9" s="1"/>
  <c r="S960" i="9"/>
  <c r="R960" i="9"/>
  <c r="N962" i="9" l="1"/>
  <c r="O962" i="9" s="1"/>
  <c r="P962" i="9" s="1"/>
  <c r="R961" i="9"/>
  <c r="S961" i="9"/>
  <c r="N963" i="9" l="1"/>
  <c r="O963" i="9" s="1"/>
  <c r="P963" i="9" s="1"/>
  <c r="S962" i="9"/>
  <c r="R962" i="9"/>
  <c r="N964" i="9" l="1"/>
  <c r="O964" i="9" s="1"/>
  <c r="P964" i="9" s="1"/>
  <c r="R963" i="9"/>
  <c r="S963" i="9"/>
  <c r="N965" i="9" l="1"/>
  <c r="O965" i="9" s="1"/>
  <c r="P965" i="9" s="1"/>
  <c r="S964" i="9"/>
  <c r="R964" i="9"/>
  <c r="N966" i="9" l="1"/>
  <c r="O966" i="9" s="1"/>
  <c r="P966" i="9" s="1"/>
  <c r="R965" i="9"/>
  <c r="S965" i="9"/>
  <c r="N967" i="9" l="1"/>
  <c r="O967" i="9" s="1"/>
  <c r="P967" i="9" s="1"/>
  <c r="S966" i="9"/>
  <c r="R966" i="9"/>
  <c r="N968" i="9" l="1"/>
  <c r="O968" i="9" s="1"/>
  <c r="P968" i="9" s="1"/>
  <c r="R967" i="9"/>
  <c r="S967" i="9"/>
  <c r="N969" i="9" l="1"/>
  <c r="O969" i="9" s="1"/>
  <c r="P969" i="9" s="1"/>
  <c r="S968" i="9"/>
  <c r="R968" i="9"/>
  <c r="N970" i="9" l="1"/>
  <c r="O970" i="9" s="1"/>
  <c r="P970" i="9" s="1"/>
  <c r="R969" i="9"/>
  <c r="S969" i="9"/>
  <c r="N971" i="9" l="1"/>
  <c r="O971" i="9" s="1"/>
  <c r="P971" i="9" s="1"/>
  <c r="S970" i="9"/>
  <c r="R970" i="9"/>
  <c r="N972" i="9" l="1"/>
  <c r="O972" i="9" s="1"/>
  <c r="P972" i="9" s="1"/>
  <c r="R971" i="9"/>
  <c r="S971" i="9"/>
  <c r="N973" i="9" l="1"/>
  <c r="O973" i="9" s="1"/>
  <c r="P973" i="9" s="1"/>
  <c r="S972" i="9"/>
  <c r="R972" i="9"/>
  <c r="N974" i="9" l="1"/>
  <c r="O974" i="9" s="1"/>
  <c r="P974" i="9" s="1"/>
  <c r="R973" i="9"/>
  <c r="S973" i="9"/>
  <c r="N975" i="9" l="1"/>
  <c r="O975" i="9" s="1"/>
  <c r="P975" i="9" s="1"/>
  <c r="S974" i="9"/>
  <c r="R974" i="9"/>
  <c r="N976" i="9" l="1"/>
  <c r="O976" i="9" s="1"/>
  <c r="P976" i="9" s="1"/>
  <c r="R975" i="9"/>
  <c r="S975" i="9"/>
  <c r="N977" i="9" l="1"/>
  <c r="O977" i="9" s="1"/>
  <c r="P977" i="9" s="1"/>
  <c r="R976" i="9"/>
  <c r="S976" i="9"/>
  <c r="N978" i="9" l="1"/>
  <c r="O978" i="9" s="1"/>
  <c r="P978" i="9" s="1"/>
  <c r="S977" i="9"/>
  <c r="R977" i="9"/>
  <c r="N979" i="9" l="1"/>
  <c r="O979" i="9" s="1"/>
  <c r="P979" i="9" s="1"/>
  <c r="R978" i="9"/>
  <c r="S978" i="9"/>
  <c r="N980" i="9" l="1"/>
  <c r="O980" i="9" s="1"/>
  <c r="P980" i="9" s="1"/>
  <c r="S979" i="9"/>
  <c r="R979" i="9"/>
  <c r="N981" i="9" l="1"/>
  <c r="O981" i="9" s="1"/>
  <c r="P981" i="9" s="1"/>
  <c r="R980" i="9"/>
  <c r="S980" i="9"/>
  <c r="N982" i="9" l="1"/>
  <c r="O982" i="9" s="1"/>
  <c r="P982" i="9" s="1"/>
  <c r="S981" i="9"/>
  <c r="R981" i="9"/>
  <c r="N983" i="9" l="1"/>
  <c r="O983" i="9" s="1"/>
  <c r="P983" i="9" s="1"/>
  <c r="R982" i="9"/>
  <c r="S982" i="9"/>
  <c r="N984" i="9" l="1"/>
  <c r="O984" i="9" s="1"/>
  <c r="P984" i="9" s="1"/>
  <c r="S983" i="9"/>
  <c r="R983" i="9"/>
  <c r="N985" i="9" l="1"/>
  <c r="O985" i="9" s="1"/>
  <c r="P985" i="9" s="1"/>
  <c r="S984" i="9"/>
  <c r="R984" i="9"/>
  <c r="N986" i="9" l="1"/>
  <c r="O986" i="9" s="1"/>
  <c r="P986" i="9" s="1"/>
  <c r="R985" i="9"/>
  <c r="S985" i="9"/>
  <c r="N987" i="9" l="1"/>
  <c r="O987" i="9" s="1"/>
  <c r="P987" i="9" s="1"/>
  <c r="R986" i="9"/>
  <c r="S986" i="9"/>
  <c r="N988" i="9" l="1"/>
  <c r="O988" i="9" s="1"/>
  <c r="P988" i="9" s="1"/>
  <c r="R987" i="9"/>
  <c r="S987" i="9"/>
  <c r="N989" i="9" l="1"/>
  <c r="O989" i="9" s="1"/>
  <c r="P989" i="9" s="1"/>
  <c r="R988" i="9"/>
  <c r="S988" i="9"/>
  <c r="N990" i="9" l="1"/>
  <c r="O990" i="9" s="1"/>
  <c r="P990" i="9" s="1"/>
  <c r="R989" i="9"/>
  <c r="S989" i="9"/>
  <c r="N991" i="9" l="1"/>
  <c r="O991" i="9" s="1"/>
  <c r="P991" i="9" s="1"/>
  <c r="R990" i="9"/>
  <c r="S990" i="9"/>
  <c r="N992" i="9" l="1"/>
  <c r="O992" i="9" s="1"/>
  <c r="P992" i="9" s="1"/>
  <c r="R991" i="9"/>
  <c r="S991" i="9"/>
  <c r="N993" i="9" l="1"/>
  <c r="O993" i="9" s="1"/>
  <c r="P993" i="9" s="1"/>
  <c r="S992" i="9"/>
  <c r="R992" i="9"/>
  <c r="N994" i="9" l="1"/>
  <c r="O994" i="9" s="1"/>
  <c r="P994" i="9" s="1"/>
  <c r="R993" i="9"/>
  <c r="S993" i="9"/>
  <c r="N995" i="9" l="1"/>
  <c r="O995" i="9" s="1"/>
  <c r="P995" i="9" s="1"/>
  <c r="S994" i="9"/>
  <c r="R994" i="9"/>
  <c r="N996" i="9" l="1"/>
  <c r="O996" i="9" s="1"/>
  <c r="P996" i="9" s="1"/>
  <c r="R995" i="9"/>
  <c r="S995" i="9"/>
  <c r="N997" i="9" l="1"/>
  <c r="O997" i="9" s="1"/>
  <c r="P997" i="9" s="1"/>
  <c r="S996" i="9"/>
  <c r="R996" i="9"/>
  <c r="N998" i="9" l="1"/>
  <c r="O998" i="9" s="1"/>
  <c r="P998" i="9" s="1"/>
  <c r="R997" i="9"/>
  <c r="S997" i="9"/>
  <c r="N999" i="9" l="1"/>
  <c r="O999" i="9" s="1"/>
  <c r="P999" i="9" s="1"/>
  <c r="S998" i="9"/>
  <c r="R998" i="9"/>
  <c r="N1000" i="9" l="1"/>
  <c r="O1000" i="9" s="1"/>
  <c r="P1000" i="9" s="1"/>
  <c r="R999" i="9"/>
  <c r="S999" i="9"/>
  <c r="N1001" i="9" l="1"/>
  <c r="O1001" i="9" s="1"/>
  <c r="P1001" i="9" s="1"/>
  <c r="S1000" i="9"/>
  <c r="R1000" i="9"/>
  <c r="N1002" i="9" l="1"/>
  <c r="O1002" i="9" s="1"/>
  <c r="P1002" i="9" s="1"/>
  <c r="R1001" i="9"/>
  <c r="S1001" i="9"/>
  <c r="N1003" i="9" l="1"/>
  <c r="O1003" i="9" s="1"/>
  <c r="P1003" i="9" s="1"/>
  <c r="S1002" i="9"/>
  <c r="R1002" i="9"/>
  <c r="N1004" i="9" l="1"/>
  <c r="O1004" i="9" s="1"/>
  <c r="P1004" i="9" s="1"/>
  <c r="R1003" i="9"/>
  <c r="S1003" i="9"/>
  <c r="N1005" i="9" l="1"/>
  <c r="O1005" i="9" s="1"/>
  <c r="P1005" i="9" s="1"/>
  <c r="S1004" i="9"/>
  <c r="R1004" i="9"/>
  <c r="N1006" i="9" l="1"/>
  <c r="O1006" i="9" s="1"/>
  <c r="P1006" i="9" s="1"/>
  <c r="R1005" i="9"/>
  <c r="S1005" i="9"/>
  <c r="N1007" i="9" l="1"/>
  <c r="O1007" i="9" s="1"/>
  <c r="P1007" i="9" s="1"/>
  <c r="R1006" i="9"/>
  <c r="S1006" i="9"/>
  <c r="N1008" i="9" l="1"/>
  <c r="O1008" i="9" s="1"/>
  <c r="P1008" i="9" s="1"/>
  <c r="R1007" i="9"/>
  <c r="S1007" i="9"/>
  <c r="N1009" i="9" l="1"/>
  <c r="O1009" i="9" s="1"/>
  <c r="P1009" i="9" s="1"/>
  <c r="R1008" i="9"/>
  <c r="S1008" i="9"/>
  <c r="N1010" i="9" l="1"/>
  <c r="O1010" i="9" s="1"/>
  <c r="P1010" i="9" s="1"/>
  <c r="R1009" i="9"/>
  <c r="S1009" i="9"/>
  <c r="N1011" i="9" l="1"/>
  <c r="O1011" i="9" s="1"/>
  <c r="P1011" i="9" s="1"/>
  <c r="R1010" i="9"/>
  <c r="S1010" i="9"/>
  <c r="N1012" i="9" l="1"/>
  <c r="O1012" i="9" s="1"/>
  <c r="P1012" i="9" s="1"/>
  <c r="R1011" i="9"/>
  <c r="S1011" i="9"/>
  <c r="N1013" i="9" l="1"/>
  <c r="O1013" i="9" s="1"/>
  <c r="P1013" i="9" s="1"/>
  <c r="R1012" i="9"/>
  <c r="S1012" i="9"/>
  <c r="N1014" i="9" l="1"/>
  <c r="O1014" i="9" s="1"/>
  <c r="P1014" i="9" s="1"/>
  <c r="R1013" i="9"/>
  <c r="S1013" i="9"/>
  <c r="N1015" i="9" l="1"/>
  <c r="O1015" i="9" s="1"/>
  <c r="P1015" i="9" s="1"/>
  <c r="R1014" i="9"/>
  <c r="S1014" i="9"/>
  <c r="N1016" i="9" l="1"/>
  <c r="O1016" i="9" s="1"/>
  <c r="P1016" i="9" s="1"/>
  <c r="R1015" i="9"/>
  <c r="S1015" i="9"/>
  <c r="N1017" i="9" l="1"/>
  <c r="O1017" i="9" s="1"/>
  <c r="P1017" i="9" s="1"/>
  <c r="R1016" i="9"/>
  <c r="S1016" i="9"/>
  <c r="N1018" i="9" l="1"/>
  <c r="O1018" i="9" s="1"/>
  <c r="P1018" i="9" s="1"/>
  <c r="R1017" i="9"/>
  <c r="S1017" i="9"/>
  <c r="N1019" i="9" l="1"/>
  <c r="O1019" i="9" s="1"/>
  <c r="P1019" i="9" s="1"/>
  <c r="R1018" i="9"/>
  <c r="S1018" i="9"/>
  <c r="N1020" i="9" l="1"/>
  <c r="O1020" i="9" s="1"/>
  <c r="P1020" i="9" s="1"/>
  <c r="R1019" i="9"/>
  <c r="S1019" i="9"/>
  <c r="N1021" i="9" l="1"/>
  <c r="O1021" i="9" s="1"/>
  <c r="P1021" i="9" s="1"/>
  <c r="R1020" i="9"/>
  <c r="S1020" i="9"/>
  <c r="N1022" i="9" l="1"/>
  <c r="O1022" i="9" s="1"/>
  <c r="P1022" i="9" s="1"/>
  <c r="R1021" i="9"/>
  <c r="S1021" i="9"/>
  <c r="R1022" i="9" l="1"/>
  <c r="S1022" i="9"/>
  <c r="N1023" i="9"/>
  <c r="O1023" i="9" s="1"/>
  <c r="P1023" i="9" s="1"/>
  <c r="N1024" i="9" l="1"/>
  <c r="O1024" i="9" s="1"/>
  <c r="P1024" i="9" s="1"/>
  <c r="R1023" i="9"/>
  <c r="S1023" i="9"/>
  <c r="N1025" i="9" l="1"/>
  <c r="O1025" i="9" s="1"/>
  <c r="P1025" i="9" s="1"/>
  <c r="R1024" i="9"/>
  <c r="S1024" i="9"/>
  <c r="N1026" i="9" l="1"/>
  <c r="O1026" i="9" s="1"/>
  <c r="P1026" i="9" s="1"/>
  <c r="R1025" i="9"/>
  <c r="S1025" i="9"/>
  <c r="N1027" i="9" l="1"/>
  <c r="O1027" i="9" s="1"/>
  <c r="P1027" i="9" s="1"/>
  <c r="R1026" i="9"/>
  <c r="S1026" i="9"/>
  <c r="N1028" i="9" l="1"/>
  <c r="O1028" i="9" s="1"/>
  <c r="P1028" i="9" s="1"/>
  <c r="R1027" i="9"/>
  <c r="S1027" i="9"/>
  <c r="N1029" i="9" l="1"/>
  <c r="O1029" i="9" s="1"/>
  <c r="P1029" i="9" s="1"/>
  <c r="R1028" i="9"/>
  <c r="S1028" i="9"/>
  <c r="N1030" i="9" l="1"/>
  <c r="O1030" i="9" s="1"/>
  <c r="P1030" i="9" s="1"/>
  <c r="R1029" i="9"/>
  <c r="S1029" i="9"/>
  <c r="N1031" i="9" l="1"/>
  <c r="O1031" i="9" s="1"/>
  <c r="P1031" i="9" s="1"/>
  <c r="R1030" i="9"/>
  <c r="S1030" i="9"/>
  <c r="N1032" i="9" l="1"/>
  <c r="O1032" i="9" s="1"/>
  <c r="P1032" i="9" s="1"/>
  <c r="R1031" i="9"/>
  <c r="S1031" i="9"/>
  <c r="N1033" i="9" l="1"/>
  <c r="O1033" i="9" s="1"/>
  <c r="P1033" i="9" s="1"/>
  <c r="R1032" i="9"/>
  <c r="S1032" i="9"/>
  <c r="N1034" i="9" l="1"/>
  <c r="O1034" i="9" s="1"/>
  <c r="P1034" i="9" s="1"/>
  <c r="R1033" i="9"/>
  <c r="S1033" i="9"/>
  <c r="N1035" i="9" l="1"/>
  <c r="O1035" i="9" s="1"/>
  <c r="P1035" i="9" s="1"/>
  <c r="R1034" i="9"/>
  <c r="S1034" i="9"/>
  <c r="N1036" i="9" l="1"/>
  <c r="O1036" i="9" s="1"/>
  <c r="P1036" i="9" s="1"/>
  <c r="R1035" i="9"/>
  <c r="S1035" i="9"/>
  <c r="N1037" i="9" l="1"/>
  <c r="O1037" i="9" s="1"/>
  <c r="P1037" i="9" s="1"/>
  <c r="R1036" i="9"/>
  <c r="S1036" i="9"/>
  <c r="N1038" i="9" l="1"/>
  <c r="O1038" i="9" s="1"/>
  <c r="P1038" i="9" s="1"/>
  <c r="R1037" i="9"/>
  <c r="S1037" i="9"/>
  <c r="N1039" i="9" l="1"/>
  <c r="O1039" i="9" s="1"/>
  <c r="P1039" i="9" s="1"/>
  <c r="R1038" i="9"/>
  <c r="S1038" i="9"/>
  <c r="N1040" i="9" l="1"/>
  <c r="O1040" i="9" s="1"/>
  <c r="P1040" i="9" s="1"/>
  <c r="R1039" i="9"/>
  <c r="S1039" i="9"/>
  <c r="N1041" i="9" l="1"/>
  <c r="O1041" i="9" s="1"/>
  <c r="P1041" i="9" s="1"/>
  <c r="R1040" i="9"/>
  <c r="S1040" i="9"/>
  <c r="N1042" i="9" l="1"/>
  <c r="O1042" i="9" s="1"/>
  <c r="P1042" i="9" s="1"/>
  <c r="R1041" i="9"/>
  <c r="S1041" i="9"/>
  <c r="N1043" i="9" l="1"/>
  <c r="O1043" i="9" s="1"/>
  <c r="P1043" i="9" s="1"/>
  <c r="R1042" i="9"/>
  <c r="S1042" i="9"/>
  <c r="N1044" i="9" l="1"/>
  <c r="O1044" i="9" s="1"/>
  <c r="P1044" i="9" s="1"/>
  <c r="R1043" i="9"/>
  <c r="S1043" i="9"/>
  <c r="N1045" i="9" l="1"/>
  <c r="O1045" i="9" s="1"/>
  <c r="P1045" i="9" s="1"/>
  <c r="R1044" i="9"/>
  <c r="S1044" i="9"/>
  <c r="N1046" i="9" l="1"/>
  <c r="O1046" i="9" s="1"/>
  <c r="P1046" i="9" s="1"/>
  <c r="R1045" i="9"/>
  <c r="S1045" i="9"/>
  <c r="N1047" i="9" l="1"/>
  <c r="O1047" i="9" s="1"/>
  <c r="P1047" i="9" s="1"/>
  <c r="R1046" i="9"/>
  <c r="S1046" i="9"/>
  <c r="N1048" i="9" l="1"/>
  <c r="O1048" i="9" s="1"/>
  <c r="P1048" i="9" s="1"/>
  <c r="R1047" i="9"/>
  <c r="S1047" i="9"/>
  <c r="N1049" i="9" l="1"/>
  <c r="O1049" i="9" s="1"/>
  <c r="P1049" i="9" s="1"/>
  <c r="R1048" i="9"/>
  <c r="S1048" i="9"/>
  <c r="N1050" i="9" l="1"/>
  <c r="O1050" i="9" s="1"/>
  <c r="P1050" i="9" s="1"/>
  <c r="R1049" i="9"/>
  <c r="S1049" i="9"/>
  <c r="N1051" i="9" l="1"/>
  <c r="O1051" i="9" s="1"/>
  <c r="P1051" i="9" s="1"/>
  <c r="S1050" i="9"/>
  <c r="R1050" i="9"/>
  <c r="N1052" i="9" l="1"/>
  <c r="O1052" i="9" s="1"/>
  <c r="P1052" i="9" s="1"/>
  <c r="S1051" i="9"/>
  <c r="R1051" i="9"/>
  <c r="N1053" i="9" l="1"/>
  <c r="O1053" i="9" s="1"/>
  <c r="P1053" i="9" s="1"/>
  <c r="R1052" i="9"/>
  <c r="S1052" i="9"/>
  <c r="N1054" i="9" l="1"/>
  <c r="O1054" i="9" s="1"/>
  <c r="P1054" i="9" s="1"/>
  <c r="S1053" i="9"/>
  <c r="R1053" i="9"/>
  <c r="N1055" i="9" l="1"/>
  <c r="O1055" i="9" s="1"/>
  <c r="P1055" i="9" s="1"/>
  <c r="R1054" i="9"/>
  <c r="S1054" i="9"/>
  <c r="N1056" i="9" l="1"/>
  <c r="O1056" i="9" s="1"/>
  <c r="P1056" i="9" s="1"/>
  <c r="S1055" i="9"/>
  <c r="R1055" i="9"/>
  <c r="N1057" i="9" l="1"/>
  <c r="O1057" i="9" s="1"/>
  <c r="P1057" i="9" s="1"/>
  <c r="R1056" i="9"/>
  <c r="S1056" i="9"/>
  <c r="N1058" i="9" l="1"/>
  <c r="O1058" i="9" s="1"/>
  <c r="P1058" i="9" s="1"/>
  <c r="S1057" i="9"/>
  <c r="R1057" i="9"/>
  <c r="N1059" i="9" l="1"/>
  <c r="O1059" i="9" s="1"/>
  <c r="P1059" i="9" s="1"/>
  <c r="R1058" i="9"/>
  <c r="S1058" i="9"/>
  <c r="N1060" i="9" l="1"/>
  <c r="O1060" i="9" s="1"/>
  <c r="P1060" i="9" s="1"/>
  <c r="S1059" i="9"/>
  <c r="R1059" i="9"/>
  <c r="N1061" i="9" l="1"/>
  <c r="O1061" i="9" s="1"/>
  <c r="P1061" i="9" s="1"/>
  <c r="R1060" i="9"/>
  <c r="S1060" i="9"/>
  <c r="N1062" i="9" l="1"/>
  <c r="O1062" i="9" s="1"/>
  <c r="P1062" i="9" s="1"/>
  <c r="S1061" i="9"/>
  <c r="R1061" i="9"/>
  <c r="N1063" i="9" l="1"/>
  <c r="O1063" i="9" s="1"/>
  <c r="P1063" i="9" s="1"/>
  <c r="R1062" i="9"/>
  <c r="S1062" i="9"/>
  <c r="N1064" i="9" l="1"/>
  <c r="O1064" i="9" s="1"/>
  <c r="P1064" i="9" s="1"/>
  <c r="S1063" i="9"/>
  <c r="R1063" i="9"/>
  <c r="N1065" i="9" l="1"/>
  <c r="O1065" i="9" s="1"/>
  <c r="P1065" i="9" s="1"/>
  <c r="R1064" i="9"/>
  <c r="S1064" i="9"/>
  <c r="N1066" i="9" l="1"/>
  <c r="O1066" i="9" s="1"/>
  <c r="P1066" i="9" s="1"/>
  <c r="S1065" i="9"/>
  <c r="R1065" i="9"/>
  <c r="N1067" i="9" l="1"/>
  <c r="O1067" i="9" s="1"/>
  <c r="P1067" i="9" s="1"/>
  <c r="R1066" i="9"/>
  <c r="S1066" i="9"/>
  <c r="N1068" i="9" l="1"/>
  <c r="O1068" i="9" s="1"/>
  <c r="P1068" i="9" s="1"/>
  <c r="S1067" i="9"/>
  <c r="R1067" i="9"/>
  <c r="N1069" i="9" l="1"/>
  <c r="O1069" i="9" s="1"/>
  <c r="P1069" i="9" s="1"/>
  <c r="R1068" i="9"/>
  <c r="S1068" i="9"/>
  <c r="N1070" i="9" l="1"/>
  <c r="O1070" i="9" s="1"/>
  <c r="P1070" i="9" s="1"/>
  <c r="S1069" i="9"/>
  <c r="R1069" i="9"/>
  <c r="N1071" i="9" l="1"/>
  <c r="O1071" i="9" s="1"/>
  <c r="P1071" i="9" s="1"/>
  <c r="R1070" i="9"/>
  <c r="S1070" i="9"/>
  <c r="N1072" i="9" l="1"/>
  <c r="O1072" i="9" s="1"/>
  <c r="P1072" i="9" s="1"/>
  <c r="S1071" i="9"/>
  <c r="R1071" i="9"/>
  <c r="N1073" i="9" l="1"/>
  <c r="O1073" i="9" s="1"/>
  <c r="P1073" i="9" s="1"/>
  <c r="R1072" i="9"/>
  <c r="S1072" i="9"/>
  <c r="N1074" i="9" l="1"/>
  <c r="O1074" i="9" s="1"/>
  <c r="P1074" i="9" s="1"/>
  <c r="S1073" i="9"/>
  <c r="R1073" i="9"/>
  <c r="N1075" i="9" l="1"/>
  <c r="O1075" i="9" s="1"/>
  <c r="P1075" i="9" s="1"/>
  <c r="R1074" i="9"/>
  <c r="S1074" i="9"/>
  <c r="N1076" i="9" l="1"/>
  <c r="O1076" i="9" s="1"/>
  <c r="P1076" i="9" s="1"/>
  <c r="S1075" i="9"/>
  <c r="R1075" i="9"/>
  <c r="N1077" i="9" l="1"/>
  <c r="O1077" i="9" s="1"/>
  <c r="P1077" i="9" s="1"/>
  <c r="R1076" i="9"/>
  <c r="S1076" i="9"/>
  <c r="N1078" i="9" l="1"/>
  <c r="O1078" i="9" s="1"/>
  <c r="P1078" i="9" s="1"/>
  <c r="S1077" i="9"/>
  <c r="R1077" i="9"/>
  <c r="N1079" i="9" l="1"/>
  <c r="O1079" i="9" s="1"/>
  <c r="P1079" i="9" s="1"/>
  <c r="R1078" i="9"/>
  <c r="S1078" i="9"/>
  <c r="N1080" i="9" l="1"/>
  <c r="O1080" i="9" s="1"/>
  <c r="P1080" i="9" s="1"/>
  <c r="S1079" i="9"/>
  <c r="R1079" i="9"/>
  <c r="N1081" i="9" l="1"/>
  <c r="O1081" i="9" s="1"/>
  <c r="P1081" i="9" s="1"/>
  <c r="R1080" i="9"/>
  <c r="S1080" i="9"/>
  <c r="N1082" i="9" l="1"/>
  <c r="O1082" i="9" s="1"/>
  <c r="P1082" i="9" s="1"/>
  <c r="S1081" i="9"/>
  <c r="R1081" i="9"/>
  <c r="N1083" i="9" l="1"/>
  <c r="O1083" i="9" s="1"/>
  <c r="P1083" i="9" s="1"/>
  <c r="R1082" i="9"/>
  <c r="S1082" i="9"/>
  <c r="N1084" i="9" l="1"/>
  <c r="O1084" i="9" s="1"/>
  <c r="P1084" i="9" s="1"/>
  <c r="S1083" i="9"/>
  <c r="R1083" i="9"/>
  <c r="N1085" i="9" l="1"/>
  <c r="O1085" i="9" s="1"/>
  <c r="P1085" i="9" s="1"/>
  <c r="R1084" i="9"/>
  <c r="S1084" i="9"/>
  <c r="N1086" i="9" l="1"/>
  <c r="O1086" i="9" s="1"/>
  <c r="P1086" i="9" s="1"/>
  <c r="R1085" i="9"/>
  <c r="S1085" i="9"/>
  <c r="N1087" i="9" l="1"/>
  <c r="O1087" i="9" s="1"/>
  <c r="P1087" i="9" s="1"/>
  <c r="R1086" i="9"/>
  <c r="S1086" i="9"/>
  <c r="N1088" i="9" l="1"/>
  <c r="O1088" i="9" s="1"/>
  <c r="P1088" i="9" s="1"/>
  <c r="R1087" i="9"/>
  <c r="S1087" i="9"/>
  <c r="N1089" i="9" l="1"/>
  <c r="O1089" i="9" s="1"/>
  <c r="P1089" i="9" s="1"/>
  <c r="R1088" i="9"/>
  <c r="S1088" i="9"/>
  <c r="N1090" i="9" l="1"/>
  <c r="O1090" i="9" s="1"/>
  <c r="P1090" i="9" s="1"/>
  <c r="R1089" i="9"/>
  <c r="S1089" i="9"/>
  <c r="N1091" i="9" l="1"/>
  <c r="O1091" i="9" s="1"/>
  <c r="P1091" i="9" s="1"/>
  <c r="R1090" i="9"/>
  <c r="S1090" i="9"/>
  <c r="N1092" i="9" l="1"/>
  <c r="O1092" i="9" s="1"/>
  <c r="P1092" i="9" s="1"/>
  <c r="R1091" i="9"/>
  <c r="S1091" i="9"/>
  <c r="N1093" i="9" l="1"/>
  <c r="O1093" i="9" s="1"/>
  <c r="P1093" i="9" s="1"/>
  <c r="R1092" i="9"/>
  <c r="S1092" i="9"/>
  <c r="N1094" i="9" l="1"/>
  <c r="O1094" i="9" s="1"/>
  <c r="P1094" i="9" s="1"/>
  <c r="R1093" i="9"/>
  <c r="S1093" i="9"/>
  <c r="N1095" i="9" l="1"/>
  <c r="O1095" i="9" s="1"/>
  <c r="P1095" i="9" s="1"/>
  <c r="S1094" i="9"/>
  <c r="R1094" i="9"/>
  <c r="N1096" i="9" l="1"/>
  <c r="O1096" i="9" s="1"/>
  <c r="P1096" i="9" s="1"/>
  <c r="R1095" i="9"/>
  <c r="S1095" i="9"/>
  <c r="N1097" i="9" l="1"/>
  <c r="O1097" i="9" s="1"/>
  <c r="P1097" i="9" s="1"/>
  <c r="S1096" i="9"/>
  <c r="R1096" i="9"/>
  <c r="N1098" i="9" l="1"/>
  <c r="O1098" i="9" s="1"/>
  <c r="P1098" i="9" s="1"/>
  <c r="R1097" i="9"/>
  <c r="S1097" i="9"/>
  <c r="N1099" i="9" l="1"/>
  <c r="O1099" i="9" s="1"/>
  <c r="P1099" i="9" s="1"/>
  <c r="S1098" i="9"/>
  <c r="R1098" i="9"/>
  <c r="N1100" i="9" l="1"/>
  <c r="O1100" i="9" s="1"/>
  <c r="P1100" i="9" s="1"/>
  <c r="R1099" i="9"/>
  <c r="S1099" i="9"/>
  <c r="N1101" i="9" l="1"/>
  <c r="O1101" i="9" s="1"/>
  <c r="P1101" i="9" s="1"/>
  <c r="R1100" i="9"/>
  <c r="S1100" i="9"/>
  <c r="N1102" i="9" l="1"/>
  <c r="O1102" i="9" s="1"/>
  <c r="P1102" i="9" s="1"/>
  <c r="R1101" i="9"/>
  <c r="S1101" i="9"/>
  <c r="N1103" i="9" l="1"/>
  <c r="O1103" i="9" s="1"/>
  <c r="P1103" i="9" s="1"/>
  <c r="R1102" i="9"/>
  <c r="S1102" i="9"/>
  <c r="N1104" i="9" l="1"/>
  <c r="O1104" i="9" s="1"/>
  <c r="P1104" i="9" s="1"/>
  <c r="R1103" i="9"/>
  <c r="S1103" i="9"/>
  <c r="N1105" i="9" l="1"/>
  <c r="O1105" i="9" s="1"/>
  <c r="P1105" i="9" s="1"/>
  <c r="R1104" i="9"/>
  <c r="S1104" i="9"/>
  <c r="N1106" i="9" l="1"/>
  <c r="O1106" i="9" s="1"/>
  <c r="P1106" i="9" s="1"/>
  <c r="R1105" i="9"/>
  <c r="S1105" i="9"/>
  <c r="N1107" i="9" l="1"/>
  <c r="O1107" i="9" s="1"/>
  <c r="P1107" i="9" s="1"/>
  <c r="R1106" i="9"/>
  <c r="S1106" i="9"/>
  <c r="N1108" i="9" l="1"/>
  <c r="O1108" i="9" s="1"/>
  <c r="P1108" i="9" s="1"/>
  <c r="R1107" i="9"/>
  <c r="S1107" i="9"/>
  <c r="N1109" i="9" l="1"/>
  <c r="O1109" i="9" s="1"/>
  <c r="P1109" i="9" s="1"/>
  <c r="S1108" i="9"/>
  <c r="R1108" i="9"/>
  <c r="N1110" i="9" l="1"/>
  <c r="O1110" i="9" s="1"/>
  <c r="P1110" i="9" s="1"/>
  <c r="S1109" i="9"/>
  <c r="R1109" i="9"/>
  <c r="N1111" i="9" l="1"/>
  <c r="O1111" i="9" s="1"/>
  <c r="P1111" i="9" s="1"/>
  <c r="R1110" i="9"/>
  <c r="S1110" i="9"/>
  <c r="N1112" i="9" l="1"/>
  <c r="O1112" i="9" s="1"/>
  <c r="P1112" i="9" s="1"/>
  <c r="S1111" i="9"/>
  <c r="R1111" i="9"/>
  <c r="N1113" i="9" l="1"/>
  <c r="O1113" i="9" s="1"/>
  <c r="P1113" i="9" s="1"/>
  <c r="R1112" i="9"/>
  <c r="S1112" i="9"/>
  <c r="N1114" i="9" l="1"/>
  <c r="O1114" i="9" s="1"/>
  <c r="P1114" i="9" s="1"/>
  <c r="S1113" i="9"/>
  <c r="R1113" i="9"/>
  <c r="N1115" i="9" l="1"/>
  <c r="O1115" i="9" s="1"/>
  <c r="P1115" i="9" s="1"/>
  <c r="R1114" i="9"/>
  <c r="S1114" i="9"/>
  <c r="N1116" i="9" l="1"/>
  <c r="O1116" i="9" s="1"/>
  <c r="P1116" i="9" s="1"/>
  <c r="S1115" i="9"/>
  <c r="R1115" i="9"/>
  <c r="N1117" i="9" l="1"/>
  <c r="O1117" i="9" s="1"/>
  <c r="P1117" i="9" s="1"/>
  <c r="R1116" i="9"/>
  <c r="S1116" i="9"/>
  <c r="N1118" i="9" l="1"/>
  <c r="O1118" i="9" s="1"/>
  <c r="P1118" i="9" s="1"/>
  <c r="S1117" i="9"/>
  <c r="R1117" i="9"/>
  <c r="N1119" i="9" l="1"/>
  <c r="O1119" i="9" s="1"/>
  <c r="P1119" i="9" s="1"/>
  <c r="R1118" i="9"/>
  <c r="S1118" i="9"/>
  <c r="N1120" i="9" l="1"/>
  <c r="O1120" i="9" s="1"/>
  <c r="P1120" i="9" s="1"/>
  <c r="R1119" i="9"/>
  <c r="S1119" i="9"/>
  <c r="N1121" i="9" l="1"/>
  <c r="O1121" i="9" s="1"/>
  <c r="P1121" i="9" s="1"/>
  <c r="R1120" i="9"/>
  <c r="S1120" i="9"/>
  <c r="N1122" i="9" l="1"/>
  <c r="O1122" i="9" s="1"/>
  <c r="P1122" i="9" s="1"/>
  <c r="R1121" i="9"/>
  <c r="S1121" i="9"/>
  <c r="N1123" i="9" l="1"/>
  <c r="O1123" i="9" s="1"/>
  <c r="P1123" i="9" s="1"/>
  <c r="R1122" i="9"/>
  <c r="S1122" i="9"/>
  <c r="N1124" i="9" l="1"/>
  <c r="O1124" i="9" s="1"/>
  <c r="P1124" i="9" s="1"/>
  <c r="S1123" i="9"/>
  <c r="R1123" i="9"/>
  <c r="N1125" i="9" l="1"/>
  <c r="O1125" i="9" s="1"/>
  <c r="P1125" i="9" s="1"/>
  <c r="R1124" i="9"/>
  <c r="S1124" i="9"/>
  <c r="N1126" i="9" l="1"/>
  <c r="O1126" i="9" s="1"/>
  <c r="P1126" i="9" s="1"/>
  <c r="S1125" i="9"/>
  <c r="R1125" i="9"/>
  <c r="N1127" i="9" l="1"/>
  <c r="O1127" i="9" s="1"/>
  <c r="P1127" i="9" s="1"/>
  <c r="R1126" i="9"/>
  <c r="S1126" i="9"/>
  <c r="N1128" i="9" l="1"/>
  <c r="O1128" i="9" s="1"/>
  <c r="P1128" i="9" s="1"/>
  <c r="R1127" i="9"/>
  <c r="S1127" i="9"/>
  <c r="N1129" i="9" l="1"/>
  <c r="O1129" i="9" s="1"/>
  <c r="P1129" i="9" s="1"/>
  <c r="R1128" i="9"/>
  <c r="S1128" i="9"/>
  <c r="N1130" i="9" l="1"/>
  <c r="O1130" i="9" s="1"/>
  <c r="P1130" i="9" s="1"/>
  <c r="S1129" i="9"/>
  <c r="R1129" i="9"/>
  <c r="N1131" i="9" l="1"/>
  <c r="O1131" i="9" s="1"/>
  <c r="P1131" i="9" s="1"/>
  <c r="S1130" i="9"/>
  <c r="R1130" i="9"/>
  <c r="N1132" i="9" l="1"/>
  <c r="O1132" i="9" s="1"/>
  <c r="P1132" i="9" s="1"/>
  <c r="R1131" i="9"/>
  <c r="S1131" i="9"/>
  <c r="N1133" i="9" l="1"/>
  <c r="O1133" i="9" s="1"/>
  <c r="P1133" i="9" s="1"/>
  <c r="S1132" i="9"/>
  <c r="R1132" i="9"/>
  <c r="N1134" i="9" l="1"/>
  <c r="O1134" i="9" s="1"/>
  <c r="P1134" i="9" s="1"/>
  <c r="R1133" i="9"/>
  <c r="S1133" i="9"/>
  <c r="N1135" i="9" l="1"/>
  <c r="O1135" i="9" s="1"/>
  <c r="P1135" i="9" s="1"/>
  <c r="R1134" i="9"/>
  <c r="S1134" i="9"/>
  <c r="N1136" i="9" l="1"/>
  <c r="O1136" i="9" s="1"/>
  <c r="P1136" i="9" s="1"/>
  <c r="R1135" i="9"/>
  <c r="S1135" i="9"/>
  <c r="N1137" i="9" l="1"/>
  <c r="O1137" i="9" s="1"/>
  <c r="P1137" i="9" s="1"/>
  <c r="S1136" i="9"/>
  <c r="R1136" i="9"/>
  <c r="N1138" i="9" l="1"/>
  <c r="O1138" i="9" s="1"/>
  <c r="P1138" i="9" s="1"/>
  <c r="R1137" i="9"/>
  <c r="S1137" i="9"/>
  <c r="N1139" i="9" l="1"/>
  <c r="O1139" i="9" s="1"/>
  <c r="P1139" i="9" s="1"/>
  <c r="R1138" i="9"/>
  <c r="S1138" i="9"/>
  <c r="N1140" i="9" l="1"/>
  <c r="O1140" i="9" s="1"/>
  <c r="P1140" i="9" s="1"/>
  <c r="S1139" i="9"/>
  <c r="R1139" i="9"/>
  <c r="N1141" i="9" l="1"/>
  <c r="O1141" i="9" s="1"/>
  <c r="P1141" i="9" s="1"/>
  <c r="R1140" i="9"/>
  <c r="S1140" i="9"/>
  <c r="N1142" i="9" l="1"/>
  <c r="O1142" i="9" s="1"/>
  <c r="P1142" i="9" s="1"/>
  <c r="R1141" i="9"/>
  <c r="S1141" i="9"/>
  <c r="N1143" i="9" l="1"/>
  <c r="O1143" i="9" s="1"/>
  <c r="P1143" i="9" s="1"/>
  <c r="S1142" i="9"/>
  <c r="R1142" i="9"/>
  <c r="N1144" i="9" l="1"/>
  <c r="O1144" i="9" s="1"/>
  <c r="P1144" i="9" s="1"/>
  <c r="R1143" i="9"/>
  <c r="S1143" i="9"/>
  <c r="N1145" i="9" l="1"/>
  <c r="O1145" i="9" s="1"/>
  <c r="P1145" i="9" s="1"/>
  <c r="R1144" i="9"/>
  <c r="S1144" i="9"/>
  <c r="N1146" i="9" l="1"/>
  <c r="O1146" i="9" s="1"/>
  <c r="P1146" i="9" s="1"/>
  <c r="S1145" i="9"/>
  <c r="R1145" i="9"/>
  <c r="N1147" i="9" l="1"/>
  <c r="O1147" i="9" s="1"/>
  <c r="P1147" i="9" s="1"/>
  <c r="S1146" i="9"/>
  <c r="R1146" i="9"/>
  <c r="N1148" i="9" l="1"/>
  <c r="O1148" i="9" s="1"/>
  <c r="P1148" i="9" s="1"/>
  <c r="R1147" i="9"/>
  <c r="S1147" i="9"/>
  <c r="S1148" i="9" l="1"/>
  <c r="N1149" i="9"/>
  <c r="O1149" i="9" s="1"/>
  <c r="P1149" i="9" s="1"/>
  <c r="R1148" i="9"/>
  <c r="N1150" i="9" l="1"/>
  <c r="O1150" i="9" s="1"/>
  <c r="P1150" i="9" s="1"/>
  <c r="R1149" i="9"/>
  <c r="S1149" i="9"/>
  <c r="N1151" i="9" l="1"/>
  <c r="O1151" i="9" s="1"/>
  <c r="P1151" i="9" s="1"/>
  <c r="R1150" i="9"/>
  <c r="S1150" i="9"/>
  <c r="N1152" i="9" l="1"/>
  <c r="O1152" i="9" s="1"/>
  <c r="P1152" i="9" s="1"/>
  <c r="R1151" i="9"/>
  <c r="S1151" i="9"/>
  <c r="N1153" i="9" l="1"/>
  <c r="O1153" i="9" s="1"/>
  <c r="P1153" i="9" s="1"/>
  <c r="R1152" i="9"/>
  <c r="S1152" i="9"/>
  <c r="N1154" i="9" l="1"/>
  <c r="O1154" i="9" s="1"/>
  <c r="P1154" i="9" s="1"/>
  <c r="S1153" i="9"/>
  <c r="R1153" i="9"/>
  <c r="N1155" i="9" l="1"/>
  <c r="O1155" i="9" s="1"/>
  <c r="P1155" i="9" s="1"/>
  <c r="S1154" i="9"/>
  <c r="R1154" i="9"/>
  <c r="N1156" i="9" l="1"/>
  <c r="O1156" i="9" s="1"/>
  <c r="P1156" i="9" s="1"/>
  <c r="R1155" i="9"/>
  <c r="S1155" i="9"/>
  <c r="N1157" i="9" l="1"/>
  <c r="O1157" i="9" s="1"/>
  <c r="P1157" i="9" s="1"/>
  <c r="S1156" i="9"/>
  <c r="R1156" i="9"/>
  <c r="N1158" i="9" l="1"/>
  <c r="O1158" i="9" s="1"/>
  <c r="P1158" i="9" s="1"/>
  <c r="R1157" i="9"/>
  <c r="S1157" i="9"/>
  <c r="S1158" i="9" l="1"/>
  <c r="N1159" i="9"/>
  <c r="O1159" i="9" s="1"/>
  <c r="P1159" i="9" s="1"/>
  <c r="R1158" i="9"/>
  <c r="N1160" i="9" l="1"/>
  <c r="O1160" i="9" s="1"/>
  <c r="P1160" i="9" s="1"/>
  <c r="R1159" i="9"/>
  <c r="S1159" i="9"/>
  <c r="N1161" i="9" l="1"/>
  <c r="O1161" i="9" s="1"/>
  <c r="P1161" i="9" s="1"/>
  <c r="S1160" i="9"/>
  <c r="R1160" i="9"/>
  <c r="N1162" i="9" l="1"/>
  <c r="O1162" i="9" s="1"/>
  <c r="P1162" i="9" s="1"/>
  <c r="R1161" i="9"/>
  <c r="S1161" i="9"/>
  <c r="N1163" i="9" l="1"/>
  <c r="O1163" i="9" s="1"/>
  <c r="P1163" i="9" s="1"/>
  <c r="S1162" i="9"/>
  <c r="R1162" i="9"/>
  <c r="N1164" i="9" l="1"/>
  <c r="O1164" i="9" s="1"/>
  <c r="P1164" i="9" s="1"/>
  <c r="R1163" i="9"/>
  <c r="S1163" i="9"/>
  <c r="N1165" i="9" l="1"/>
  <c r="O1165" i="9" s="1"/>
  <c r="P1165" i="9" s="1"/>
  <c r="R1164" i="9"/>
  <c r="S1164" i="9"/>
  <c r="N1166" i="9" l="1"/>
  <c r="O1166" i="9" s="1"/>
  <c r="P1166" i="9" s="1"/>
  <c r="R1165" i="9"/>
  <c r="S1165" i="9"/>
  <c r="N1167" i="9" l="1"/>
  <c r="O1167" i="9" s="1"/>
  <c r="P1167" i="9" s="1"/>
  <c r="R1166" i="9"/>
  <c r="S1166" i="9"/>
  <c r="N1168" i="9" l="1"/>
  <c r="O1168" i="9" s="1"/>
  <c r="P1168" i="9" s="1"/>
  <c r="R1167" i="9"/>
  <c r="S1167" i="9"/>
  <c r="N1169" i="9" l="1"/>
  <c r="O1169" i="9" s="1"/>
  <c r="P1169" i="9" s="1"/>
  <c r="R1168" i="9"/>
  <c r="S1168" i="9"/>
  <c r="N1170" i="9" l="1"/>
  <c r="O1170" i="9" s="1"/>
  <c r="P1170" i="9" s="1"/>
  <c r="R1169" i="9"/>
  <c r="S1169" i="9"/>
  <c r="N1171" i="9" l="1"/>
  <c r="O1171" i="9" s="1"/>
  <c r="P1171" i="9" s="1"/>
  <c r="R1170" i="9"/>
  <c r="S1170" i="9"/>
  <c r="N1172" i="9" l="1"/>
  <c r="O1172" i="9" s="1"/>
  <c r="P1172" i="9" s="1"/>
  <c r="S1171" i="9"/>
  <c r="R1171" i="9"/>
  <c r="N1173" i="9" l="1"/>
  <c r="O1173" i="9" s="1"/>
  <c r="P1173" i="9" s="1"/>
  <c r="R1172" i="9"/>
  <c r="S1172" i="9"/>
  <c r="N1174" i="9" l="1"/>
  <c r="O1174" i="9" s="1"/>
  <c r="P1174" i="9" s="1"/>
  <c r="S1173" i="9"/>
  <c r="R1173" i="9"/>
  <c r="N1175" i="9" l="1"/>
  <c r="O1175" i="9" s="1"/>
  <c r="P1175" i="9" s="1"/>
  <c r="R1174" i="9"/>
  <c r="S1174" i="9"/>
  <c r="N1176" i="9" l="1"/>
  <c r="O1176" i="9" s="1"/>
  <c r="P1176" i="9" s="1"/>
  <c r="S1175" i="9"/>
  <c r="R1175" i="9"/>
  <c r="N1177" i="9" l="1"/>
  <c r="O1177" i="9" s="1"/>
  <c r="P1177" i="9" s="1"/>
  <c r="R1176" i="9"/>
  <c r="S1176" i="9"/>
  <c r="N1178" i="9" l="1"/>
  <c r="O1178" i="9" s="1"/>
  <c r="P1178" i="9" s="1"/>
  <c r="R1177" i="9"/>
  <c r="S1177" i="9"/>
  <c r="N1179" i="9" l="1"/>
  <c r="O1179" i="9" s="1"/>
  <c r="P1179" i="9" s="1"/>
  <c r="R1178" i="9"/>
  <c r="S1178" i="9"/>
  <c r="N1180" i="9" l="1"/>
  <c r="O1180" i="9" s="1"/>
  <c r="P1180" i="9" s="1"/>
  <c r="R1179" i="9"/>
  <c r="S1179" i="9"/>
  <c r="N1181" i="9" l="1"/>
  <c r="O1181" i="9" s="1"/>
  <c r="P1181" i="9" s="1"/>
  <c r="R1180" i="9"/>
  <c r="S1180" i="9"/>
  <c r="N1182" i="9" l="1"/>
  <c r="O1182" i="9" s="1"/>
  <c r="P1182" i="9" s="1"/>
  <c r="S1181" i="9"/>
  <c r="R1181" i="9"/>
  <c r="N1183" i="9" l="1"/>
  <c r="O1183" i="9" s="1"/>
  <c r="P1183" i="9" s="1"/>
  <c r="S1182" i="9"/>
  <c r="R1182" i="9"/>
  <c r="N1184" i="9" l="1"/>
  <c r="O1184" i="9" s="1"/>
  <c r="P1184" i="9" s="1"/>
  <c r="R1183" i="9"/>
  <c r="S1183" i="9"/>
  <c r="N1185" i="9" l="1"/>
  <c r="O1185" i="9" s="1"/>
  <c r="P1185" i="9" s="1"/>
  <c r="S1184" i="9"/>
  <c r="R1184" i="9"/>
  <c r="N1186" i="9" l="1"/>
  <c r="O1186" i="9" s="1"/>
  <c r="P1186" i="9" s="1"/>
  <c r="R1185" i="9"/>
  <c r="S1185" i="9"/>
  <c r="N1187" i="9" l="1"/>
  <c r="O1187" i="9" s="1"/>
  <c r="P1187" i="9" s="1"/>
  <c r="S1186" i="9"/>
  <c r="R1186" i="9"/>
  <c r="N1188" i="9" l="1"/>
  <c r="O1188" i="9" s="1"/>
  <c r="P1188" i="9" s="1"/>
  <c r="R1187" i="9"/>
  <c r="S1187" i="9"/>
  <c r="N1189" i="9" l="1"/>
  <c r="O1189" i="9" s="1"/>
  <c r="P1189" i="9" s="1"/>
  <c r="S1188" i="9"/>
  <c r="R1188" i="9"/>
  <c r="N1190" i="9" l="1"/>
  <c r="O1190" i="9" s="1"/>
  <c r="P1190" i="9" s="1"/>
  <c r="R1189" i="9"/>
  <c r="S1189" i="9"/>
  <c r="N1191" i="9" l="1"/>
  <c r="O1191" i="9" s="1"/>
  <c r="P1191" i="9" s="1"/>
  <c r="R1190" i="9"/>
  <c r="S1190" i="9"/>
  <c r="N1192" i="9" l="1"/>
  <c r="O1192" i="9" s="1"/>
  <c r="P1192" i="9" s="1"/>
  <c r="R1191" i="9"/>
  <c r="S1191" i="9"/>
  <c r="N1193" i="9" l="1"/>
  <c r="O1193" i="9" s="1"/>
  <c r="P1193" i="9" s="1"/>
  <c r="R1192" i="9"/>
  <c r="S1192" i="9"/>
  <c r="N1194" i="9" l="1"/>
  <c r="O1194" i="9" s="1"/>
  <c r="P1194" i="9" s="1"/>
  <c r="R1193" i="9"/>
  <c r="S1193" i="9"/>
  <c r="N1195" i="9" l="1"/>
  <c r="O1195" i="9" s="1"/>
  <c r="P1195" i="9" s="1"/>
  <c r="R1194" i="9"/>
  <c r="S1194" i="9"/>
  <c r="N1196" i="9" l="1"/>
  <c r="O1196" i="9" s="1"/>
  <c r="P1196" i="9" s="1"/>
  <c r="S1195" i="9"/>
  <c r="R1195" i="9"/>
  <c r="N1197" i="9" l="1"/>
  <c r="O1197" i="9" s="1"/>
  <c r="P1197" i="9" s="1"/>
  <c r="R1196" i="9"/>
  <c r="S1196" i="9"/>
  <c r="N1198" i="9" l="1"/>
  <c r="O1198" i="9" s="1"/>
  <c r="P1198" i="9" s="1"/>
  <c r="R1197" i="9"/>
  <c r="S1197" i="9"/>
  <c r="N1199" i="9" l="1"/>
  <c r="O1199" i="9" s="1"/>
  <c r="P1199" i="9" s="1"/>
  <c r="R1198" i="9"/>
  <c r="S1198" i="9"/>
  <c r="N1200" i="9" l="1"/>
  <c r="O1200" i="9" s="1"/>
  <c r="P1200" i="9" s="1"/>
  <c r="R1199" i="9"/>
  <c r="S1199" i="9"/>
  <c r="N1201" i="9" l="1"/>
  <c r="O1201" i="9" s="1"/>
  <c r="P1201" i="9" s="1"/>
  <c r="R1200" i="9"/>
  <c r="S1200" i="9"/>
  <c r="N1202" i="9" l="1"/>
  <c r="O1202" i="9" s="1"/>
  <c r="P1202" i="9" s="1"/>
  <c r="R1201" i="9"/>
  <c r="S1201" i="9"/>
  <c r="N1203" i="9" l="1"/>
  <c r="O1203" i="9" s="1"/>
  <c r="P1203" i="9" s="1"/>
  <c r="R1202" i="9"/>
  <c r="S1202" i="9"/>
  <c r="N1204" i="9" l="1"/>
  <c r="O1204" i="9" s="1"/>
  <c r="P1204" i="9" s="1"/>
  <c r="R1203" i="9"/>
  <c r="S1203" i="9"/>
  <c r="N1205" i="9" l="1"/>
  <c r="O1205" i="9" s="1"/>
  <c r="P1205" i="9" s="1"/>
  <c r="R1204" i="9"/>
  <c r="S1204" i="9"/>
  <c r="R1205" i="9" l="1"/>
  <c r="S1205" i="9"/>
  <c r="N1206" i="9"/>
  <c r="O1206" i="9" s="1"/>
  <c r="P1206" i="9" s="1"/>
  <c r="N1207" i="9" l="1"/>
  <c r="O1207" i="9" s="1"/>
  <c r="P1207" i="9" s="1"/>
  <c r="S1206" i="9"/>
  <c r="R1206" i="9"/>
  <c r="N1208" i="9" l="1"/>
  <c r="O1208" i="9" s="1"/>
  <c r="P1208" i="9" s="1"/>
  <c r="R1207" i="9"/>
  <c r="S1207" i="9"/>
  <c r="N1209" i="9" l="1"/>
  <c r="O1209" i="9" s="1"/>
  <c r="P1209" i="9" s="1"/>
  <c r="S1208" i="9"/>
  <c r="R1208" i="9"/>
  <c r="N1210" i="9" l="1"/>
  <c r="O1210" i="9" s="1"/>
  <c r="P1210" i="9" s="1"/>
  <c r="S1209" i="9"/>
  <c r="R1209" i="9"/>
  <c r="N1211" i="9" l="1"/>
  <c r="O1211" i="9" s="1"/>
  <c r="P1211" i="9" s="1"/>
  <c r="R1210" i="9"/>
  <c r="S1210" i="9"/>
  <c r="N1212" i="9" l="1"/>
  <c r="O1212" i="9" s="1"/>
  <c r="P1212" i="9" s="1"/>
  <c r="S1211" i="9"/>
  <c r="R1211" i="9"/>
  <c r="N1213" i="9" l="1"/>
  <c r="O1213" i="9" s="1"/>
  <c r="P1213" i="9" s="1"/>
  <c r="R1212" i="9"/>
  <c r="S1212" i="9"/>
  <c r="N1214" i="9" l="1"/>
  <c r="O1214" i="9" s="1"/>
  <c r="P1214" i="9" s="1"/>
  <c r="S1213" i="9"/>
  <c r="R1213" i="9"/>
  <c r="N1215" i="9" l="1"/>
  <c r="O1215" i="9" s="1"/>
  <c r="P1215" i="9" s="1"/>
  <c r="R1214" i="9"/>
  <c r="S1214" i="9"/>
  <c r="N1216" i="9" l="1"/>
  <c r="O1216" i="9" s="1"/>
  <c r="P1216" i="9" s="1"/>
  <c r="R1215" i="9"/>
  <c r="S1215" i="9"/>
  <c r="N1217" i="9" l="1"/>
  <c r="O1217" i="9" s="1"/>
  <c r="P1217" i="9" s="1"/>
  <c r="R1216" i="9"/>
  <c r="S1216" i="9"/>
  <c r="N1218" i="9" l="1"/>
  <c r="O1218" i="9" s="1"/>
  <c r="P1218" i="9" s="1"/>
  <c r="R1217" i="9"/>
  <c r="S1217" i="9"/>
  <c r="N1219" i="9" l="1"/>
  <c r="O1219" i="9" s="1"/>
  <c r="P1219" i="9" s="1"/>
  <c r="S1218" i="9"/>
  <c r="R1218" i="9"/>
  <c r="N1220" i="9" l="1"/>
  <c r="O1220" i="9" s="1"/>
  <c r="P1220" i="9" s="1"/>
  <c r="R1219" i="9"/>
  <c r="S1219" i="9"/>
  <c r="N1221" i="9" l="1"/>
  <c r="O1221" i="9" s="1"/>
  <c r="P1221" i="9" s="1"/>
  <c r="R1220" i="9"/>
  <c r="S1220" i="9"/>
  <c r="N1222" i="9" l="1"/>
  <c r="O1222" i="9" s="1"/>
  <c r="P1222" i="9" s="1"/>
  <c r="R1221" i="9"/>
  <c r="S1221" i="9"/>
  <c r="N1223" i="9" l="1"/>
  <c r="O1223" i="9" s="1"/>
  <c r="P1223" i="9" s="1"/>
  <c r="R1222" i="9"/>
  <c r="S1222" i="9"/>
  <c r="N1224" i="9" l="1"/>
  <c r="O1224" i="9" s="1"/>
  <c r="P1224" i="9" s="1"/>
  <c r="S1223" i="9"/>
  <c r="R1223" i="9"/>
  <c r="N1225" i="9" l="1"/>
  <c r="O1225" i="9" s="1"/>
  <c r="P1225" i="9" s="1"/>
  <c r="S1224" i="9"/>
  <c r="R1224" i="9"/>
  <c r="N1226" i="9" l="1"/>
  <c r="O1226" i="9" s="1"/>
  <c r="P1226" i="9" s="1"/>
  <c r="R1225" i="9"/>
  <c r="S1225" i="9"/>
  <c r="N1227" i="9" l="1"/>
  <c r="O1227" i="9" s="1"/>
  <c r="P1227" i="9" s="1"/>
  <c r="S1226" i="9"/>
  <c r="R1226" i="9"/>
  <c r="N1228" i="9" l="1"/>
  <c r="O1228" i="9" s="1"/>
  <c r="P1228" i="9" s="1"/>
  <c r="R1227" i="9"/>
  <c r="S1227" i="9"/>
  <c r="N1229" i="9" l="1"/>
  <c r="O1229" i="9" s="1"/>
  <c r="P1229" i="9" s="1"/>
  <c r="R1228" i="9"/>
  <c r="S1228" i="9"/>
  <c r="N1230" i="9" l="1"/>
  <c r="O1230" i="9" s="1"/>
  <c r="P1230" i="9" s="1"/>
  <c r="R1229" i="9"/>
  <c r="S1229" i="9"/>
  <c r="N1231" i="9" l="1"/>
  <c r="O1231" i="9" s="1"/>
  <c r="P1231" i="9" s="1"/>
  <c r="R1230" i="9"/>
  <c r="S1230" i="9"/>
  <c r="N1232" i="9" l="1"/>
  <c r="O1232" i="9" s="1"/>
  <c r="P1232" i="9" s="1"/>
  <c r="R1231" i="9"/>
  <c r="S1231" i="9"/>
  <c r="N1233" i="9" l="1"/>
  <c r="O1233" i="9" s="1"/>
  <c r="P1233" i="9" s="1"/>
  <c r="S1232" i="9"/>
  <c r="R1232" i="9"/>
  <c r="N1234" i="9" l="1"/>
  <c r="O1234" i="9" s="1"/>
  <c r="P1234" i="9" s="1"/>
  <c r="R1233" i="9"/>
  <c r="S1233" i="9"/>
  <c r="N1235" i="9" l="1"/>
  <c r="O1235" i="9" s="1"/>
  <c r="P1235" i="9" s="1"/>
  <c r="R1234" i="9"/>
  <c r="S1234" i="9"/>
  <c r="N1236" i="9" l="1"/>
  <c r="O1236" i="9" s="1"/>
  <c r="P1236" i="9" s="1"/>
  <c r="R1235" i="9"/>
  <c r="S1235" i="9"/>
  <c r="N1237" i="9" l="1"/>
  <c r="O1237" i="9" s="1"/>
  <c r="P1237" i="9" s="1"/>
  <c r="R1236" i="9"/>
  <c r="S1236" i="9"/>
  <c r="N1238" i="9" l="1"/>
  <c r="O1238" i="9" s="1"/>
  <c r="P1238" i="9" s="1"/>
  <c r="R1237" i="9"/>
  <c r="S1237" i="9"/>
  <c r="N1239" i="9" l="1"/>
  <c r="O1239" i="9" s="1"/>
  <c r="P1239" i="9" s="1"/>
  <c r="S1238" i="9"/>
  <c r="R1238" i="9"/>
  <c r="N1240" i="9" l="1"/>
  <c r="O1240" i="9" s="1"/>
  <c r="P1240" i="9" s="1"/>
  <c r="S1239" i="9"/>
  <c r="R1239" i="9"/>
  <c r="N1241" i="9" l="1"/>
  <c r="O1241" i="9" s="1"/>
  <c r="P1241" i="9" s="1"/>
  <c r="R1240" i="9"/>
  <c r="S1240" i="9"/>
  <c r="N1242" i="9" l="1"/>
  <c r="O1242" i="9" s="1"/>
  <c r="P1242" i="9" s="1"/>
  <c r="R1241" i="9"/>
  <c r="S1241" i="9"/>
  <c r="N1243" i="9" l="1"/>
  <c r="O1243" i="9" s="1"/>
  <c r="P1243" i="9" s="1"/>
  <c r="R1242" i="9"/>
  <c r="S1242" i="9"/>
  <c r="N1244" i="9" l="1"/>
  <c r="O1244" i="9" s="1"/>
  <c r="P1244" i="9" s="1"/>
  <c r="S1243" i="9"/>
  <c r="R1243" i="9"/>
  <c r="N1245" i="9" l="1"/>
  <c r="O1245" i="9" s="1"/>
  <c r="P1245" i="9" s="1"/>
  <c r="R1244" i="9"/>
  <c r="S1244" i="9"/>
  <c r="N1246" i="9" l="1"/>
  <c r="O1246" i="9" s="1"/>
  <c r="P1246" i="9" s="1"/>
  <c r="R1245" i="9"/>
  <c r="S1245" i="9"/>
  <c r="N1247" i="9" l="1"/>
  <c r="O1247" i="9" s="1"/>
  <c r="P1247" i="9" s="1"/>
  <c r="R1246" i="9"/>
  <c r="S1246" i="9"/>
  <c r="N1248" i="9" l="1"/>
  <c r="O1248" i="9" s="1"/>
  <c r="P1248" i="9" s="1"/>
  <c r="R1247" i="9"/>
  <c r="S1247" i="9"/>
  <c r="N1249" i="9" l="1"/>
  <c r="O1249" i="9" s="1"/>
  <c r="P1249" i="9" s="1"/>
  <c r="R1248" i="9"/>
  <c r="S1248" i="9"/>
  <c r="N1250" i="9" l="1"/>
  <c r="O1250" i="9" s="1"/>
  <c r="P1250" i="9" s="1"/>
  <c r="S1249" i="9"/>
  <c r="R1249" i="9"/>
  <c r="N1251" i="9" l="1"/>
  <c r="O1251" i="9" s="1"/>
  <c r="P1251" i="9" s="1"/>
  <c r="S1250" i="9"/>
  <c r="R1250" i="9"/>
  <c r="N1252" i="9" l="1"/>
  <c r="O1252" i="9" s="1"/>
  <c r="P1252" i="9" s="1"/>
  <c r="S1251" i="9"/>
  <c r="R1251" i="9"/>
  <c r="N1253" i="9" l="1"/>
  <c r="O1253" i="9" s="1"/>
  <c r="P1253" i="9" s="1"/>
  <c r="R1252" i="9"/>
  <c r="S1252" i="9"/>
  <c r="N1254" i="9" l="1"/>
  <c r="O1254" i="9" s="1"/>
  <c r="P1254" i="9" s="1"/>
  <c r="R1253" i="9"/>
  <c r="S1253" i="9"/>
  <c r="N1255" i="9" l="1"/>
  <c r="O1255" i="9" s="1"/>
  <c r="P1255" i="9" s="1"/>
  <c r="S1254" i="9"/>
  <c r="R1254" i="9"/>
  <c r="N1256" i="9" l="1"/>
  <c r="O1256" i="9" s="1"/>
  <c r="P1256" i="9" s="1"/>
  <c r="R1255" i="9"/>
  <c r="S1255" i="9"/>
  <c r="N1257" i="9" l="1"/>
  <c r="O1257" i="9" s="1"/>
  <c r="P1257" i="9" s="1"/>
  <c r="R1256" i="9"/>
  <c r="S1256" i="9"/>
  <c r="N1258" i="9" l="1"/>
  <c r="O1258" i="9" s="1"/>
  <c r="P1258" i="9" s="1"/>
  <c r="S1257" i="9"/>
  <c r="R1257" i="9"/>
  <c r="N1259" i="9" l="1"/>
  <c r="O1259" i="9" s="1"/>
  <c r="P1259" i="9" s="1"/>
  <c r="S1258" i="9"/>
  <c r="R1258" i="9"/>
  <c r="N1260" i="9" l="1"/>
  <c r="O1260" i="9" s="1"/>
  <c r="P1260" i="9" s="1"/>
  <c r="R1259" i="9"/>
  <c r="S1259" i="9"/>
  <c r="N1261" i="9" l="1"/>
  <c r="O1261" i="9" s="1"/>
  <c r="P1261" i="9" s="1"/>
  <c r="S1260" i="9"/>
  <c r="R1260" i="9"/>
  <c r="N1262" i="9" l="1"/>
  <c r="O1262" i="9" s="1"/>
  <c r="P1262" i="9" s="1"/>
  <c r="R1261" i="9"/>
  <c r="S1261" i="9"/>
  <c r="N1263" i="9" l="1"/>
  <c r="O1263" i="9" s="1"/>
  <c r="P1263" i="9" s="1"/>
  <c r="R1262" i="9"/>
  <c r="S1262" i="9"/>
  <c r="N1264" i="9" l="1"/>
  <c r="O1264" i="9" s="1"/>
  <c r="P1264" i="9" s="1"/>
  <c r="R1263" i="9"/>
  <c r="S1263" i="9"/>
  <c r="N1265" i="9" l="1"/>
  <c r="O1265" i="9" s="1"/>
  <c r="P1265" i="9" s="1"/>
  <c r="R1264" i="9"/>
  <c r="S1264" i="9"/>
  <c r="N1266" i="9" l="1"/>
  <c r="O1266" i="9" s="1"/>
  <c r="P1266" i="9" s="1"/>
  <c r="S1265" i="9"/>
  <c r="R1265" i="9"/>
  <c r="N1267" i="9" l="1"/>
  <c r="O1267" i="9" s="1"/>
  <c r="P1267" i="9" s="1"/>
  <c r="R1266" i="9"/>
  <c r="S1266" i="9"/>
  <c r="N1268" i="9" l="1"/>
  <c r="O1268" i="9" s="1"/>
  <c r="P1268" i="9" s="1"/>
  <c r="R1267" i="9"/>
  <c r="S1267" i="9"/>
  <c r="N1269" i="9" l="1"/>
  <c r="O1269" i="9" s="1"/>
  <c r="P1269" i="9" s="1"/>
  <c r="R1268" i="9"/>
  <c r="S1268" i="9"/>
  <c r="N1270" i="9" l="1"/>
  <c r="O1270" i="9" s="1"/>
  <c r="P1270" i="9" s="1"/>
  <c r="R1269" i="9"/>
  <c r="S1269" i="9"/>
  <c r="N1271" i="9" l="1"/>
  <c r="O1271" i="9" s="1"/>
  <c r="P1271" i="9" s="1"/>
  <c r="R1270" i="9"/>
  <c r="S1270" i="9"/>
  <c r="N1272" i="9" l="1"/>
  <c r="O1272" i="9" s="1"/>
  <c r="P1272" i="9" s="1"/>
  <c r="R1271" i="9"/>
  <c r="S1271" i="9"/>
  <c r="N1273" i="9" l="1"/>
  <c r="O1273" i="9" s="1"/>
  <c r="P1273" i="9" s="1"/>
  <c r="R1272" i="9"/>
  <c r="S1272" i="9"/>
  <c r="N1274" i="9" l="1"/>
  <c r="O1274" i="9" s="1"/>
  <c r="P1274" i="9" s="1"/>
  <c r="R1273" i="9"/>
  <c r="S1273" i="9"/>
  <c r="N1275" i="9" l="1"/>
  <c r="O1275" i="9" s="1"/>
  <c r="P1275" i="9" s="1"/>
  <c r="S1274" i="9"/>
  <c r="R1274" i="9"/>
  <c r="N1276" i="9" l="1"/>
  <c r="O1276" i="9" s="1"/>
  <c r="P1276" i="9" s="1"/>
  <c r="R1275" i="9"/>
  <c r="S1275" i="9"/>
  <c r="N1277" i="9" l="1"/>
  <c r="O1277" i="9" s="1"/>
  <c r="P1277" i="9" s="1"/>
  <c r="R1276" i="9"/>
  <c r="S1276" i="9"/>
  <c r="N1278" i="9" l="1"/>
  <c r="O1278" i="9" s="1"/>
  <c r="P1278" i="9" s="1"/>
  <c r="R1277" i="9"/>
  <c r="S1277" i="9"/>
  <c r="N1279" i="9" l="1"/>
  <c r="O1279" i="9" s="1"/>
  <c r="P1279" i="9" s="1"/>
  <c r="R1278" i="9"/>
  <c r="S1278" i="9"/>
  <c r="N1280" i="9" l="1"/>
  <c r="O1280" i="9" s="1"/>
  <c r="P1280" i="9" s="1"/>
  <c r="R1279" i="9"/>
  <c r="S1279" i="9"/>
  <c r="N1281" i="9" l="1"/>
  <c r="O1281" i="9" s="1"/>
  <c r="P1281" i="9" s="1"/>
  <c r="R1280" i="9"/>
  <c r="S1280" i="9"/>
  <c r="N1282" i="9" l="1"/>
  <c r="O1282" i="9" s="1"/>
  <c r="P1282" i="9" s="1"/>
  <c r="S1281" i="9"/>
  <c r="R1281" i="9"/>
  <c r="N1283" i="9" l="1"/>
  <c r="O1283" i="9" s="1"/>
  <c r="P1283" i="9" s="1"/>
  <c r="S1282" i="9"/>
  <c r="R1282" i="9"/>
  <c r="N1284" i="9" l="1"/>
  <c r="O1284" i="9" s="1"/>
  <c r="P1284" i="9" s="1"/>
  <c r="R1283" i="9"/>
  <c r="S1283" i="9"/>
  <c r="N1285" i="9" l="1"/>
  <c r="O1285" i="9" s="1"/>
  <c r="P1285" i="9" s="1"/>
  <c r="R1284" i="9"/>
  <c r="S1284" i="9"/>
  <c r="N1286" i="9" l="1"/>
  <c r="O1286" i="9" s="1"/>
  <c r="P1286" i="9" s="1"/>
  <c r="R1285" i="9"/>
  <c r="S1285" i="9"/>
  <c r="N1287" i="9" l="1"/>
  <c r="O1287" i="9" s="1"/>
  <c r="P1287" i="9" s="1"/>
  <c r="R1286" i="9"/>
  <c r="S1286" i="9"/>
  <c r="N1288" i="9" l="1"/>
  <c r="O1288" i="9" s="1"/>
  <c r="P1288" i="9" s="1"/>
  <c r="S1287" i="9"/>
  <c r="R1287" i="9"/>
  <c r="N1289" i="9" l="1"/>
  <c r="O1289" i="9" s="1"/>
  <c r="P1289" i="9" s="1"/>
  <c r="S1288" i="9"/>
  <c r="R1288" i="9"/>
  <c r="N1290" i="9" l="1"/>
  <c r="O1290" i="9" s="1"/>
  <c r="P1290" i="9" s="1"/>
  <c r="R1289" i="9"/>
  <c r="S1289" i="9"/>
  <c r="N1291" i="9" l="1"/>
  <c r="O1291" i="9" s="1"/>
  <c r="P1291" i="9" s="1"/>
  <c r="R1290" i="9"/>
  <c r="S1290" i="9"/>
  <c r="N1292" i="9" l="1"/>
  <c r="O1292" i="9" s="1"/>
  <c r="P1292" i="9" s="1"/>
  <c r="R1291" i="9"/>
  <c r="S1291" i="9"/>
  <c r="N1293" i="9" l="1"/>
  <c r="O1293" i="9" s="1"/>
  <c r="P1293" i="9" s="1"/>
  <c r="R1292" i="9"/>
  <c r="S1292" i="9"/>
  <c r="N1294" i="9" l="1"/>
  <c r="O1294" i="9" s="1"/>
  <c r="P1294" i="9" s="1"/>
  <c r="R1293" i="9"/>
  <c r="S1293" i="9"/>
  <c r="N1295" i="9" l="1"/>
  <c r="O1295" i="9" s="1"/>
  <c r="P1295" i="9" s="1"/>
  <c r="R1294" i="9"/>
  <c r="S1294" i="9"/>
  <c r="N1296" i="9" l="1"/>
  <c r="O1296" i="9" s="1"/>
  <c r="P1296" i="9" s="1"/>
  <c r="R1295" i="9"/>
  <c r="S1295" i="9"/>
  <c r="N1297" i="9" l="1"/>
  <c r="O1297" i="9" s="1"/>
  <c r="P1297" i="9" s="1"/>
  <c r="S1296" i="9"/>
  <c r="R1296" i="9"/>
  <c r="N1298" i="9" l="1"/>
  <c r="O1298" i="9" s="1"/>
  <c r="P1298" i="9" s="1"/>
  <c r="R1297" i="9"/>
  <c r="S1297" i="9"/>
  <c r="N1299" i="9" l="1"/>
  <c r="O1299" i="9" s="1"/>
  <c r="P1299" i="9" s="1"/>
  <c r="S1298" i="9"/>
  <c r="R1298" i="9"/>
  <c r="N1300" i="9" l="1"/>
  <c r="O1300" i="9" s="1"/>
  <c r="P1300" i="9" s="1"/>
  <c r="R1299" i="9"/>
  <c r="S1299" i="9"/>
  <c r="S1300" i="9" l="1"/>
  <c r="N1301" i="9"/>
  <c r="O1301" i="9" s="1"/>
  <c r="P1301" i="9" s="1"/>
  <c r="R1300" i="9"/>
  <c r="N1302" i="9" l="1"/>
  <c r="O1302" i="9" s="1"/>
  <c r="P1302" i="9" s="1"/>
  <c r="R1301" i="9"/>
  <c r="S1301" i="9"/>
  <c r="N1303" i="9" l="1"/>
  <c r="O1303" i="9" s="1"/>
  <c r="P1303" i="9" s="1"/>
  <c r="S1302" i="9"/>
  <c r="R1302" i="9"/>
  <c r="N1304" i="9" l="1"/>
  <c r="O1304" i="9" s="1"/>
  <c r="P1304" i="9" s="1"/>
  <c r="R1303" i="9"/>
  <c r="S1303" i="9"/>
  <c r="N1305" i="9" l="1"/>
  <c r="O1305" i="9" s="1"/>
  <c r="P1305" i="9" s="1"/>
  <c r="S1304" i="9"/>
  <c r="R1304" i="9"/>
  <c r="N1306" i="9" l="1"/>
  <c r="O1306" i="9" s="1"/>
  <c r="P1306" i="9" s="1"/>
  <c r="R1305" i="9"/>
  <c r="S1305" i="9"/>
  <c r="N1307" i="9" l="1"/>
  <c r="O1307" i="9" s="1"/>
  <c r="P1307" i="9" s="1"/>
  <c r="S1306" i="9"/>
  <c r="R1306" i="9"/>
  <c r="N1308" i="9" l="1"/>
  <c r="O1308" i="9" s="1"/>
  <c r="P1308" i="9" s="1"/>
  <c r="R1307" i="9"/>
  <c r="S1307" i="9"/>
  <c r="N1309" i="9" l="1"/>
  <c r="O1309" i="9" s="1"/>
  <c r="P1309" i="9" s="1"/>
  <c r="S1308" i="9"/>
  <c r="R1308" i="9"/>
  <c r="N1310" i="9" l="1"/>
  <c r="O1310" i="9" s="1"/>
  <c r="P1310" i="9" s="1"/>
  <c r="R1309" i="9"/>
  <c r="S1309" i="9"/>
  <c r="N1311" i="9" l="1"/>
  <c r="O1311" i="9" s="1"/>
  <c r="P1311" i="9" s="1"/>
  <c r="S1310" i="9"/>
  <c r="R1310" i="9"/>
  <c r="N1312" i="9" l="1"/>
  <c r="O1312" i="9" s="1"/>
  <c r="P1312" i="9" s="1"/>
  <c r="R1311" i="9"/>
  <c r="S1311" i="9"/>
  <c r="N1313" i="9" l="1"/>
  <c r="O1313" i="9" s="1"/>
  <c r="P1313" i="9" s="1"/>
  <c r="S1312" i="9"/>
  <c r="R1312" i="9"/>
  <c r="N1314" i="9" l="1"/>
  <c r="O1314" i="9" s="1"/>
  <c r="P1314" i="9" s="1"/>
  <c r="R1313" i="9"/>
  <c r="S1313" i="9"/>
  <c r="N1315" i="9" l="1"/>
  <c r="O1315" i="9" s="1"/>
  <c r="P1315" i="9" s="1"/>
  <c r="S1314" i="9"/>
  <c r="R1314" i="9"/>
  <c r="N1316" i="9" l="1"/>
  <c r="O1316" i="9" s="1"/>
  <c r="P1316" i="9" s="1"/>
  <c r="R1315" i="9"/>
  <c r="S1315" i="9"/>
  <c r="N1317" i="9" l="1"/>
  <c r="O1317" i="9" s="1"/>
  <c r="P1317" i="9" s="1"/>
  <c r="S1316" i="9"/>
  <c r="R1316" i="9"/>
  <c r="N1318" i="9" l="1"/>
  <c r="O1318" i="9" s="1"/>
  <c r="P1318" i="9" s="1"/>
  <c r="R1317" i="9"/>
  <c r="S1317" i="9"/>
  <c r="N1319" i="9" l="1"/>
  <c r="O1319" i="9" s="1"/>
  <c r="P1319" i="9" s="1"/>
  <c r="S1318" i="9"/>
  <c r="R1318" i="9"/>
  <c r="N1320" i="9" l="1"/>
  <c r="O1320" i="9" s="1"/>
  <c r="P1320" i="9" s="1"/>
  <c r="R1319" i="9"/>
  <c r="S1319" i="9"/>
  <c r="N1321" i="9" l="1"/>
  <c r="O1321" i="9" s="1"/>
  <c r="P1321" i="9" s="1"/>
  <c r="S1320" i="9"/>
  <c r="R1320" i="9"/>
  <c r="N1322" i="9" l="1"/>
  <c r="O1322" i="9" s="1"/>
  <c r="P1322" i="9" s="1"/>
  <c r="S1321" i="9"/>
  <c r="R1321" i="9"/>
  <c r="N1323" i="9" l="1"/>
  <c r="O1323" i="9" s="1"/>
  <c r="P1323" i="9" s="1"/>
  <c r="R1322" i="9"/>
  <c r="S1322" i="9"/>
  <c r="N1324" i="9" l="1"/>
  <c r="O1324" i="9" s="1"/>
  <c r="P1324" i="9" s="1"/>
  <c r="R1323" i="9"/>
  <c r="S1323" i="9"/>
  <c r="N1325" i="9" l="1"/>
  <c r="O1325" i="9" s="1"/>
  <c r="P1325" i="9" s="1"/>
  <c r="R1324" i="9"/>
  <c r="S1324" i="9"/>
  <c r="N1326" i="9" l="1"/>
  <c r="O1326" i="9" s="1"/>
  <c r="P1326" i="9" s="1"/>
  <c r="R1325" i="9"/>
  <c r="S1325" i="9"/>
  <c r="N1327" i="9" l="1"/>
  <c r="O1327" i="9" s="1"/>
  <c r="P1327" i="9" s="1"/>
  <c r="S1326" i="9"/>
  <c r="R1326" i="9"/>
  <c r="N1328" i="9" l="1"/>
  <c r="O1328" i="9" s="1"/>
  <c r="P1328" i="9" s="1"/>
  <c r="S1327" i="9"/>
  <c r="R1327" i="9"/>
  <c r="N1329" i="9" l="1"/>
  <c r="O1329" i="9" s="1"/>
  <c r="P1329" i="9" s="1"/>
  <c r="R1328" i="9"/>
  <c r="S1328" i="9"/>
  <c r="N1330" i="9" l="1"/>
  <c r="O1330" i="9" s="1"/>
  <c r="P1330" i="9" s="1"/>
  <c r="S1329" i="9"/>
  <c r="R1329" i="9"/>
  <c r="N1331" i="9" l="1"/>
  <c r="O1331" i="9" s="1"/>
  <c r="P1331" i="9" s="1"/>
  <c r="R1330" i="9"/>
  <c r="S1330" i="9"/>
  <c r="N1332" i="9" l="1"/>
  <c r="O1332" i="9" s="1"/>
  <c r="P1332" i="9" s="1"/>
  <c r="S1331" i="9"/>
  <c r="R1331" i="9"/>
  <c r="N1333" i="9" l="1"/>
  <c r="O1333" i="9" s="1"/>
  <c r="P1333" i="9" s="1"/>
  <c r="R1332" i="9"/>
  <c r="S1332" i="9"/>
  <c r="N1334" i="9" l="1"/>
  <c r="O1334" i="9" s="1"/>
  <c r="P1334" i="9" s="1"/>
  <c r="S1333" i="9"/>
  <c r="R1333" i="9"/>
  <c r="N1335" i="9" l="1"/>
  <c r="O1335" i="9" s="1"/>
  <c r="P1335" i="9" s="1"/>
  <c r="R1334" i="9"/>
  <c r="S1334" i="9"/>
  <c r="N1336" i="9" l="1"/>
  <c r="O1336" i="9" s="1"/>
  <c r="P1336" i="9" s="1"/>
  <c r="S1335" i="9"/>
  <c r="R1335" i="9"/>
  <c r="N1337" i="9" l="1"/>
  <c r="O1337" i="9" s="1"/>
  <c r="P1337" i="9" s="1"/>
  <c r="R1336" i="9"/>
  <c r="S1336" i="9"/>
  <c r="N1338" i="9" l="1"/>
  <c r="O1338" i="9" s="1"/>
  <c r="P1338" i="9" s="1"/>
  <c r="R1337" i="9"/>
  <c r="S1337" i="9"/>
  <c r="S1338" i="9" l="1"/>
  <c r="N1339" i="9"/>
  <c r="O1339" i="9" s="1"/>
  <c r="P1339" i="9" s="1"/>
  <c r="R1338" i="9"/>
  <c r="N1340" i="9" l="1"/>
  <c r="O1340" i="9" s="1"/>
  <c r="P1340" i="9" s="1"/>
  <c r="R1339" i="9"/>
  <c r="S1339" i="9"/>
  <c r="N1341" i="9" l="1"/>
  <c r="O1341" i="9" s="1"/>
  <c r="P1341" i="9" s="1"/>
  <c r="S1340" i="9"/>
  <c r="R1340" i="9"/>
  <c r="N1342" i="9" l="1"/>
  <c r="O1342" i="9" s="1"/>
  <c r="P1342" i="9" s="1"/>
  <c r="R1341" i="9"/>
  <c r="S1341" i="9"/>
  <c r="N1343" i="9" l="1"/>
  <c r="O1343" i="9" s="1"/>
  <c r="P1343" i="9" s="1"/>
  <c r="R1342" i="9"/>
  <c r="S1342" i="9"/>
  <c r="N1344" i="9" l="1"/>
  <c r="O1344" i="9" s="1"/>
  <c r="P1344" i="9" s="1"/>
  <c r="R1343" i="9"/>
  <c r="S1343" i="9"/>
  <c r="N1345" i="9" l="1"/>
  <c r="O1345" i="9" s="1"/>
  <c r="P1345" i="9" s="1"/>
  <c r="R1344" i="9"/>
  <c r="S1344" i="9"/>
  <c r="N1346" i="9" l="1"/>
  <c r="O1346" i="9" s="1"/>
  <c r="P1346" i="9" s="1"/>
  <c r="R1345" i="9"/>
  <c r="S1345" i="9"/>
  <c r="N1347" i="9" l="1"/>
  <c r="O1347" i="9" s="1"/>
  <c r="P1347" i="9" s="1"/>
  <c r="R1346" i="9"/>
  <c r="S1346" i="9"/>
  <c r="N1348" i="9" l="1"/>
  <c r="O1348" i="9" s="1"/>
  <c r="P1348" i="9" s="1"/>
  <c r="R1347" i="9"/>
  <c r="S1347" i="9"/>
  <c r="N1349" i="9" l="1"/>
  <c r="O1349" i="9" s="1"/>
  <c r="P1349" i="9" s="1"/>
  <c r="R1348" i="9"/>
  <c r="S1348" i="9"/>
  <c r="N1350" i="9" l="1"/>
  <c r="O1350" i="9" s="1"/>
  <c r="P1350" i="9" s="1"/>
  <c r="R1349" i="9"/>
  <c r="S1349" i="9"/>
  <c r="N1351" i="9" l="1"/>
  <c r="O1351" i="9" s="1"/>
  <c r="P1351" i="9" s="1"/>
  <c r="R1350" i="9"/>
  <c r="S1350" i="9"/>
  <c r="N1352" i="9" l="1"/>
  <c r="O1352" i="9" s="1"/>
  <c r="P1352" i="9" s="1"/>
  <c r="R1351" i="9"/>
  <c r="S1351" i="9"/>
  <c r="N1353" i="9" l="1"/>
  <c r="O1353" i="9" s="1"/>
  <c r="P1353" i="9" s="1"/>
  <c r="R1352" i="9"/>
  <c r="S1352" i="9"/>
  <c r="N1354" i="9" l="1"/>
  <c r="O1354" i="9" s="1"/>
  <c r="P1354" i="9" s="1"/>
  <c r="R1353" i="9"/>
  <c r="S1353" i="9"/>
  <c r="N1355" i="9" l="1"/>
  <c r="O1355" i="9" s="1"/>
  <c r="P1355" i="9" s="1"/>
  <c r="R1354" i="9"/>
  <c r="S1354" i="9"/>
  <c r="N1356" i="9" l="1"/>
  <c r="O1356" i="9" s="1"/>
  <c r="P1356" i="9" s="1"/>
  <c r="R1355" i="9"/>
  <c r="S1355" i="9"/>
  <c r="N1357" i="9" l="1"/>
  <c r="O1357" i="9" s="1"/>
  <c r="P1357" i="9" s="1"/>
  <c r="R1356" i="9"/>
  <c r="S1356" i="9"/>
  <c r="N1358" i="9" l="1"/>
  <c r="O1358" i="9" s="1"/>
  <c r="P1358" i="9" s="1"/>
  <c r="R1357" i="9"/>
  <c r="S1357" i="9"/>
  <c r="N1359" i="9" l="1"/>
  <c r="O1359" i="9" s="1"/>
  <c r="P1359" i="9" s="1"/>
  <c r="R1358" i="9"/>
  <c r="S1358" i="9"/>
  <c r="N1360" i="9" l="1"/>
  <c r="O1360" i="9" s="1"/>
  <c r="P1360" i="9" s="1"/>
  <c r="R1359" i="9"/>
  <c r="S1359" i="9"/>
  <c r="N1361" i="9" l="1"/>
  <c r="O1361" i="9" s="1"/>
  <c r="P1361" i="9" s="1"/>
  <c r="R1360" i="9"/>
  <c r="S1360" i="9"/>
  <c r="N1362" i="9" l="1"/>
  <c r="O1362" i="9" s="1"/>
  <c r="P1362" i="9" s="1"/>
  <c r="R1361" i="9"/>
  <c r="S1361" i="9"/>
  <c r="N1363" i="9" l="1"/>
  <c r="O1363" i="9" s="1"/>
  <c r="P1363" i="9" s="1"/>
  <c r="R1362" i="9"/>
  <c r="S1362" i="9"/>
  <c r="N1364" i="9" l="1"/>
  <c r="O1364" i="9" s="1"/>
  <c r="P1364" i="9" s="1"/>
  <c r="R1363" i="9"/>
  <c r="S1363" i="9"/>
  <c r="N1365" i="9" l="1"/>
  <c r="O1365" i="9" s="1"/>
  <c r="P1365" i="9" s="1"/>
  <c r="R1364" i="9"/>
  <c r="S1364" i="9"/>
  <c r="N1366" i="9" l="1"/>
  <c r="O1366" i="9" s="1"/>
  <c r="P1366" i="9" s="1"/>
  <c r="S1365" i="9"/>
  <c r="R1365" i="9"/>
  <c r="N1367" i="9" l="1"/>
  <c r="O1367" i="9" s="1"/>
  <c r="P1367" i="9" s="1"/>
  <c r="R1366" i="9"/>
  <c r="S1366" i="9"/>
  <c r="N1368" i="9" l="1"/>
  <c r="O1368" i="9" s="1"/>
  <c r="P1368" i="9" s="1"/>
  <c r="S1367" i="9"/>
  <c r="R1367" i="9"/>
  <c r="N1369" i="9" l="1"/>
  <c r="O1369" i="9" s="1"/>
  <c r="P1369" i="9" s="1"/>
  <c r="R1368" i="9"/>
  <c r="S1368" i="9"/>
  <c r="N1370" i="9" l="1"/>
  <c r="O1370" i="9" s="1"/>
  <c r="P1370" i="9" s="1"/>
  <c r="S1369" i="9"/>
  <c r="R1369" i="9"/>
  <c r="N1371" i="9" l="1"/>
  <c r="O1371" i="9" s="1"/>
  <c r="P1371" i="9" s="1"/>
  <c r="R1370" i="9"/>
  <c r="S1370" i="9"/>
  <c r="N1372" i="9" l="1"/>
  <c r="O1372" i="9" s="1"/>
  <c r="P1372" i="9" s="1"/>
  <c r="S1371" i="9"/>
  <c r="R1371" i="9"/>
  <c r="N1373" i="9" l="1"/>
  <c r="O1373" i="9" s="1"/>
  <c r="P1373" i="9" s="1"/>
  <c r="R1372" i="9"/>
  <c r="S1372" i="9"/>
  <c r="N1374" i="9" l="1"/>
  <c r="O1374" i="9" s="1"/>
  <c r="P1374" i="9" s="1"/>
  <c r="S1373" i="9"/>
  <c r="R1373" i="9"/>
  <c r="N1375" i="9" l="1"/>
  <c r="O1375" i="9" s="1"/>
  <c r="P1375" i="9" s="1"/>
  <c r="R1374" i="9"/>
  <c r="S1374" i="9"/>
  <c r="N1376" i="9" l="1"/>
  <c r="O1376" i="9" s="1"/>
  <c r="P1376" i="9" s="1"/>
  <c r="S1375" i="9"/>
  <c r="R1375" i="9"/>
  <c r="N1377" i="9" l="1"/>
  <c r="O1377" i="9" s="1"/>
  <c r="P1377" i="9" s="1"/>
  <c r="R1376" i="9"/>
  <c r="S1376" i="9"/>
  <c r="N1378" i="9" l="1"/>
  <c r="O1378" i="9" s="1"/>
  <c r="P1378" i="9" s="1"/>
  <c r="S1377" i="9"/>
  <c r="R1377" i="9"/>
  <c r="N1379" i="9" l="1"/>
  <c r="O1379" i="9" s="1"/>
  <c r="P1379" i="9" s="1"/>
  <c r="R1378" i="9"/>
  <c r="S1378" i="9"/>
  <c r="N1380" i="9" l="1"/>
  <c r="O1380" i="9" s="1"/>
  <c r="P1380" i="9" s="1"/>
  <c r="S1379" i="9"/>
  <c r="R1379" i="9"/>
  <c r="N1381" i="9" l="1"/>
  <c r="O1381" i="9" s="1"/>
  <c r="P1381" i="9" s="1"/>
  <c r="R1380" i="9"/>
  <c r="S1380" i="9"/>
  <c r="N1382" i="9" l="1"/>
  <c r="O1382" i="9" s="1"/>
  <c r="P1382" i="9" s="1"/>
  <c r="R1381" i="9"/>
  <c r="S1381" i="9"/>
  <c r="N1383" i="9" l="1"/>
  <c r="O1383" i="9" s="1"/>
  <c r="P1383" i="9" s="1"/>
  <c r="R1382" i="9"/>
  <c r="S1382" i="9"/>
  <c r="N1384" i="9" l="1"/>
  <c r="O1384" i="9" s="1"/>
  <c r="P1384" i="9" s="1"/>
  <c r="R1383" i="9"/>
  <c r="S1383" i="9"/>
  <c r="N1385" i="9" l="1"/>
  <c r="O1385" i="9" s="1"/>
  <c r="P1385" i="9" s="1"/>
  <c r="R1384" i="9"/>
  <c r="S1384" i="9"/>
  <c r="N1386" i="9" l="1"/>
  <c r="O1386" i="9" s="1"/>
  <c r="P1386" i="9" s="1"/>
  <c r="R1385" i="9"/>
  <c r="S1385" i="9"/>
  <c r="N1387" i="9" l="1"/>
  <c r="O1387" i="9" s="1"/>
  <c r="P1387" i="9" s="1"/>
  <c r="R1386" i="9"/>
  <c r="S1386" i="9"/>
  <c r="N1388" i="9" l="1"/>
  <c r="O1388" i="9" s="1"/>
  <c r="P1388" i="9" s="1"/>
  <c r="R1387" i="9"/>
  <c r="S1387" i="9"/>
  <c r="R1388" i="9" l="1"/>
  <c r="N1389" i="9"/>
  <c r="O1389" i="9" s="1"/>
  <c r="P1389" i="9" s="1"/>
  <c r="S1388" i="9"/>
  <c r="N1390" i="9" l="1"/>
  <c r="O1390" i="9" s="1"/>
  <c r="P1390" i="9" s="1"/>
  <c r="R1389" i="9"/>
  <c r="S1389" i="9"/>
  <c r="N1391" i="9" l="1"/>
  <c r="O1391" i="9" s="1"/>
  <c r="P1391" i="9" s="1"/>
  <c r="R1390" i="9"/>
  <c r="S1390" i="9"/>
  <c r="N1392" i="9" l="1"/>
  <c r="O1392" i="9" s="1"/>
  <c r="P1392" i="9" s="1"/>
  <c r="R1391" i="9"/>
  <c r="S1391" i="9"/>
  <c r="N1393" i="9" l="1"/>
  <c r="O1393" i="9" s="1"/>
  <c r="P1393" i="9" s="1"/>
  <c r="R1392" i="9"/>
  <c r="S1392" i="9"/>
  <c r="N1394" i="9" l="1"/>
  <c r="O1394" i="9" s="1"/>
  <c r="P1394" i="9" s="1"/>
  <c r="R1393" i="9"/>
  <c r="S1393" i="9"/>
  <c r="N1395" i="9" l="1"/>
  <c r="O1395" i="9" s="1"/>
  <c r="P1395" i="9" s="1"/>
  <c r="R1394" i="9"/>
  <c r="S1394" i="9"/>
  <c r="N1396" i="9" l="1"/>
  <c r="O1396" i="9" s="1"/>
  <c r="P1396" i="9" s="1"/>
  <c r="R1395" i="9"/>
  <c r="S1395" i="9"/>
  <c r="N1397" i="9" l="1"/>
  <c r="O1397" i="9" s="1"/>
  <c r="P1397" i="9" s="1"/>
  <c r="S1396" i="9"/>
  <c r="R1396" i="9"/>
  <c r="N1398" i="9" l="1"/>
  <c r="O1398" i="9" s="1"/>
  <c r="P1398" i="9" s="1"/>
  <c r="R1397" i="9"/>
  <c r="S1397" i="9"/>
  <c r="N1399" i="9" l="1"/>
  <c r="O1399" i="9" s="1"/>
  <c r="P1399" i="9" s="1"/>
  <c r="S1398" i="9"/>
  <c r="R1398" i="9"/>
  <c r="N1400" i="9" l="1"/>
  <c r="O1400" i="9" s="1"/>
  <c r="P1400" i="9" s="1"/>
  <c r="R1399" i="9"/>
  <c r="S1399" i="9"/>
  <c r="N1401" i="9" l="1"/>
  <c r="O1401" i="9" s="1"/>
  <c r="P1401" i="9" s="1"/>
  <c r="S1400" i="9"/>
  <c r="R1400" i="9"/>
  <c r="N1402" i="9" l="1"/>
  <c r="O1402" i="9" s="1"/>
  <c r="P1402" i="9" s="1"/>
  <c r="R1401" i="9"/>
  <c r="S1401" i="9"/>
  <c r="N1403" i="9" l="1"/>
  <c r="O1403" i="9" s="1"/>
  <c r="P1403" i="9" s="1"/>
  <c r="S1402" i="9"/>
  <c r="R1402" i="9"/>
  <c r="N1404" i="9" l="1"/>
  <c r="O1404" i="9" s="1"/>
  <c r="P1404" i="9" s="1"/>
  <c r="R1403" i="9"/>
  <c r="S1403" i="9"/>
  <c r="N1405" i="9" l="1"/>
  <c r="O1405" i="9" s="1"/>
  <c r="P1405" i="9" s="1"/>
  <c r="S1404" i="9"/>
  <c r="R1404" i="9"/>
  <c r="N1406" i="9" l="1"/>
  <c r="O1406" i="9" s="1"/>
  <c r="P1406" i="9" s="1"/>
  <c r="R1405" i="9"/>
  <c r="S1405" i="9"/>
  <c r="N1407" i="9" l="1"/>
  <c r="O1407" i="9" s="1"/>
  <c r="P1407" i="9" s="1"/>
  <c r="S1406" i="9"/>
  <c r="R1406" i="9"/>
  <c r="N1408" i="9" l="1"/>
  <c r="O1408" i="9" s="1"/>
  <c r="P1408" i="9" s="1"/>
  <c r="R1407" i="9"/>
  <c r="S1407" i="9"/>
  <c r="N1409" i="9" l="1"/>
  <c r="O1409" i="9" s="1"/>
  <c r="P1409" i="9" s="1"/>
  <c r="S1408" i="9"/>
  <c r="R1408" i="9"/>
  <c r="N1410" i="9" l="1"/>
  <c r="O1410" i="9" s="1"/>
  <c r="P1410" i="9" s="1"/>
  <c r="R1409" i="9"/>
  <c r="S1409" i="9"/>
  <c r="N1411" i="9" l="1"/>
  <c r="O1411" i="9" s="1"/>
  <c r="P1411" i="9" s="1"/>
  <c r="S1410" i="9"/>
  <c r="R1410" i="9"/>
  <c r="N1412" i="9" l="1"/>
  <c r="O1412" i="9" s="1"/>
  <c r="P1412" i="9" s="1"/>
  <c r="R1411" i="9"/>
  <c r="S1411" i="9"/>
  <c r="N1413" i="9" l="1"/>
  <c r="O1413" i="9" s="1"/>
  <c r="P1413" i="9" s="1"/>
  <c r="R1412" i="9"/>
  <c r="S1412" i="9"/>
  <c r="N1414" i="9" l="1"/>
  <c r="O1414" i="9" s="1"/>
  <c r="P1414" i="9" s="1"/>
  <c r="R1413" i="9"/>
  <c r="S1413" i="9"/>
  <c r="N1415" i="9" l="1"/>
  <c r="O1415" i="9" s="1"/>
  <c r="P1415" i="9" s="1"/>
  <c r="R1414" i="9"/>
  <c r="S1414" i="9"/>
  <c r="N1416" i="9" l="1"/>
  <c r="O1416" i="9" s="1"/>
  <c r="P1416" i="9" s="1"/>
  <c r="R1415" i="9"/>
  <c r="S1415" i="9"/>
  <c r="N1417" i="9" l="1"/>
  <c r="O1417" i="9" s="1"/>
  <c r="P1417" i="9" s="1"/>
  <c r="R1416" i="9"/>
  <c r="S1416" i="9"/>
  <c r="N1418" i="9" l="1"/>
  <c r="O1418" i="9" s="1"/>
  <c r="P1418" i="9" s="1"/>
  <c r="R1417" i="9"/>
  <c r="S1417" i="9"/>
  <c r="N1419" i="9" l="1"/>
  <c r="O1419" i="9" s="1"/>
  <c r="P1419" i="9" s="1"/>
  <c r="R1418" i="9"/>
  <c r="S1418" i="9"/>
  <c r="N1420" i="9" l="1"/>
  <c r="O1420" i="9" s="1"/>
  <c r="P1420" i="9" s="1"/>
  <c r="R1419" i="9"/>
  <c r="S1419" i="9"/>
  <c r="R1420" i="9" l="1"/>
  <c r="N1421" i="9"/>
  <c r="O1421" i="9" s="1"/>
  <c r="P1421" i="9" s="1"/>
  <c r="S1420" i="9"/>
  <c r="N1422" i="9" l="1"/>
  <c r="O1422" i="9" s="1"/>
  <c r="P1422" i="9" s="1"/>
  <c r="R1421" i="9"/>
  <c r="S1421" i="9"/>
  <c r="N1423" i="9" l="1"/>
  <c r="O1423" i="9" s="1"/>
  <c r="P1423" i="9" s="1"/>
  <c r="R1422" i="9"/>
  <c r="S1422" i="9"/>
  <c r="N1424" i="9" l="1"/>
  <c r="O1424" i="9" s="1"/>
  <c r="P1424" i="9" s="1"/>
  <c r="R1423" i="9"/>
  <c r="S1423" i="9"/>
  <c r="N1425" i="9" l="1"/>
  <c r="O1425" i="9" s="1"/>
  <c r="P1425" i="9" s="1"/>
  <c r="R1424" i="9"/>
  <c r="S1424" i="9"/>
  <c r="N1426" i="9" l="1"/>
  <c r="O1426" i="9" s="1"/>
  <c r="P1426" i="9" s="1"/>
  <c r="R1425" i="9"/>
  <c r="S1425" i="9"/>
  <c r="N1427" i="9" l="1"/>
  <c r="O1427" i="9" s="1"/>
  <c r="P1427" i="9" s="1"/>
  <c r="R1426" i="9"/>
  <c r="S1426" i="9"/>
  <c r="N1428" i="9" l="1"/>
  <c r="O1428" i="9" s="1"/>
  <c r="P1428" i="9" s="1"/>
  <c r="S1427" i="9"/>
  <c r="R1427" i="9"/>
  <c r="N1429" i="9" l="1"/>
  <c r="O1429" i="9" s="1"/>
  <c r="P1429" i="9" s="1"/>
  <c r="R1428" i="9"/>
  <c r="S1428" i="9"/>
  <c r="N1430" i="9" l="1"/>
  <c r="O1430" i="9" s="1"/>
  <c r="P1430" i="9" s="1"/>
  <c r="S1429" i="9"/>
  <c r="R1429" i="9"/>
  <c r="N1431" i="9" l="1"/>
  <c r="O1431" i="9" s="1"/>
  <c r="P1431" i="9" s="1"/>
  <c r="R1430" i="9"/>
  <c r="S1430" i="9"/>
  <c r="N1432" i="9" l="1"/>
  <c r="O1432" i="9" s="1"/>
  <c r="P1432" i="9" s="1"/>
  <c r="S1431" i="9"/>
  <c r="R1431" i="9"/>
  <c r="N1433" i="9" l="1"/>
  <c r="O1433" i="9" s="1"/>
  <c r="P1433" i="9" s="1"/>
  <c r="R1432" i="9"/>
  <c r="S1432" i="9"/>
  <c r="N1434" i="9" l="1"/>
  <c r="O1434" i="9" s="1"/>
  <c r="P1434" i="9" s="1"/>
  <c r="S1433" i="9"/>
  <c r="R1433" i="9"/>
  <c r="N1435" i="9" l="1"/>
  <c r="O1435" i="9" s="1"/>
  <c r="P1435" i="9" s="1"/>
  <c r="R1434" i="9"/>
  <c r="S1434" i="9"/>
  <c r="N1436" i="9" l="1"/>
  <c r="O1436" i="9" s="1"/>
  <c r="P1436" i="9" s="1"/>
  <c r="S1435" i="9"/>
  <c r="R1435" i="9"/>
  <c r="N1437" i="9" l="1"/>
  <c r="O1437" i="9" s="1"/>
  <c r="P1437" i="9" s="1"/>
  <c r="R1436" i="9"/>
  <c r="S1436" i="9"/>
  <c r="N1438" i="9" l="1"/>
  <c r="O1438" i="9" s="1"/>
  <c r="P1438" i="9" s="1"/>
  <c r="S1437" i="9"/>
  <c r="R1437" i="9"/>
  <c r="N1439" i="9" l="1"/>
  <c r="O1439" i="9" s="1"/>
  <c r="P1439" i="9" s="1"/>
  <c r="R1438" i="9"/>
  <c r="S1438" i="9"/>
  <c r="N1440" i="9" l="1"/>
  <c r="O1440" i="9" s="1"/>
  <c r="P1440" i="9" s="1"/>
  <c r="R1439" i="9"/>
  <c r="S1439" i="9"/>
  <c r="N1441" i="9" l="1"/>
  <c r="O1441" i="9" s="1"/>
  <c r="P1441" i="9" s="1"/>
  <c r="R1440" i="9"/>
  <c r="S1440" i="9"/>
  <c r="N1442" i="9" l="1"/>
  <c r="O1442" i="9" s="1"/>
  <c r="P1442" i="9" s="1"/>
  <c r="R1441" i="9"/>
  <c r="S1441" i="9"/>
  <c r="N1443" i="9" l="1"/>
  <c r="O1443" i="9" s="1"/>
  <c r="P1443" i="9" s="1"/>
  <c r="R1442" i="9"/>
  <c r="S1442" i="9"/>
  <c r="N1444" i="9" l="1"/>
  <c r="O1444" i="9" s="1"/>
  <c r="P1444" i="9" s="1"/>
  <c r="R1443" i="9"/>
  <c r="S1443" i="9"/>
  <c r="N1445" i="9" l="1"/>
  <c r="O1445" i="9" s="1"/>
  <c r="P1445" i="9" s="1"/>
  <c r="R1444" i="9"/>
  <c r="S1444" i="9"/>
  <c r="N1446" i="9" l="1"/>
  <c r="O1446" i="9" s="1"/>
  <c r="P1446" i="9" s="1"/>
  <c r="R1445" i="9"/>
  <c r="S1445" i="9"/>
  <c r="N1447" i="9" l="1"/>
  <c r="O1447" i="9" s="1"/>
  <c r="P1447" i="9" s="1"/>
  <c r="R1446" i="9"/>
  <c r="S1446" i="9"/>
  <c r="N1448" i="9" l="1"/>
  <c r="O1448" i="9" s="1"/>
  <c r="P1448" i="9" s="1"/>
  <c r="R1447" i="9"/>
  <c r="S1447" i="9"/>
  <c r="N1449" i="9" l="1"/>
  <c r="O1449" i="9" s="1"/>
  <c r="P1449" i="9" s="1"/>
  <c r="R1448" i="9"/>
  <c r="S1448" i="9"/>
  <c r="N1450" i="9" l="1"/>
  <c r="O1450" i="9" s="1"/>
  <c r="P1450" i="9" s="1"/>
  <c r="R1449" i="9"/>
  <c r="S1449" i="9"/>
  <c r="N1451" i="9" l="1"/>
  <c r="O1451" i="9" s="1"/>
  <c r="P1451" i="9" s="1"/>
  <c r="R1450" i="9"/>
  <c r="S1450" i="9"/>
  <c r="N1452" i="9" l="1"/>
  <c r="O1452" i="9" s="1"/>
  <c r="P1452" i="9" s="1"/>
  <c r="R1451" i="9"/>
  <c r="S1451" i="9"/>
  <c r="N1453" i="9" l="1"/>
  <c r="O1453" i="9" s="1"/>
  <c r="P1453" i="9" s="1"/>
  <c r="R1452" i="9"/>
  <c r="S1452" i="9"/>
  <c r="N1454" i="9" l="1"/>
  <c r="O1454" i="9" s="1"/>
  <c r="P1454" i="9" s="1"/>
  <c r="R1453" i="9"/>
  <c r="S1453" i="9"/>
  <c r="N1455" i="9" l="1"/>
  <c r="O1455" i="9" s="1"/>
  <c r="P1455" i="9" s="1"/>
  <c r="S1454" i="9"/>
  <c r="R1454" i="9"/>
  <c r="N1456" i="9" l="1"/>
  <c r="O1456" i="9" s="1"/>
  <c r="P1456" i="9" s="1"/>
  <c r="R1455" i="9"/>
  <c r="S1455" i="9"/>
  <c r="N1457" i="9" l="1"/>
  <c r="O1457" i="9" s="1"/>
  <c r="P1457" i="9" s="1"/>
  <c r="S1456" i="9"/>
  <c r="R1456" i="9"/>
  <c r="N1458" i="9" l="1"/>
  <c r="O1458" i="9" s="1"/>
  <c r="P1458" i="9" s="1"/>
  <c r="R1457" i="9"/>
  <c r="S1457" i="9"/>
  <c r="N1459" i="9" l="1"/>
  <c r="O1459" i="9" s="1"/>
  <c r="P1459" i="9" s="1"/>
  <c r="S1458" i="9"/>
  <c r="R1458" i="9"/>
  <c r="N1460" i="9" l="1"/>
  <c r="O1460" i="9" s="1"/>
  <c r="P1460" i="9" s="1"/>
  <c r="R1459" i="9"/>
  <c r="S1459" i="9"/>
  <c r="N1461" i="9" l="1"/>
  <c r="O1461" i="9" s="1"/>
  <c r="P1461" i="9" s="1"/>
  <c r="S1460" i="9"/>
  <c r="R1460" i="9"/>
  <c r="N1462" i="9" l="1"/>
  <c r="O1462" i="9" s="1"/>
  <c r="P1462" i="9" s="1"/>
  <c r="R1461" i="9"/>
  <c r="S1461" i="9"/>
  <c r="N1463" i="9" l="1"/>
  <c r="O1463" i="9" s="1"/>
  <c r="P1463" i="9" s="1"/>
  <c r="S1462" i="9"/>
  <c r="R1462" i="9"/>
  <c r="N1464" i="9" l="1"/>
  <c r="O1464" i="9" s="1"/>
  <c r="P1464" i="9" s="1"/>
  <c r="R1463" i="9"/>
  <c r="S1463" i="9"/>
  <c r="S1464" i="9" l="1"/>
  <c r="N1465" i="9"/>
  <c r="O1465" i="9" s="1"/>
  <c r="P1465" i="9" s="1"/>
  <c r="R1464" i="9"/>
  <c r="N1466" i="9" l="1"/>
  <c r="O1466" i="9" s="1"/>
  <c r="P1466" i="9" s="1"/>
  <c r="R1465" i="9"/>
  <c r="S1465" i="9"/>
  <c r="N1467" i="9" l="1"/>
  <c r="O1467" i="9" s="1"/>
  <c r="P1467" i="9" s="1"/>
  <c r="S1466" i="9"/>
  <c r="R1466" i="9"/>
  <c r="N1468" i="9" l="1"/>
  <c r="O1468" i="9" s="1"/>
  <c r="P1468" i="9" s="1"/>
  <c r="R1467" i="9"/>
  <c r="S1467" i="9"/>
  <c r="N1469" i="9" l="1"/>
  <c r="O1469" i="9" s="1"/>
  <c r="P1469" i="9" s="1"/>
  <c r="S1468" i="9"/>
  <c r="R1468" i="9"/>
  <c r="N1470" i="9" l="1"/>
  <c r="O1470" i="9" s="1"/>
  <c r="P1470" i="9" s="1"/>
  <c r="R1469" i="9"/>
  <c r="S1469" i="9"/>
  <c r="N1471" i="9" l="1"/>
  <c r="O1471" i="9" s="1"/>
  <c r="P1471" i="9" s="1"/>
  <c r="S1470" i="9"/>
  <c r="R1470" i="9"/>
  <c r="N1472" i="9" l="1"/>
  <c r="O1472" i="9" s="1"/>
  <c r="P1472" i="9" s="1"/>
  <c r="R1471" i="9"/>
  <c r="S1471" i="9"/>
  <c r="N1473" i="9" l="1"/>
  <c r="O1473" i="9" s="1"/>
  <c r="P1473" i="9" s="1"/>
  <c r="S1472" i="9"/>
  <c r="R1472" i="9"/>
  <c r="N1474" i="9" l="1"/>
  <c r="O1474" i="9" s="1"/>
  <c r="P1474" i="9" s="1"/>
  <c r="R1473" i="9"/>
  <c r="S1473" i="9"/>
  <c r="N1475" i="9" l="1"/>
  <c r="O1475" i="9" s="1"/>
  <c r="P1475" i="9" s="1"/>
  <c r="S1474" i="9"/>
  <c r="R1474" i="9"/>
  <c r="N1476" i="9" l="1"/>
  <c r="O1476" i="9" s="1"/>
  <c r="P1476" i="9" s="1"/>
  <c r="R1475" i="9"/>
  <c r="S1475" i="9"/>
  <c r="N1477" i="9" l="1"/>
  <c r="O1477" i="9" s="1"/>
  <c r="P1477" i="9" s="1"/>
  <c r="S1476" i="9"/>
  <c r="R1476" i="9"/>
  <c r="R1477" i="9" l="1"/>
  <c r="S1477" i="9"/>
  <c r="N1478" i="9"/>
  <c r="O1478" i="9" s="1"/>
  <c r="P1478" i="9" s="1"/>
  <c r="N1479" i="9" l="1"/>
  <c r="O1479" i="9" s="1"/>
  <c r="P1479" i="9" s="1"/>
  <c r="S1478" i="9"/>
  <c r="R1478" i="9"/>
  <c r="N1480" i="9" l="1"/>
  <c r="O1480" i="9" s="1"/>
  <c r="P1480" i="9" s="1"/>
  <c r="R1479" i="9"/>
  <c r="S1479" i="9"/>
  <c r="N1481" i="9" l="1"/>
  <c r="O1481" i="9" s="1"/>
  <c r="P1481" i="9" s="1"/>
  <c r="S1480" i="9"/>
  <c r="R1480" i="9"/>
  <c r="N1482" i="9" l="1"/>
  <c r="O1482" i="9" s="1"/>
  <c r="P1482" i="9" s="1"/>
  <c r="R1481" i="9"/>
  <c r="S1481" i="9"/>
  <c r="N1483" i="9" l="1"/>
  <c r="O1483" i="9" s="1"/>
  <c r="P1483" i="9" s="1"/>
  <c r="S1482" i="9"/>
  <c r="R1482" i="9"/>
  <c r="N1484" i="9" l="1"/>
  <c r="O1484" i="9" s="1"/>
  <c r="P1484" i="9" s="1"/>
  <c r="R1483" i="9"/>
  <c r="S1483" i="9"/>
  <c r="N1485" i="9" l="1"/>
  <c r="O1485" i="9" s="1"/>
  <c r="P1485" i="9" s="1"/>
  <c r="S1484" i="9"/>
  <c r="R1484" i="9"/>
  <c r="N1486" i="9" l="1"/>
  <c r="O1486" i="9" s="1"/>
  <c r="P1486" i="9" s="1"/>
  <c r="R1485" i="9"/>
  <c r="S1485" i="9"/>
  <c r="N1487" i="9" l="1"/>
  <c r="O1487" i="9" s="1"/>
  <c r="P1487" i="9" s="1"/>
  <c r="S1486" i="9"/>
  <c r="R1486" i="9"/>
  <c r="N1488" i="9" l="1"/>
  <c r="O1488" i="9" s="1"/>
  <c r="P1488" i="9" s="1"/>
  <c r="R1487" i="9"/>
  <c r="S1487" i="9"/>
  <c r="N1489" i="9" l="1"/>
  <c r="O1489" i="9" s="1"/>
  <c r="P1489" i="9" s="1"/>
  <c r="S1488" i="9"/>
  <c r="R1488" i="9"/>
  <c r="N1490" i="9" l="1"/>
  <c r="O1490" i="9" s="1"/>
  <c r="P1490" i="9" s="1"/>
  <c r="R1489" i="9"/>
  <c r="S1489" i="9"/>
  <c r="N1491" i="9" l="1"/>
  <c r="O1491" i="9" s="1"/>
  <c r="P1491" i="9" s="1"/>
  <c r="S1490" i="9"/>
  <c r="R1490" i="9"/>
  <c r="N1492" i="9" l="1"/>
  <c r="O1492" i="9" s="1"/>
  <c r="P1492" i="9" s="1"/>
  <c r="R1491" i="9"/>
  <c r="S1491" i="9"/>
  <c r="N1493" i="9" l="1"/>
  <c r="O1493" i="9" s="1"/>
  <c r="P1493" i="9" s="1"/>
  <c r="S1492" i="9"/>
  <c r="R1492" i="9"/>
  <c r="N1494" i="9" l="1"/>
  <c r="O1494" i="9" s="1"/>
  <c r="P1494" i="9" s="1"/>
  <c r="R1493" i="9"/>
  <c r="S1493" i="9"/>
  <c r="N1495" i="9" l="1"/>
  <c r="O1495" i="9" s="1"/>
  <c r="P1495" i="9" s="1"/>
  <c r="S1494" i="9"/>
  <c r="R1494" i="9"/>
  <c r="N1496" i="9" l="1"/>
  <c r="O1496" i="9" s="1"/>
  <c r="P1496" i="9" s="1"/>
  <c r="R1495" i="9"/>
  <c r="S1495" i="9"/>
  <c r="S1496" i="9" l="1"/>
  <c r="N1497" i="9"/>
  <c r="O1497" i="9" s="1"/>
  <c r="P1497" i="9" s="1"/>
  <c r="R1496" i="9"/>
  <c r="N1498" i="9" l="1"/>
  <c r="O1498" i="9" s="1"/>
  <c r="P1498" i="9" s="1"/>
  <c r="R1497" i="9"/>
  <c r="S1497" i="9"/>
  <c r="N1499" i="9" l="1"/>
  <c r="O1499" i="9" s="1"/>
  <c r="P1499" i="9" s="1"/>
  <c r="S1498" i="9"/>
  <c r="R1498" i="9"/>
  <c r="N1500" i="9" l="1"/>
  <c r="O1500" i="9" s="1"/>
  <c r="P1500" i="9" s="1"/>
  <c r="R1499" i="9"/>
  <c r="S1499" i="9"/>
  <c r="N1501" i="9" l="1"/>
  <c r="O1501" i="9" s="1"/>
  <c r="P1501" i="9" s="1"/>
  <c r="S1500" i="9"/>
  <c r="R1500" i="9"/>
  <c r="N1502" i="9" l="1"/>
  <c r="O1502" i="9" s="1"/>
  <c r="P1502" i="9" s="1"/>
  <c r="R1501" i="9"/>
  <c r="S1501" i="9"/>
  <c r="S1502" i="9" l="1"/>
  <c r="N1503" i="9"/>
  <c r="O1503" i="9" s="1"/>
  <c r="P1503" i="9" s="1"/>
  <c r="R1502" i="9"/>
  <c r="N1504" i="9" l="1"/>
  <c r="O1504" i="9" s="1"/>
  <c r="P1504" i="9" s="1"/>
  <c r="R1503" i="9"/>
  <c r="S1503" i="9"/>
  <c r="N1505" i="9" l="1"/>
  <c r="O1505" i="9" s="1"/>
  <c r="P1505" i="9" s="1"/>
  <c r="S1504" i="9"/>
  <c r="R1504" i="9"/>
  <c r="N1506" i="9" l="1"/>
  <c r="O1506" i="9" s="1"/>
  <c r="P1506" i="9" s="1"/>
  <c r="R1505" i="9"/>
  <c r="S1505" i="9"/>
  <c r="N1507" i="9" l="1"/>
  <c r="O1507" i="9" s="1"/>
  <c r="P1507" i="9" s="1"/>
  <c r="S1506" i="9"/>
  <c r="R1506" i="9"/>
  <c r="N1508" i="9" l="1"/>
  <c r="O1508" i="9" s="1"/>
  <c r="P1508" i="9" s="1"/>
  <c r="R1507" i="9"/>
  <c r="S1507" i="9"/>
  <c r="N1509" i="9" l="1"/>
  <c r="O1509" i="9" s="1"/>
  <c r="P1509" i="9" s="1"/>
  <c r="S1508" i="9"/>
  <c r="R1508" i="9"/>
  <c r="N1510" i="9" l="1"/>
  <c r="O1510" i="9" s="1"/>
  <c r="P1510" i="9" s="1"/>
  <c r="R1509" i="9"/>
  <c r="S1509" i="9"/>
  <c r="N1511" i="9" l="1"/>
  <c r="O1511" i="9" s="1"/>
  <c r="P1511" i="9" s="1"/>
  <c r="S1510" i="9"/>
  <c r="R1510" i="9"/>
  <c r="N1512" i="9" l="1"/>
  <c r="O1512" i="9" s="1"/>
  <c r="P1512" i="9" s="1"/>
  <c r="R1511" i="9"/>
  <c r="S1511" i="9"/>
  <c r="N1513" i="9" l="1"/>
  <c r="O1513" i="9" s="1"/>
  <c r="P1513" i="9" s="1"/>
  <c r="S1512" i="9"/>
  <c r="R1512" i="9"/>
  <c r="N1514" i="9" l="1"/>
  <c r="O1514" i="9" s="1"/>
  <c r="P1514" i="9" s="1"/>
  <c r="R1513" i="9"/>
  <c r="S1513" i="9"/>
  <c r="N1515" i="9" l="1"/>
  <c r="O1515" i="9" s="1"/>
  <c r="P1515" i="9" s="1"/>
  <c r="S1514" i="9"/>
  <c r="R1514" i="9"/>
  <c r="N1516" i="9" l="1"/>
  <c r="O1516" i="9" s="1"/>
  <c r="P1516" i="9" s="1"/>
  <c r="R1515" i="9"/>
  <c r="S1515" i="9"/>
  <c r="N1517" i="9" l="1"/>
  <c r="O1517" i="9" s="1"/>
  <c r="P1517" i="9" s="1"/>
  <c r="S1516" i="9"/>
  <c r="R1516" i="9"/>
  <c r="N1518" i="9" l="1"/>
  <c r="O1518" i="9" s="1"/>
  <c r="P1518" i="9" s="1"/>
  <c r="R1517" i="9"/>
  <c r="S1517" i="9"/>
  <c r="N1519" i="9" l="1"/>
  <c r="O1519" i="9" s="1"/>
  <c r="P1519" i="9" s="1"/>
  <c r="S1518" i="9"/>
  <c r="R1518" i="9"/>
  <c r="N1520" i="9" l="1"/>
  <c r="O1520" i="9" s="1"/>
  <c r="P1520" i="9" s="1"/>
  <c r="R1519" i="9"/>
  <c r="S1519" i="9"/>
  <c r="N1521" i="9" l="1"/>
  <c r="O1521" i="9" s="1"/>
  <c r="P1521" i="9" s="1"/>
  <c r="S1520" i="9"/>
  <c r="R1520" i="9"/>
  <c r="R1521" i="9" l="1"/>
  <c r="N1522" i="9"/>
  <c r="O1522" i="9" s="1"/>
  <c r="P1522" i="9" s="1"/>
  <c r="S1521" i="9"/>
  <c r="N1523" i="9" l="1"/>
  <c r="O1523" i="9" s="1"/>
  <c r="P1523" i="9" s="1"/>
  <c r="S1522" i="9"/>
  <c r="R1522" i="9"/>
  <c r="N1524" i="9" l="1"/>
  <c r="O1524" i="9" s="1"/>
  <c r="P1524" i="9" s="1"/>
  <c r="R1523" i="9"/>
  <c r="S1523" i="9"/>
  <c r="N1525" i="9" l="1"/>
  <c r="O1525" i="9" s="1"/>
  <c r="P1525" i="9" s="1"/>
  <c r="S1524" i="9"/>
  <c r="R1524" i="9"/>
  <c r="N1526" i="9" l="1"/>
  <c r="O1526" i="9" s="1"/>
  <c r="P1526" i="9" s="1"/>
  <c r="R1525" i="9"/>
  <c r="S1525" i="9"/>
  <c r="N1527" i="9" l="1"/>
  <c r="O1527" i="9" s="1"/>
  <c r="P1527" i="9" s="1"/>
  <c r="S1526" i="9"/>
  <c r="R1526" i="9"/>
  <c r="N1528" i="9" l="1"/>
  <c r="O1528" i="9" s="1"/>
  <c r="P1528" i="9" s="1"/>
  <c r="R1527" i="9"/>
  <c r="S1527" i="9"/>
  <c r="N1529" i="9" l="1"/>
  <c r="O1529" i="9" s="1"/>
  <c r="P1529" i="9" s="1"/>
  <c r="S1528" i="9"/>
  <c r="R1528" i="9"/>
  <c r="N1530" i="9" l="1"/>
  <c r="O1530" i="9" s="1"/>
  <c r="P1530" i="9" s="1"/>
  <c r="R1529" i="9"/>
  <c r="S1529" i="9"/>
  <c r="N1531" i="9" l="1"/>
  <c r="O1531" i="9" s="1"/>
  <c r="P1531" i="9" s="1"/>
  <c r="S1530" i="9"/>
  <c r="R1530" i="9"/>
  <c r="N1532" i="9" l="1"/>
  <c r="O1532" i="9" s="1"/>
  <c r="P1532" i="9" s="1"/>
  <c r="R1531" i="9"/>
  <c r="S1531" i="9"/>
  <c r="N1533" i="9" l="1"/>
  <c r="O1533" i="9" s="1"/>
  <c r="P1533" i="9" s="1"/>
  <c r="S1532" i="9"/>
  <c r="R1532" i="9"/>
  <c r="N1534" i="9" l="1"/>
  <c r="O1534" i="9" s="1"/>
  <c r="P1534" i="9" s="1"/>
  <c r="R1533" i="9"/>
  <c r="S1533" i="9"/>
  <c r="N1535" i="9" l="1"/>
  <c r="O1535" i="9" s="1"/>
  <c r="P1535" i="9" s="1"/>
  <c r="S1534" i="9"/>
  <c r="R1534" i="9"/>
  <c r="N1536" i="9" l="1"/>
  <c r="O1536" i="9" s="1"/>
  <c r="P1536" i="9" s="1"/>
  <c r="R1535" i="9"/>
  <c r="S1535" i="9"/>
  <c r="N1537" i="9" l="1"/>
  <c r="O1537" i="9" s="1"/>
  <c r="P1537" i="9" s="1"/>
  <c r="S1536" i="9"/>
  <c r="R1536" i="9"/>
  <c r="N1538" i="9" l="1"/>
  <c r="O1538" i="9" s="1"/>
  <c r="P1538" i="9" s="1"/>
  <c r="R1537" i="9"/>
  <c r="S1537" i="9"/>
  <c r="N1539" i="9" l="1"/>
  <c r="O1539" i="9" s="1"/>
  <c r="P1539" i="9" s="1"/>
  <c r="S1538" i="9"/>
  <c r="R1538" i="9"/>
  <c r="N1540" i="9" l="1"/>
  <c r="O1540" i="9" s="1"/>
  <c r="P1540" i="9" s="1"/>
  <c r="R1539" i="9"/>
  <c r="S1539" i="9"/>
  <c r="S1540" i="9" l="1"/>
  <c r="N1541" i="9"/>
  <c r="O1541" i="9" s="1"/>
  <c r="P1541" i="9" s="1"/>
  <c r="R1540" i="9"/>
  <c r="N1542" i="9" l="1"/>
  <c r="O1542" i="9" s="1"/>
  <c r="P1542" i="9" s="1"/>
  <c r="R1541" i="9"/>
  <c r="S1541" i="9"/>
  <c r="N1543" i="9" l="1"/>
  <c r="O1543" i="9" s="1"/>
  <c r="P1543" i="9" s="1"/>
  <c r="S1542" i="9"/>
  <c r="R1542" i="9"/>
  <c r="N1544" i="9" l="1"/>
  <c r="O1544" i="9" s="1"/>
  <c r="P1544" i="9" s="1"/>
  <c r="R1543" i="9"/>
  <c r="S1543" i="9"/>
  <c r="N1545" i="9" l="1"/>
  <c r="O1545" i="9" s="1"/>
  <c r="P1545" i="9" s="1"/>
  <c r="S1544" i="9"/>
  <c r="R1544" i="9"/>
  <c r="N1546" i="9" l="1"/>
  <c r="O1546" i="9" s="1"/>
  <c r="P1546" i="9" s="1"/>
  <c r="R1545" i="9"/>
  <c r="S1545" i="9"/>
  <c r="N1547" i="9" l="1"/>
  <c r="O1547" i="9" s="1"/>
  <c r="P1547" i="9" s="1"/>
  <c r="S1546" i="9"/>
  <c r="R1546" i="9"/>
  <c r="N1548" i="9" l="1"/>
  <c r="O1548" i="9" s="1"/>
  <c r="P1548" i="9" s="1"/>
  <c r="R1547" i="9"/>
  <c r="S1547" i="9"/>
  <c r="N1549" i="9" l="1"/>
  <c r="O1549" i="9" s="1"/>
  <c r="P1549" i="9" s="1"/>
  <c r="S1548" i="9"/>
  <c r="R1548" i="9"/>
  <c r="N1550" i="9" l="1"/>
  <c r="O1550" i="9" s="1"/>
  <c r="P1550" i="9" s="1"/>
  <c r="R1549" i="9"/>
  <c r="S1549" i="9"/>
  <c r="N1551" i="9" l="1"/>
  <c r="O1551" i="9" s="1"/>
  <c r="P1551" i="9" s="1"/>
  <c r="S1550" i="9"/>
  <c r="R1550" i="9"/>
  <c r="N1552" i="9" l="1"/>
  <c r="O1552" i="9" s="1"/>
  <c r="P1552" i="9" s="1"/>
  <c r="R1551" i="9"/>
  <c r="S1551" i="9"/>
  <c r="N1553" i="9" l="1"/>
  <c r="O1553" i="9" s="1"/>
  <c r="P1553" i="9" s="1"/>
  <c r="S1552" i="9"/>
  <c r="R1552" i="9"/>
  <c r="R1553" i="9" l="1"/>
  <c r="N1554" i="9"/>
  <c r="O1554" i="9" s="1"/>
  <c r="P1554" i="9" s="1"/>
  <c r="S1553" i="9"/>
  <c r="N1555" i="9" l="1"/>
  <c r="O1555" i="9" s="1"/>
  <c r="P1555" i="9" s="1"/>
  <c r="S1554" i="9"/>
  <c r="R1554" i="9"/>
  <c r="N1556" i="9" l="1"/>
  <c r="O1556" i="9" s="1"/>
  <c r="P1556" i="9" s="1"/>
  <c r="R1555" i="9"/>
  <c r="S1555" i="9"/>
  <c r="N1557" i="9" l="1"/>
  <c r="O1557" i="9" s="1"/>
  <c r="P1557" i="9" s="1"/>
  <c r="S1556" i="9"/>
  <c r="R1556" i="9"/>
  <c r="N1558" i="9" l="1"/>
  <c r="O1558" i="9" s="1"/>
  <c r="P1558" i="9" s="1"/>
  <c r="R1557" i="9"/>
  <c r="S1557" i="9"/>
  <c r="N1559" i="9" l="1"/>
  <c r="O1559" i="9" s="1"/>
  <c r="P1559" i="9" s="1"/>
  <c r="S1558" i="9"/>
  <c r="R1558" i="9"/>
  <c r="N1560" i="9" l="1"/>
  <c r="O1560" i="9" s="1"/>
  <c r="P1560" i="9" s="1"/>
  <c r="R1559" i="9"/>
  <c r="S1559" i="9"/>
  <c r="N1561" i="9" l="1"/>
  <c r="O1561" i="9" s="1"/>
  <c r="P1561" i="9" s="1"/>
  <c r="R1560" i="9"/>
  <c r="S1560" i="9"/>
  <c r="N1562" i="9" l="1"/>
  <c r="O1562" i="9" s="1"/>
  <c r="P1562" i="9" s="1"/>
  <c r="R1561" i="9"/>
  <c r="S1561" i="9"/>
  <c r="N1563" i="9" l="1"/>
  <c r="O1563" i="9" s="1"/>
  <c r="P1563" i="9" s="1"/>
  <c r="R1562" i="9"/>
  <c r="S1562" i="9"/>
  <c r="N1564" i="9" l="1"/>
  <c r="O1564" i="9" s="1"/>
  <c r="P1564" i="9" s="1"/>
  <c r="R1563" i="9"/>
  <c r="S1563" i="9"/>
  <c r="N1565" i="9" l="1"/>
  <c r="O1565" i="9" s="1"/>
  <c r="P1565" i="9" s="1"/>
  <c r="R1564" i="9"/>
  <c r="S1564" i="9"/>
  <c r="N1566" i="9" l="1"/>
  <c r="O1566" i="9" s="1"/>
  <c r="P1566" i="9" s="1"/>
  <c r="R1565" i="9"/>
  <c r="S1565" i="9"/>
  <c r="N1567" i="9" l="1"/>
  <c r="O1567" i="9" s="1"/>
  <c r="P1567" i="9" s="1"/>
  <c r="R1566" i="9"/>
  <c r="S1566" i="9"/>
  <c r="N1568" i="9" l="1"/>
  <c r="O1568" i="9" s="1"/>
  <c r="P1568" i="9" s="1"/>
  <c r="R1567" i="9"/>
  <c r="S1567" i="9"/>
  <c r="N1569" i="9" l="1"/>
  <c r="O1569" i="9" s="1"/>
  <c r="P1569" i="9" s="1"/>
  <c r="R1568" i="9"/>
  <c r="S1568" i="9"/>
  <c r="N1570" i="9" l="1"/>
  <c r="O1570" i="9" s="1"/>
  <c r="P1570" i="9" s="1"/>
  <c r="R1569" i="9"/>
  <c r="S1569" i="9"/>
  <c r="N1571" i="9" l="1"/>
  <c r="O1571" i="9" s="1"/>
  <c r="P1571" i="9" s="1"/>
  <c r="R1570" i="9"/>
  <c r="S1570" i="9"/>
  <c r="N1572" i="9" l="1"/>
  <c r="O1572" i="9" s="1"/>
  <c r="P1572" i="9" s="1"/>
  <c r="R1571" i="9"/>
  <c r="S1571" i="9"/>
  <c r="R1572" i="9" l="1"/>
  <c r="S1572" i="9"/>
  <c r="N1573" i="9"/>
  <c r="O1573" i="9" s="1"/>
  <c r="P1573" i="9" s="1"/>
  <c r="N1574" i="9" l="1"/>
  <c r="O1574" i="9" s="1"/>
  <c r="P1574" i="9" s="1"/>
  <c r="R1573" i="9"/>
  <c r="S1573" i="9"/>
  <c r="N1575" i="9" l="1"/>
  <c r="O1575" i="9" s="1"/>
  <c r="P1575" i="9" s="1"/>
  <c r="R1574" i="9"/>
  <c r="S1574" i="9"/>
  <c r="N1576" i="9" l="1"/>
  <c r="O1576" i="9" s="1"/>
  <c r="P1576" i="9" s="1"/>
  <c r="R1575" i="9"/>
  <c r="S1575" i="9"/>
  <c r="N1577" i="9" l="1"/>
  <c r="O1577" i="9" s="1"/>
  <c r="P1577" i="9" s="1"/>
  <c r="R1576" i="9"/>
  <c r="S1576" i="9"/>
  <c r="N1578" i="9" l="1"/>
  <c r="O1578" i="9" s="1"/>
  <c r="P1578" i="9" s="1"/>
  <c r="R1577" i="9"/>
  <c r="S1577" i="9"/>
  <c r="R1578" i="9" l="1"/>
  <c r="N1579" i="9"/>
  <c r="O1579" i="9" s="1"/>
  <c r="P1579" i="9" s="1"/>
  <c r="S1578" i="9"/>
  <c r="N1580" i="9" l="1"/>
  <c r="O1580" i="9" s="1"/>
  <c r="P1580" i="9" s="1"/>
  <c r="R1579" i="9"/>
  <c r="S1579" i="9"/>
  <c r="N1581" i="9" l="1"/>
  <c r="O1581" i="9" s="1"/>
  <c r="P1581" i="9" s="1"/>
  <c r="R1580" i="9"/>
  <c r="S1580" i="9"/>
  <c r="N1582" i="9" l="1"/>
  <c r="O1582" i="9" s="1"/>
  <c r="P1582" i="9" s="1"/>
  <c r="R1581" i="9"/>
  <c r="S1581" i="9"/>
  <c r="N1583" i="9" l="1"/>
  <c r="O1583" i="9" s="1"/>
  <c r="P1583" i="9" s="1"/>
  <c r="R1582" i="9"/>
  <c r="S1582" i="9"/>
  <c r="N1584" i="9" l="1"/>
  <c r="O1584" i="9" s="1"/>
  <c r="P1584" i="9" s="1"/>
  <c r="R1583" i="9"/>
  <c r="S1583" i="9"/>
  <c r="N1585" i="9" l="1"/>
  <c r="O1585" i="9" s="1"/>
  <c r="P1585" i="9" s="1"/>
  <c r="R1584" i="9"/>
  <c r="S1584" i="9"/>
  <c r="N1586" i="9" l="1"/>
  <c r="O1586" i="9" s="1"/>
  <c r="P1586" i="9" s="1"/>
  <c r="R1585" i="9"/>
  <c r="S1585" i="9"/>
  <c r="N1587" i="9" l="1"/>
  <c r="O1587" i="9" s="1"/>
  <c r="P1587" i="9" s="1"/>
  <c r="R1586" i="9"/>
  <c r="S1586" i="9"/>
  <c r="N1588" i="9" l="1"/>
  <c r="O1588" i="9" s="1"/>
  <c r="P1588" i="9" s="1"/>
  <c r="R1587" i="9"/>
  <c r="S1587" i="9"/>
  <c r="N1589" i="9" l="1"/>
  <c r="O1589" i="9" s="1"/>
  <c r="P1589" i="9" s="1"/>
  <c r="R1588" i="9"/>
  <c r="S1588" i="9"/>
  <c r="N1590" i="9" l="1"/>
  <c r="O1590" i="9" s="1"/>
  <c r="P1590" i="9" s="1"/>
  <c r="R1589" i="9"/>
  <c r="S1589" i="9"/>
  <c r="N1591" i="9" l="1"/>
  <c r="O1591" i="9" s="1"/>
  <c r="P1591" i="9" s="1"/>
  <c r="R1590" i="9"/>
  <c r="S1590" i="9"/>
  <c r="N1592" i="9" l="1"/>
  <c r="O1592" i="9" s="1"/>
  <c r="P1592" i="9" s="1"/>
  <c r="R1591" i="9"/>
  <c r="S1591" i="9"/>
  <c r="N1593" i="9" l="1"/>
  <c r="O1593" i="9" s="1"/>
  <c r="P1593" i="9" s="1"/>
  <c r="R1592" i="9"/>
  <c r="S1592" i="9"/>
  <c r="N1594" i="9" l="1"/>
  <c r="O1594" i="9" s="1"/>
  <c r="P1594" i="9" s="1"/>
  <c r="R1593" i="9"/>
  <c r="S1593" i="9"/>
  <c r="N1595" i="9" l="1"/>
  <c r="O1595" i="9" s="1"/>
  <c r="P1595" i="9" s="1"/>
  <c r="R1594" i="9"/>
  <c r="S1594" i="9"/>
  <c r="N1596" i="9" l="1"/>
  <c r="O1596" i="9" s="1"/>
  <c r="P1596" i="9" s="1"/>
  <c r="R1595" i="9"/>
  <c r="S1595" i="9"/>
  <c r="N1597" i="9" l="1"/>
  <c r="O1597" i="9" s="1"/>
  <c r="P1597" i="9" s="1"/>
  <c r="R1596" i="9"/>
  <c r="S1596" i="9"/>
  <c r="R1597" i="9" l="1"/>
  <c r="S1597" i="9"/>
  <c r="N1598" i="9"/>
  <c r="O1598" i="9" s="1"/>
  <c r="P1598" i="9" s="1"/>
  <c r="N1599" i="9" l="1"/>
  <c r="O1599" i="9" s="1"/>
  <c r="P1599" i="9" s="1"/>
  <c r="R1598" i="9"/>
  <c r="S1598" i="9"/>
  <c r="N1600" i="9" l="1"/>
  <c r="O1600" i="9" s="1"/>
  <c r="P1600" i="9" s="1"/>
  <c r="R1599" i="9"/>
  <c r="S1599" i="9"/>
  <c r="N1601" i="9" l="1"/>
  <c r="O1601" i="9" s="1"/>
  <c r="P1601" i="9" s="1"/>
  <c r="R1600" i="9"/>
  <c r="S1600" i="9"/>
  <c r="N1602" i="9" l="1"/>
  <c r="O1602" i="9" s="1"/>
  <c r="P1602" i="9" s="1"/>
  <c r="R1601" i="9"/>
  <c r="S1601" i="9"/>
  <c r="N1603" i="9" l="1"/>
  <c r="O1603" i="9" s="1"/>
  <c r="P1603" i="9" s="1"/>
  <c r="R1602" i="9"/>
  <c r="S1602" i="9"/>
  <c r="N1604" i="9" l="1"/>
  <c r="O1604" i="9" s="1"/>
  <c r="P1604" i="9" s="1"/>
  <c r="R1603" i="9"/>
  <c r="S1603" i="9"/>
  <c r="N1605" i="9" l="1"/>
  <c r="O1605" i="9" s="1"/>
  <c r="P1605" i="9" s="1"/>
  <c r="R1604" i="9"/>
  <c r="S1604" i="9"/>
  <c r="N1606" i="9" l="1"/>
  <c r="O1606" i="9" s="1"/>
  <c r="P1606" i="9" s="1"/>
  <c r="R1605" i="9"/>
  <c r="S1605" i="9"/>
  <c r="N1607" i="9" l="1"/>
  <c r="O1607" i="9" s="1"/>
  <c r="P1607" i="9" s="1"/>
  <c r="R1606" i="9"/>
  <c r="S1606" i="9"/>
  <c r="N1608" i="9" l="1"/>
  <c r="O1608" i="9" s="1"/>
  <c r="P1608" i="9" s="1"/>
  <c r="R1607" i="9"/>
  <c r="S1607" i="9"/>
  <c r="N1609" i="9" l="1"/>
  <c r="O1609" i="9" s="1"/>
  <c r="P1609" i="9" s="1"/>
  <c r="R1608" i="9"/>
  <c r="S1608" i="9"/>
  <c r="N1610" i="9" l="1"/>
  <c r="O1610" i="9" s="1"/>
  <c r="P1610" i="9" s="1"/>
  <c r="R1609" i="9"/>
  <c r="S1609" i="9"/>
  <c r="N1611" i="9" l="1"/>
  <c r="O1611" i="9" s="1"/>
  <c r="P1611" i="9" s="1"/>
  <c r="R1610" i="9"/>
  <c r="S1610" i="9"/>
  <c r="N1612" i="9" l="1"/>
  <c r="O1612" i="9" s="1"/>
  <c r="P1612" i="9" s="1"/>
  <c r="R1611" i="9"/>
  <c r="S1611" i="9"/>
  <c r="N1613" i="9" l="1"/>
  <c r="O1613" i="9" s="1"/>
  <c r="P1613" i="9" s="1"/>
  <c r="R1612" i="9"/>
  <c r="S1612" i="9"/>
  <c r="N1614" i="9" l="1"/>
  <c r="O1614" i="9" s="1"/>
  <c r="P1614" i="9" s="1"/>
  <c r="R1613" i="9"/>
  <c r="S1613" i="9"/>
  <c r="N1615" i="9" l="1"/>
  <c r="O1615" i="9" s="1"/>
  <c r="P1615" i="9" s="1"/>
  <c r="R1614" i="9"/>
  <c r="S1614" i="9"/>
  <c r="N1616" i="9" l="1"/>
  <c r="O1616" i="9" s="1"/>
  <c r="P1616" i="9" s="1"/>
  <c r="R1615" i="9"/>
  <c r="S1615" i="9"/>
  <c r="N1617" i="9" l="1"/>
  <c r="O1617" i="9" s="1"/>
  <c r="P1617" i="9" s="1"/>
  <c r="R1616" i="9"/>
  <c r="S1616" i="9"/>
  <c r="N1618" i="9" l="1"/>
  <c r="O1618" i="9" s="1"/>
  <c r="P1618" i="9" s="1"/>
  <c r="R1617" i="9"/>
  <c r="S1617" i="9"/>
  <c r="N1619" i="9" l="1"/>
  <c r="O1619" i="9" s="1"/>
  <c r="P1619" i="9" s="1"/>
  <c r="R1618" i="9"/>
  <c r="S1618" i="9"/>
  <c r="N1620" i="9" l="1"/>
  <c r="O1620" i="9" s="1"/>
  <c r="P1620" i="9" s="1"/>
  <c r="R1619" i="9"/>
  <c r="S1619" i="9"/>
  <c r="N1621" i="9" l="1"/>
  <c r="O1621" i="9" s="1"/>
  <c r="P1621" i="9" s="1"/>
  <c r="R1620" i="9"/>
  <c r="S1620" i="9"/>
  <c r="N1622" i="9" l="1"/>
  <c r="O1622" i="9" s="1"/>
  <c r="P1622" i="9" s="1"/>
  <c r="R1621" i="9"/>
  <c r="S1621" i="9"/>
  <c r="N1623" i="9" l="1"/>
  <c r="O1623" i="9" s="1"/>
  <c r="P1623" i="9" s="1"/>
  <c r="R1622" i="9"/>
  <c r="S1622" i="9"/>
  <c r="N1624" i="9" l="1"/>
  <c r="O1624" i="9" s="1"/>
  <c r="P1624" i="9" s="1"/>
  <c r="R1623" i="9"/>
  <c r="S1623" i="9"/>
  <c r="N1625" i="9" l="1"/>
  <c r="O1625" i="9" s="1"/>
  <c r="P1625" i="9" s="1"/>
  <c r="R1624" i="9"/>
  <c r="S1624" i="9"/>
  <c r="N1626" i="9" l="1"/>
  <c r="O1626" i="9" s="1"/>
  <c r="P1626" i="9" s="1"/>
  <c r="S1625" i="9"/>
  <c r="R1625" i="9"/>
  <c r="N1627" i="9" l="1"/>
  <c r="O1627" i="9" s="1"/>
  <c r="P1627" i="9" s="1"/>
  <c r="R1626" i="9"/>
  <c r="S1626" i="9"/>
  <c r="N1628" i="9" l="1"/>
  <c r="O1628" i="9" s="1"/>
  <c r="P1628" i="9" s="1"/>
  <c r="R1627" i="9"/>
  <c r="S1627" i="9"/>
  <c r="N1629" i="9" l="1"/>
  <c r="O1629" i="9" s="1"/>
  <c r="P1629" i="9" s="1"/>
  <c r="R1628" i="9"/>
  <c r="S1628" i="9"/>
  <c r="S1629" i="9" l="1"/>
  <c r="R1629" i="9"/>
  <c r="N1630" i="9"/>
  <c r="O1630" i="9" s="1"/>
  <c r="P1630" i="9" s="1"/>
  <c r="N1631" i="9" l="1"/>
  <c r="O1631" i="9" s="1"/>
  <c r="P1631" i="9" s="1"/>
  <c r="S1630" i="9"/>
  <c r="R1630" i="9"/>
  <c r="N1632" i="9" l="1"/>
  <c r="O1632" i="9" s="1"/>
  <c r="P1632" i="9" s="1"/>
  <c r="R1631" i="9"/>
  <c r="S1631" i="9"/>
  <c r="N1633" i="9" l="1"/>
  <c r="O1633" i="9" s="1"/>
  <c r="P1633" i="9" s="1"/>
  <c r="R1632" i="9"/>
  <c r="S1632" i="9"/>
  <c r="N1634" i="9" l="1"/>
  <c r="O1634" i="9" s="1"/>
  <c r="P1634" i="9" s="1"/>
  <c r="R1633" i="9"/>
  <c r="S1633" i="9"/>
  <c r="N1635" i="9" l="1"/>
  <c r="O1635" i="9" s="1"/>
  <c r="P1635" i="9" s="1"/>
  <c r="R1634" i="9"/>
  <c r="S1634" i="9"/>
  <c r="N1636" i="9" l="1"/>
  <c r="O1636" i="9" s="1"/>
  <c r="P1636" i="9" s="1"/>
  <c r="R1635" i="9"/>
  <c r="S1635" i="9"/>
  <c r="N1637" i="9" l="1"/>
  <c r="O1637" i="9" s="1"/>
  <c r="P1637" i="9" s="1"/>
  <c r="R1636" i="9"/>
  <c r="S1636" i="9"/>
  <c r="N1638" i="9" l="1"/>
  <c r="O1638" i="9" s="1"/>
  <c r="P1638" i="9" s="1"/>
  <c r="R1637" i="9"/>
  <c r="S1637" i="9"/>
  <c r="R1638" i="9" l="1"/>
  <c r="N1639" i="9"/>
  <c r="O1639" i="9" s="1"/>
  <c r="P1639" i="9" s="1"/>
  <c r="S1638" i="9"/>
  <c r="N1640" i="9" l="1"/>
  <c r="O1640" i="9" s="1"/>
  <c r="P1640" i="9" s="1"/>
  <c r="R1639" i="9"/>
  <c r="S1639" i="9"/>
  <c r="N1641" i="9" l="1"/>
  <c r="O1641" i="9" s="1"/>
  <c r="P1641" i="9" s="1"/>
  <c r="R1640" i="9"/>
  <c r="S1640" i="9"/>
  <c r="N1642" i="9" l="1"/>
  <c r="O1642" i="9" s="1"/>
  <c r="P1642" i="9" s="1"/>
  <c r="R1641" i="9"/>
  <c r="S1641" i="9"/>
  <c r="N1643" i="9" l="1"/>
  <c r="O1643" i="9" s="1"/>
  <c r="P1643" i="9" s="1"/>
  <c r="R1642" i="9"/>
  <c r="S1642" i="9"/>
  <c r="N1644" i="9" l="1"/>
  <c r="O1644" i="9" s="1"/>
  <c r="P1644" i="9" s="1"/>
  <c r="R1643" i="9"/>
  <c r="S1643" i="9"/>
  <c r="R1644" i="9" l="1"/>
  <c r="S1644" i="9"/>
  <c r="N1645" i="9"/>
  <c r="O1645" i="9" s="1"/>
  <c r="P1645" i="9" s="1"/>
  <c r="N1646" i="9" l="1"/>
  <c r="O1646" i="9" s="1"/>
  <c r="P1646" i="9" s="1"/>
  <c r="R1645" i="9"/>
  <c r="S1645" i="9"/>
  <c r="N1647" i="9" l="1"/>
  <c r="O1647" i="9" s="1"/>
  <c r="P1647" i="9" s="1"/>
  <c r="R1646" i="9"/>
  <c r="S1646" i="9"/>
  <c r="N1648" i="9" l="1"/>
  <c r="O1648" i="9" s="1"/>
  <c r="P1648" i="9" s="1"/>
  <c r="R1647" i="9"/>
  <c r="S1647" i="9"/>
  <c r="N1649" i="9" l="1"/>
  <c r="O1649" i="9" s="1"/>
  <c r="P1649" i="9" s="1"/>
  <c r="R1648" i="9"/>
  <c r="S1648" i="9"/>
  <c r="N1650" i="9" l="1"/>
  <c r="O1650" i="9" s="1"/>
  <c r="P1650" i="9" s="1"/>
  <c r="R1649" i="9"/>
  <c r="S1649" i="9"/>
  <c r="N1651" i="9" l="1"/>
  <c r="O1651" i="9" s="1"/>
  <c r="P1651" i="9" s="1"/>
  <c r="R1650" i="9"/>
  <c r="S1650" i="9"/>
  <c r="N1652" i="9" l="1"/>
  <c r="O1652" i="9" s="1"/>
  <c r="P1652" i="9" s="1"/>
  <c r="R1651" i="9"/>
  <c r="S1651" i="9"/>
  <c r="N1653" i="9" l="1"/>
  <c r="O1653" i="9" s="1"/>
  <c r="P1653" i="9" s="1"/>
  <c r="R1652" i="9"/>
  <c r="S1652" i="9"/>
  <c r="N1654" i="9" l="1"/>
  <c r="O1654" i="9" s="1"/>
  <c r="P1654" i="9" s="1"/>
  <c r="R1653" i="9"/>
  <c r="S1653" i="9"/>
  <c r="R1654" i="9" l="1"/>
  <c r="S1654" i="9"/>
  <c r="N1655" i="9"/>
  <c r="O1655" i="9" s="1"/>
  <c r="P1655" i="9" s="1"/>
  <c r="N1656" i="9" l="1"/>
  <c r="O1656" i="9" s="1"/>
  <c r="P1656" i="9" s="1"/>
  <c r="R1655" i="9"/>
  <c r="S1655" i="9"/>
  <c r="N1657" i="9" l="1"/>
  <c r="O1657" i="9" s="1"/>
  <c r="P1657" i="9" s="1"/>
  <c r="S1656" i="9"/>
  <c r="R1656" i="9"/>
  <c r="N1658" i="9" l="1"/>
  <c r="O1658" i="9" s="1"/>
  <c r="P1658" i="9" s="1"/>
  <c r="R1657" i="9"/>
  <c r="S1657" i="9"/>
  <c r="N1659" i="9" l="1"/>
  <c r="O1659" i="9" s="1"/>
  <c r="P1659" i="9" s="1"/>
  <c r="S1658" i="9"/>
  <c r="R1658" i="9"/>
  <c r="N1660" i="9" l="1"/>
  <c r="O1660" i="9" s="1"/>
  <c r="P1660" i="9" s="1"/>
  <c r="R1659" i="9"/>
  <c r="S1659" i="9"/>
  <c r="N1661" i="9" l="1"/>
  <c r="O1661" i="9" s="1"/>
  <c r="P1661" i="9" s="1"/>
  <c r="S1660" i="9"/>
  <c r="R1660" i="9"/>
  <c r="N1662" i="9" l="1"/>
  <c r="O1662" i="9" s="1"/>
  <c r="P1662" i="9" s="1"/>
  <c r="R1661" i="9"/>
  <c r="S1661" i="9"/>
  <c r="N1663" i="9" l="1"/>
  <c r="O1663" i="9" s="1"/>
  <c r="P1663" i="9" s="1"/>
  <c r="S1662" i="9"/>
  <c r="R1662" i="9"/>
  <c r="N1664" i="9" l="1"/>
  <c r="O1664" i="9" s="1"/>
  <c r="P1664" i="9" s="1"/>
  <c r="R1663" i="9"/>
  <c r="S1663" i="9"/>
  <c r="N1665" i="9" l="1"/>
  <c r="O1665" i="9" s="1"/>
  <c r="P1665" i="9" s="1"/>
  <c r="S1664" i="9"/>
  <c r="R1664" i="9"/>
  <c r="N1666" i="9" l="1"/>
  <c r="O1666" i="9" s="1"/>
  <c r="P1666" i="9" s="1"/>
  <c r="R1665" i="9"/>
  <c r="S1665" i="9"/>
  <c r="N1667" i="9" l="1"/>
  <c r="O1667" i="9" s="1"/>
  <c r="P1667" i="9" s="1"/>
  <c r="S1666" i="9"/>
  <c r="R1666" i="9"/>
  <c r="N1668" i="9" l="1"/>
  <c r="O1668" i="9" s="1"/>
  <c r="P1668" i="9" s="1"/>
  <c r="R1667" i="9"/>
  <c r="S1667" i="9"/>
  <c r="N1669" i="9" l="1"/>
  <c r="O1669" i="9" s="1"/>
  <c r="P1669" i="9" s="1"/>
  <c r="S1668" i="9"/>
  <c r="R1668" i="9"/>
  <c r="R1669" i="9" l="1"/>
  <c r="S1669" i="9"/>
  <c r="N1670" i="9"/>
  <c r="O1670" i="9" s="1"/>
  <c r="P1670" i="9" s="1"/>
  <c r="N1671" i="9" l="1"/>
  <c r="O1671" i="9" s="1"/>
  <c r="P1671" i="9" s="1"/>
  <c r="S1670" i="9"/>
  <c r="R1670" i="9"/>
  <c r="N1672" i="9" l="1"/>
  <c r="O1672" i="9" s="1"/>
  <c r="P1672" i="9" s="1"/>
  <c r="R1671" i="9"/>
  <c r="S1671" i="9"/>
  <c r="N1673" i="9" l="1"/>
  <c r="O1673" i="9" s="1"/>
  <c r="P1673" i="9" s="1"/>
  <c r="R1672" i="9"/>
  <c r="S1672" i="9"/>
  <c r="N1674" i="9" l="1"/>
  <c r="O1674" i="9" s="1"/>
  <c r="P1674" i="9" s="1"/>
  <c r="S1673" i="9"/>
  <c r="R1673" i="9"/>
  <c r="N1675" i="9" l="1"/>
  <c r="O1675" i="9" s="1"/>
  <c r="P1675" i="9" s="1"/>
  <c r="R1674" i="9"/>
  <c r="S1674" i="9"/>
  <c r="N1676" i="9" l="1"/>
  <c r="O1676" i="9" s="1"/>
  <c r="P1676" i="9" s="1"/>
  <c r="R1675" i="9"/>
  <c r="S1675" i="9"/>
  <c r="N1677" i="9" l="1"/>
  <c r="O1677" i="9" s="1"/>
  <c r="P1677" i="9" s="1"/>
  <c r="R1676" i="9"/>
  <c r="S1676" i="9"/>
  <c r="N1678" i="9" l="1"/>
  <c r="O1678" i="9" s="1"/>
  <c r="P1678" i="9" s="1"/>
  <c r="R1677" i="9"/>
  <c r="S1677" i="9"/>
  <c r="N1679" i="9" l="1"/>
  <c r="O1679" i="9" s="1"/>
  <c r="P1679" i="9" s="1"/>
  <c r="R1678" i="9"/>
  <c r="S1678" i="9"/>
  <c r="N1680" i="9" l="1"/>
  <c r="O1680" i="9" s="1"/>
  <c r="P1680" i="9" s="1"/>
  <c r="R1679" i="9"/>
  <c r="S1679" i="9"/>
  <c r="N1681" i="9" l="1"/>
  <c r="O1681" i="9" s="1"/>
  <c r="P1681" i="9" s="1"/>
  <c r="R1680" i="9"/>
  <c r="S1680" i="9"/>
  <c r="N1682" i="9" l="1"/>
  <c r="O1682" i="9" s="1"/>
  <c r="P1682" i="9" s="1"/>
  <c r="R1681" i="9"/>
  <c r="S1681" i="9"/>
  <c r="N1683" i="9" l="1"/>
  <c r="O1683" i="9" s="1"/>
  <c r="P1683" i="9" s="1"/>
  <c r="R1682" i="9"/>
  <c r="S1682" i="9"/>
  <c r="N1684" i="9" l="1"/>
  <c r="O1684" i="9" s="1"/>
  <c r="P1684" i="9" s="1"/>
  <c r="R1683" i="9"/>
  <c r="S1683" i="9"/>
  <c r="N1685" i="9" l="1"/>
  <c r="O1685" i="9" s="1"/>
  <c r="P1685" i="9" s="1"/>
  <c r="R1684" i="9"/>
  <c r="S1684" i="9"/>
  <c r="N1686" i="9" l="1"/>
  <c r="O1686" i="9" s="1"/>
  <c r="P1686" i="9" s="1"/>
  <c r="R1685" i="9"/>
  <c r="S1685" i="9"/>
  <c r="N1687" i="9" l="1"/>
  <c r="O1687" i="9" s="1"/>
  <c r="P1687" i="9" s="1"/>
  <c r="R1686" i="9"/>
  <c r="S1686" i="9"/>
  <c r="N1688" i="9" l="1"/>
  <c r="O1688" i="9" s="1"/>
  <c r="P1688" i="9" s="1"/>
  <c r="R1687" i="9"/>
  <c r="S1687" i="9"/>
  <c r="S1688" i="9" l="1"/>
  <c r="N1689" i="9"/>
  <c r="O1689" i="9" s="1"/>
  <c r="P1689" i="9" s="1"/>
  <c r="R1688" i="9"/>
  <c r="N1690" i="9" l="1"/>
  <c r="O1690" i="9" s="1"/>
  <c r="P1690" i="9" s="1"/>
  <c r="R1689" i="9"/>
  <c r="S1689" i="9"/>
  <c r="N1691" i="9" l="1"/>
  <c r="O1691" i="9" s="1"/>
  <c r="P1691" i="9" s="1"/>
  <c r="S1690" i="9"/>
  <c r="R1690" i="9"/>
  <c r="N1692" i="9" l="1"/>
  <c r="O1692" i="9" s="1"/>
  <c r="P1692" i="9" s="1"/>
  <c r="R1691" i="9"/>
  <c r="S1691" i="9"/>
  <c r="N1693" i="9" l="1"/>
  <c r="O1693" i="9" s="1"/>
  <c r="P1693" i="9" s="1"/>
  <c r="S1692" i="9"/>
  <c r="R1692" i="9"/>
  <c r="N1694" i="9" l="1"/>
  <c r="O1694" i="9" s="1"/>
  <c r="P1694" i="9" s="1"/>
  <c r="R1693" i="9"/>
  <c r="S1693" i="9"/>
  <c r="N1695" i="9" l="1"/>
  <c r="O1695" i="9" s="1"/>
  <c r="P1695" i="9" s="1"/>
  <c r="S1694" i="9"/>
  <c r="R1694" i="9"/>
  <c r="N1696" i="9" l="1"/>
  <c r="O1696" i="9" s="1"/>
  <c r="P1696" i="9" s="1"/>
  <c r="R1695" i="9"/>
  <c r="S1695" i="9"/>
  <c r="N1697" i="9" l="1"/>
  <c r="O1697" i="9" s="1"/>
  <c r="P1697" i="9" s="1"/>
  <c r="S1696" i="9"/>
  <c r="R1696" i="9"/>
  <c r="N1698" i="9" l="1"/>
  <c r="O1698" i="9" s="1"/>
  <c r="P1698" i="9" s="1"/>
  <c r="R1697" i="9"/>
  <c r="S1697" i="9"/>
  <c r="N1699" i="9" l="1"/>
  <c r="O1699" i="9" s="1"/>
  <c r="P1699" i="9" s="1"/>
  <c r="S1698" i="9"/>
  <c r="R1698" i="9"/>
  <c r="N1700" i="9" l="1"/>
  <c r="O1700" i="9" s="1"/>
  <c r="P1700" i="9" s="1"/>
  <c r="R1699" i="9"/>
  <c r="S1699" i="9"/>
  <c r="N1701" i="9" l="1"/>
  <c r="O1701" i="9" s="1"/>
  <c r="P1701" i="9" s="1"/>
  <c r="S1700" i="9"/>
  <c r="R1700" i="9"/>
  <c r="N1702" i="9" l="1"/>
  <c r="O1702" i="9" s="1"/>
  <c r="P1702" i="9" s="1"/>
  <c r="R1701" i="9"/>
  <c r="S1701" i="9"/>
  <c r="N1703" i="9" l="1"/>
  <c r="O1703" i="9" s="1"/>
  <c r="P1703" i="9" s="1"/>
  <c r="S1702" i="9"/>
  <c r="R1702" i="9"/>
  <c r="N1704" i="9" l="1"/>
  <c r="O1704" i="9" s="1"/>
  <c r="P1704" i="9" s="1"/>
  <c r="R1703" i="9"/>
  <c r="S1703" i="9"/>
  <c r="S1704" i="9" l="1"/>
  <c r="N1705" i="9"/>
  <c r="O1705" i="9" s="1"/>
  <c r="P1705" i="9" s="1"/>
  <c r="R1704" i="9"/>
  <c r="N1706" i="9" l="1"/>
  <c r="O1706" i="9" s="1"/>
  <c r="P1706" i="9" s="1"/>
  <c r="R1705" i="9"/>
  <c r="S1705" i="9"/>
  <c r="N1707" i="9" l="1"/>
  <c r="O1707" i="9" s="1"/>
  <c r="P1707" i="9" s="1"/>
  <c r="S1706" i="9"/>
  <c r="R1706" i="9"/>
  <c r="N1708" i="9" l="1"/>
  <c r="O1708" i="9" s="1"/>
  <c r="P1708" i="9" s="1"/>
  <c r="R1707" i="9"/>
  <c r="S1707" i="9"/>
  <c r="N1709" i="9" l="1"/>
  <c r="O1709" i="9" s="1"/>
  <c r="P1709" i="9" s="1"/>
  <c r="S1708" i="9"/>
  <c r="R1708" i="9"/>
  <c r="N1710" i="9" l="1"/>
  <c r="O1710" i="9" s="1"/>
  <c r="P1710" i="9" s="1"/>
  <c r="R1709" i="9"/>
  <c r="S1709" i="9"/>
  <c r="N1711" i="9" l="1"/>
  <c r="O1711" i="9" s="1"/>
  <c r="P1711" i="9" s="1"/>
  <c r="S1710" i="9"/>
  <c r="R1710" i="9"/>
  <c r="N1712" i="9" l="1"/>
  <c r="O1712" i="9" s="1"/>
  <c r="P1712" i="9" s="1"/>
  <c r="R1711" i="9"/>
  <c r="S1711" i="9"/>
  <c r="N1713" i="9" l="1"/>
  <c r="O1713" i="9" s="1"/>
  <c r="P1713" i="9" s="1"/>
  <c r="S1712" i="9"/>
  <c r="R1712" i="9"/>
  <c r="N1714" i="9" l="1"/>
  <c r="O1714" i="9" s="1"/>
  <c r="P1714" i="9" s="1"/>
  <c r="R1713" i="9"/>
  <c r="S1713" i="9"/>
  <c r="N1715" i="9" l="1"/>
  <c r="O1715" i="9" s="1"/>
  <c r="P1715" i="9" s="1"/>
  <c r="S1714" i="9"/>
  <c r="R1714" i="9"/>
  <c r="N1716" i="9" l="1"/>
  <c r="O1716" i="9" s="1"/>
  <c r="P1716" i="9" s="1"/>
  <c r="R1715" i="9"/>
  <c r="S1715" i="9"/>
  <c r="N1717" i="9" l="1"/>
  <c r="O1717" i="9" s="1"/>
  <c r="P1717" i="9" s="1"/>
  <c r="S1716" i="9"/>
  <c r="R1716" i="9"/>
  <c r="N1718" i="9" l="1"/>
  <c r="O1718" i="9" s="1"/>
  <c r="P1718" i="9" s="1"/>
  <c r="R1717" i="9"/>
  <c r="S1717" i="9"/>
  <c r="N1719" i="9" l="1"/>
  <c r="O1719" i="9" s="1"/>
  <c r="P1719" i="9" s="1"/>
  <c r="S1718" i="9"/>
  <c r="R1718" i="9"/>
  <c r="N1720" i="9" l="1"/>
  <c r="O1720" i="9" s="1"/>
  <c r="P1720" i="9" s="1"/>
  <c r="R1719" i="9"/>
  <c r="S1719" i="9"/>
  <c r="S1720" i="9" l="1"/>
  <c r="N1721" i="9"/>
  <c r="O1721" i="9" s="1"/>
  <c r="P1721" i="9" s="1"/>
  <c r="R1720" i="9"/>
  <c r="N1722" i="9" l="1"/>
  <c r="O1722" i="9" s="1"/>
  <c r="P1722" i="9" s="1"/>
  <c r="R1721" i="9"/>
  <c r="S1721" i="9"/>
  <c r="N1723" i="9" l="1"/>
  <c r="O1723" i="9" s="1"/>
  <c r="P1723" i="9" s="1"/>
  <c r="S1722" i="9"/>
  <c r="R1722" i="9"/>
  <c r="N1724" i="9" l="1"/>
  <c r="O1724" i="9" s="1"/>
  <c r="P1724" i="9" s="1"/>
  <c r="R1723" i="9"/>
  <c r="S1723" i="9"/>
  <c r="N1725" i="9" l="1"/>
  <c r="O1725" i="9" s="1"/>
  <c r="P1725" i="9" s="1"/>
  <c r="S1724" i="9"/>
  <c r="R1724" i="9"/>
  <c r="N1726" i="9" l="1"/>
  <c r="O1726" i="9" s="1"/>
  <c r="P1726" i="9" s="1"/>
  <c r="R1725" i="9"/>
  <c r="S1725" i="9"/>
  <c r="S1726" i="9" l="1"/>
  <c r="N1727" i="9"/>
  <c r="O1727" i="9" s="1"/>
  <c r="P1727" i="9" s="1"/>
  <c r="R1726" i="9"/>
  <c r="N1728" i="9" l="1"/>
  <c r="O1728" i="9" s="1"/>
  <c r="P1728" i="9" s="1"/>
  <c r="R1727" i="9"/>
  <c r="S1727" i="9"/>
  <c r="N1729" i="9" l="1"/>
  <c r="O1729" i="9" s="1"/>
  <c r="P1729" i="9" s="1"/>
  <c r="S1728" i="9"/>
  <c r="R1728" i="9"/>
  <c r="N1730" i="9" l="1"/>
  <c r="O1730" i="9" s="1"/>
  <c r="P1730" i="9" s="1"/>
  <c r="R1729" i="9"/>
  <c r="S1729" i="9"/>
  <c r="N1731" i="9" l="1"/>
  <c r="O1731" i="9" s="1"/>
  <c r="P1731" i="9" s="1"/>
  <c r="S1730" i="9"/>
  <c r="R1730" i="9"/>
  <c r="N1732" i="9" l="1"/>
  <c r="O1732" i="9" s="1"/>
  <c r="P1732" i="9" s="1"/>
  <c r="R1731" i="9"/>
  <c r="S1731" i="9"/>
  <c r="N1733" i="9" l="1"/>
  <c r="O1733" i="9" s="1"/>
  <c r="P1733" i="9" s="1"/>
  <c r="S1732" i="9"/>
  <c r="R1732" i="9"/>
  <c r="N1734" i="9" l="1"/>
  <c r="O1734" i="9" s="1"/>
  <c r="P1734" i="9" s="1"/>
  <c r="R1733" i="9"/>
  <c r="S1733" i="9"/>
  <c r="N1735" i="9" l="1"/>
  <c r="O1735" i="9" s="1"/>
  <c r="P1735" i="9" s="1"/>
  <c r="S1734" i="9"/>
  <c r="R1734" i="9"/>
  <c r="N1736" i="9" l="1"/>
  <c r="O1736" i="9" s="1"/>
  <c r="P1736" i="9" s="1"/>
  <c r="R1735" i="9"/>
  <c r="S1735" i="9"/>
  <c r="N1737" i="9" l="1"/>
  <c r="O1737" i="9" s="1"/>
  <c r="P1737" i="9" s="1"/>
  <c r="S1736" i="9"/>
  <c r="R1736" i="9"/>
  <c r="N1738" i="9" l="1"/>
  <c r="O1738" i="9" s="1"/>
  <c r="P1738" i="9" s="1"/>
  <c r="R1737" i="9"/>
  <c r="S1737" i="9"/>
  <c r="N1739" i="9" l="1"/>
  <c r="O1739" i="9" s="1"/>
  <c r="P1739" i="9" s="1"/>
  <c r="S1738" i="9"/>
  <c r="R1738" i="9"/>
  <c r="N1740" i="9" l="1"/>
  <c r="O1740" i="9" s="1"/>
  <c r="P1740" i="9" s="1"/>
  <c r="R1739" i="9"/>
  <c r="S1739" i="9"/>
  <c r="N1741" i="9" l="1"/>
  <c r="O1741" i="9" s="1"/>
  <c r="P1741" i="9" s="1"/>
  <c r="S1740" i="9"/>
  <c r="R1740" i="9"/>
  <c r="N1742" i="9" l="1"/>
  <c r="O1742" i="9" s="1"/>
  <c r="P1742" i="9" s="1"/>
  <c r="R1741" i="9"/>
  <c r="S1741" i="9"/>
  <c r="S1742" i="9" l="1"/>
  <c r="N1743" i="9"/>
  <c r="O1743" i="9" s="1"/>
  <c r="P1743" i="9" s="1"/>
  <c r="R1742" i="9"/>
  <c r="N1744" i="9" l="1"/>
  <c r="O1744" i="9" s="1"/>
  <c r="P1744" i="9" s="1"/>
  <c r="R1743" i="9"/>
  <c r="S1743" i="9"/>
  <c r="N1745" i="9" l="1"/>
  <c r="O1745" i="9" s="1"/>
  <c r="P1745" i="9" s="1"/>
  <c r="S1744" i="9"/>
  <c r="R1744" i="9"/>
  <c r="R1745" i="9" l="1"/>
  <c r="S1745" i="9"/>
  <c r="N1746" i="9"/>
  <c r="O1746" i="9" s="1"/>
  <c r="P1746" i="9" s="1"/>
  <c r="N1747" i="9" l="1"/>
  <c r="O1747" i="9" s="1"/>
  <c r="P1747" i="9" s="1"/>
  <c r="S1746" i="9"/>
  <c r="R1746" i="9"/>
  <c r="N1748" i="9" l="1"/>
  <c r="O1748" i="9" s="1"/>
  <c r="P1748" i="9" s="1"/>
  <c r="R1747" i="9"/>
  <c r="S1747" i="9"/>
  <c r="N1749" i="9" l="1"/>
  <c r="O1749" i="9" s="1"/>
  <c r="P1749" i="9" s="1"/>
  <c r="S1748" i="9"/>
  <c r="R1748" i="9"/>
  <c r="N1750" i="9" l="1"/>
  <c r="O1750" i="9" s="1"/>
  <c r="P1750" i="9" s="1"/>
  <c r="R1749" i="9"/>
  <c r="S1749" i="9"/>
  <c r="N1751" i="9" l="1"/>
  <c r="O1751" i="9" s="1"/>
  <c r="P1751" i="9" s="1"/>
  <c r="S1750" i="9"/>
  <c r="R1750" i="9"/>
  <c r="N1752" i="9" l="1"/>
  <c r="O1752" i="9" s="1"/>
  <c r="P1752" i="9" s="1"/>
  <c r="R1751" i="9"/>
  <c r="S1751" i="9"/>
  <c r="N1753" i="9" l="1"/>
  <c r="O1753" i="9" s="1"/>
  <c r="P1753" i="9" s="1"/>
  <c r="S1752" i="9"/>
  <c r="R1752" i="9"/>
  <c r="N1754" i="9" l="1"/>
  <c r="O1754" i="9" s="1"/>
  <c r="P1754" i="9" s="1"/>
  <c r="R1753" i="9"/>
  <c r="S1753" i="9"/>
  <c r="N1755" i="9" l="1"/>
  <c r="O1755" i="9" s="1"/>
  <c r="P1755" i="9" s="1"/>
  <c r="S1754" i="9"/>
  <c r="R1754" i="9"/>
  <c r="N1756" i="9" l="1"/>
  <c r="O1756" i="9" s="1"/>
  <c r="P1756" i="9" s="1"/>
  <c r="R1755" i="9"/>
  <c r="S1755" i="9"/>
  <c r="N1757" i="9" l="1"/>
  <c r="O1757" i="9" s="1"/>
  <c r="P1757" i="9" s="1"/>
  <c r="S1756" i="9"/>
  <c r="R1756" i="9"/>
  <c r="N1758" i="9" l="1"/>
  <c r="O1758" i="9" s="1"/>
  <c r="P1758" i="9" s="1"/>
  <c r="R1757" i="9"/>
  <c r="S1757" i="9"/>
  <c r="S1758" i="9" l="1"/>
  <c r="R1758" i="9"/>
  <c r="N1759" i="9"/>
  <c r="O1759" i="9" s="1"/>
  <c r="P1759" i="9" s="1"/>
  <c r="N1760" i="9" l="1"/>
  <c r="O1760" i="9" s="1"/>
  <c r="P1760" i="9" s="1"/>
  <c r="R1759" i="9"/>
  <c r="S1759" i="9"/>
  <c r="N1761" i="9" l="1"/>
  <c r="O1761" i="9" s="1"/>
  <c r="P1761" i="9" s="1"/>
  <c r="S1760" i="9"/>
  <c r="R1760" i="9"/>
  <c r="N1762" i="9" l="1"/>
  <c r="O1762" i="9" s="1"/>
  <c r="P1762" i="9" s="1"/>
  <c r="R1761" i="9"/>
  <c r="S1761" i="9"/>
  <c r="N1763" i="9" l="1"/>
  <c r="O1763" i="9" s="1"/>
  <c r="P1763" i="9" s="1"/>
  <c r="S1762" i="9"/>
  <c r="R1762" i="9"/>
  <c r="N1764" i="9" l="1"/>
  <c r="O1764" i="9" s="1"/>
  <c r="P1764" i="9" s="1"/>
  <c r="R1763" i="9"/>
  <c r="S1763" i="9"/>
  <c r="S1764" i="9" l="1"/>
  <c r="N1765" i="9"/>
  <c r="O1765" i="9" s="1"/>
  <c r="P1765" i="9" s="1"/>
  <c r="R1764" i="9"/>
  <c r="N1766" i="9" l="1"/>
  <c r="O1766" i="9" s="1"/>
  <c r="P1766" i="9" s="1"/>
  <c r="R1765" i="9"/>
  <c r="S1765" i="9"/>
  <c r="N1767" i="9" l="1"/>
  <c r="O1767" i="9" s="1"/>
  <c r="P1767" i="9" s="1"/>
  <c r="S1766" i="9"/>
  <c r="R1766" i="9"/>
  <c r="N1768" i="9" l="1"/>
  <c r="O1768" i="9" s="1"/>
  <c r="P1768" i="9" s="1"/>
  <c r="R1767" i="9"/>
  <c r="S1767" i="9"/>
  <c r="N1769" i="9" l="1"/>
  <c r="O1769" i="9" s="1"/>
  <c r="P1769" i="9" s="1"/>
  <c r="S1768" i="9"/>
  <c r="R1768" i="9"/>
  <c r="N1770" i="9" l="1"/>
  <c r="O1770" i="9" s="1"/>
  <c r="P1770" i="9" s="1"/>
  <c r="R1769" i="9"/>
  <c r="S1769" i="9"/>
  <c r="N1771" i="9" l="1"/>
  <c r="O1771" i="9" s="1"/>
  <c r="P1771" i="9" s="1"/>
  <c r="S1770" i="9"/>
  <c r="R1770" i="9"/>
  <c r="N1772" i="9" l="1"/>
  <c r="O1772" i="9" s="1"/>
  <c r="P1772" i="9" s="1"/>
  <c r="R1771" i="9"/>
  <c r="S1771" i="9"/>
  <c r="N1773" i="9" l="1"/>
  <c r="O1773" i="9" s="1"/>
  <c r="P1773" i="9" s="1"/>
  <c r="S1772" i="9"/>
  <c r="R1772" i="9"/>
  <c r="N1774" i="9" l="1"/>
  <c r="O1774" i="9" s="1"/>
  <c r="P1774" i="9" s="1"/>
  <c r="R1773" i="9"/>
  <c r="S1773" i="9"/>
  <c r="N1775" i="9" l="1"/>
  <c r="O1775" i="9" s="1"/>
  <c r="P1775" i="9" s="1"/>
  <c r="S1774" i="9"/>
  <c r="R1774" i="9"/>
  <c r="N1776" i="9" l="1"/>
  <c r="O1776" i="9" s="1"/>
  <c r="P1776" i="9" s="1"/>
  <c r="R1775" i="9"/>
  <c r="S1775" i="9"/>
  <c r="N1777" i="9" l="1"/>
  <c r="O1777" i="9" s="1"/>
  <c r="P1777" i="9" s="1"/>
  <c r="S1776" i="9"/>
  <c r="R1776" i="9"/>
  <c r="N1778" i="9" l="1"/>
  <c r="O1778" i="9" s="1"/>
  <c r="P1778" i="9" s="1"/>
  <c r="R1777" i="9"/>
  <c r="S1777" i="9"/>
  <c r="N1779" i="9" l="1"/>
  <c r="O1779" i="9" s="1"/>
  <c r="P1779" i="9" s="1"/>
  <c r="S1778" i="9"/>
  <c r="R1778" i="9"/>
  <c r="N1780" i="9" l="1"/>
  <c r="O1780" i="9" s="1"/>
  <c r="P1780" i="9" s="1"/>
  <c r="R1779" i="9"/>
  <c r="S1779" i="9"/>
  <c r="S1780" i="9" l="1"/>
  <c r="N1781" i="9"/>
  <c r="O1781" i="9" s="1"/>
  <c r="P1781" i="9" s="1"/>
  <c r="R1780" i="9"/>
  <c r="N1782" i="9" l="1"/>
  <c r="O1782" i="9" s="1"/>
  <c r="P1782" i="9" s="1"/>
  <c r="R1781" i="9"/>
  <c r="S1781" i="9"/>
  <c r="N1783" i="9" l="1"/>
  <c r="O1783" i="9" s="1"/>
  <c r="P1783" i="9" s="1"/>
  <c r="S1782" i="9"/>
  <c r="R1782" i="9"/>
  <c r="N1784" i="9" l="1"/>
  <c r="O1784" i="9" s="1"/>
  <c r="P1784" i="9" s="1"/>
  <c r="R1783" i="9"/>
  <c r="S1783" i="9"/>
  <c r="N1785" i="9" l="1"/>
  <c r="O1785" i="9" s="1"/>
  <c r="P1785" i="9" s="1"/>
  <c r="S1784" i="9"/>
  <c r="R1784" i="9"/>
  <c r="N1786" i="9" l="1"/>
  <c r="O1786" i="9" s="1"/>
  <c r="P1786" i="9" s="1"/>
  <c r="R1785" i="9"/>
  <c r="S1785" i="9"/>
  <c r="N1787" i="9" l="1"/>
  <c r="O1787" i="9" s="1"/>
  <c r="P1787" i="9" s="1"/>
  <c r="S1786" i="9"/>
  <c r="R1786" i="9"/>
  <c r="N1788" i="9" l="1"/>
  <c r="O1788" i="9" s="1"/>
  <c r="P1788" i="9" s="1"/>
  <c r="R1787" i="9"/>
  <c r="S1787" i="9"/>
  <c r="N1789" i="9" l="1"/>
  <c r="O1789" i="9" s="1"/>
  <c r="P1789" i="9" s="1"/>
  <c r="S1788" i="9"/>
  <c r="R1788" i="9"/>
  <c r="N1790" i="9" l="1"/>
  <c r="O1790" i="9" s="1"/>
  <c r="P1790" i="9" s="1"/>
  <c r="R1789" i="9"/>
  <c r="S1789" i="9"/>
  <c r="N1791" i="9" l="1"/>
  <c r="O1791" i="9" s="1"/>
  <c r="P1791" i="9" s="1"/>
  <c r="S1790" i="9"/>
  <c r="R1790" i="9"/>
  <c r="N1792" i="9" l="1"/>
  <c r="O1792" i="9" s="1"/>
  <c r="P1792" i="9" s="1"/>
  <c r="R1791" i="9"/>
  <c r="S1791" i="9"/>
  <c r="N1793" i="9" l="1"/>
  <c r="O1793" i="9" s="1"/>
  <c r="P1793" i="9" s="1"/>
  <c r="S1792" i="9"/>
  <c r="R1792" i="9"/>
  <c r="N1794" i="9" l="1"/>
  <c r="O1794" i="9" s="1"/>
  <c r="P1794" i="9" s="1"/>
  <c r="R1793" i="9"/>
  <c r="S1793" i="9"/>
  <c r="N1795" i="9" l="1"/>
  <c r="O1795" i="9" s="1"/>
  <c r="P1795" i="9" s="1"/>
  <c r="S1794" i="9"/>
  <c r="R1794" i="9"/>
  <c r="N1796" i="9" l="1"/>
  <c r="O1796" i="9" s="1"/>
  <c r="P1796" i="9" s="1"/>
  <c r="R1795" i="9"/>
  <c r="S1795" i="9"/>
  <c r="S1796" i="9" l="1"/>
  <c r="N1797" i="9"/>
  <c r="O1797" i="9" s="1"/>
  <c r="P1797" i="9" s="1"/>
  <c r="R1796" i="9"/>
  <c r="N1798" i="9" l="1"/>
  <c r="O1798" i="9" s="1"/>
  <c r="P1798" i="9" s="1"/>
  <c r="R1797" i="9"/>
  <c r="S1797" i="9"/>
  <c r="N1799" i="9" l="1"/>
  <c r="O1799" i="9" s="1"/>
  <c r="P1799" i="9" s="1"/>
  <c r="S1798" i="9"/>
  <c r="R1798" i="9"/>
  <c r="N1800" i="9" l="1"/>
  <c r="O1800" i="9" s="1"/>
  <c r="P1800" i="9" s="1"/>
  <c r="R1799" i="9"/>
  <c r="S1799" i="9"/>
  <c r="N1801" i="9" l="1"/>
  <c r="O1801" i="9" s="1"/>
  <c r="P1801" i="9" s="1"/>
  <c r="S1800" i="9"/>
  <c r="R1800" i="9"/>
  <c r="N1802" i="9" l="1"/>
  <c r="O1802" i="9" s="1"/>
  <c r="P1802" i="9" s="1"/>
  <c r="R1801" i="9"/>
  <c r="S1801" i="9"/>
  <c r="S1802" i="9" l="1"/>
  <c r="N1803" i="9"/>
  <c r="O1803" i="9" s="1"/>
  <c r="P1803" i="9" s="1"/>
  <c r="R1802" i="9"/>
  <c r="N1804" i="9" l="1"/>
  <c r="O1804" i="9" s="1"/>
  <c r="P1804" i="9" s="1"/>
  <c r="R1803" i="9"/>
  <c r="S1803" i="9"/>
  <c r="N1805" i="9" l="1"/>
  <c r="O1805" i="9" s="1"/>
  <c r="P1805" i="9" s="1"/>
  <c r="S1804" i="9"/>
  <c r="R1804" i="9"/>
  <c r="N1806" i="9" l="1"/>
  <c r="O1806" i="9" s="1"/>
  <c r="P1806" i="9" s="1"/>
  <c r="R1805" i="9"/>
  <c r="S1805" i="9"/>
  <c r="N1807" i="9" l="1"/>
  <c r="O1807" i="9" s="1"/>
  <c r="P1807" i="9" s="1"/>
  <c r="S1806" i="9"/>
  <c r="R1806" i="9"/>
  <c r="N1808" i="9" l="1"/>
  <c r="O1808" i="9" s="1"/>
  <c r="P1808" i="9" s="1"/>
  <c r="R1807" i="9"/>
  <c r="S1807" i="9"/>
  <c r="N1809" i="9" l="1"/>
  <c r="O1809" i="9" s="1"/>
  <c r="P1809" i="9" s="1"/>
  <c r="S1808" i="9"/>
  <c r="R1808" i="9"/>
  <c r="N1810" i="9" l="1"/>
  <c r="O1810" i="9" s="1"/>
  <c r="P1810" i="9" s="1"/>
  <c r="R1809" i="9"/>
  <c r="S1809" i="9"/>
  <c r="N1811" i="9" l="1"/>
  <c r="O1811" i="9" s="1"/>
  <c r="P1811" i="9" s="1"/>
  <c r="S1810" i="9"/>
  <c r="R1810" i="9"/>
  <c r="N1812" i="9" l="1"/>
  <c r="O1812" i="9" s="1"/>
  <c r="P1812" i="9" s="1"/>
  <c r="R1811" i="9"/>
  <c r="S1811" i="9"/>
  <c r="N1813" i="9" l="1"/>
  <c r="O1813" i="9" s="1"/>
  <c r="P1813" i="9" s="1"/>
  <c r="S1812" i="9"/>
  <c r="R1812" i="9"/>
  <c r="N1814" i="9" l="1"/>
  <c r="O1814" i="9" s="1"/>
  <c r="P1814" i="9" s="1"/>
  <c r="R1813" i="9"/>
  <c r="S1813" i="9"/>
  <c r="N1815" i="9" l="1"/>
  <c r="O1815" i="9" s="1"/>
  <c r="P1815" i="9" s="1"/>
  <c r="S1814" i="9"/>
  <c r="R1814" i="9"/>
  <c r="N1816" i="9" l="1"/>
  <c r="O1816" i="9" s="1"/>
  <c r="P1816" i="9" s="1"/>
  <c r="R1815" i="9"/>
  <c r="S1815" i="9"/>
  <c r="N1817" i="9" l="1"/>
  <c r="O1817" i="9" s="1"/>
  <c r="P1817" i="9" s="1"/>
  <c r="S1816" i="9"/>
  <c r="R1816" i="9"/>
  <c r="N1818" i="9" l="1"/>
  <c r="O1818" i="9" s="1"/>
  <c r="P1818" i="9" s="1"/>
  <c r="R1817" i="9"/>
  <c r="S1817" i="9"/>
  <c r="S1818" i="9" l="1"/>
  <c r="N1819" i="9"/>
  <c r="O1819" i="9" s="1"/>
  <c r="P1819" i="9" s="1"/>
  <c r="R1818" i="9"/>
  <c r="N1820" i="9" l="1"/>
  <c r="O1820" i="9" s="1"/>
  <c r="P1820" i="9" s="1"/>
  <c r="R1819" i="9"/>
  <c r="S1819" i="9"/>
  <c r="N1821" i="9" l="1"/>
  <c r="O1821" i="9" s="1"/>
  <c r="P1821" i="9" s="1"/>
  <c r="S1820" i="9"/>
  <c r="R1820" i="9"/>
  <c r="R1821" i="9" l="1"/>
  <c r="S1821" i="9"/>
  <c r="N1822" i="9"/>
  <c r="O1822" i="9" s="1"/>
  <c r="P1822" i="9" s="1"/>
  <c r="N1823" i="9" l="1"/>
  <c r="O1823" i="9" s="1"/>
  <c r="P1823" i="9" s="1"/>
  <c r="S1822" i="9"/>
  <c r="R1822" i="9"/>
  <c r="N1824" i="9" l="1"/>
  <c r="O1824" i="9" s="1"/>
  <c r="P1824" i="9" s="1"/>
  <c r="R1823" i="9"/>
  <c r="S1823" i="9"/>
  <c r="N1825" i="9" l="1"/>
  <c r="O1825" i="9" s="1"/>
  <c r="P1825" i="9" s="1"/>
  <c r="S1824" i="9"/>
  <c r="R1824" i="9"/>
  <c r="N1826" i="9" l="1"/>
  <c r="O1826" i="9" s="1"/>
  <c r="P1826" i="9" s="1"/>
  <c r="R1825" i="9"/>
  <c r="S1825" i="9"/>
  <c r="N1827" i="9" l="1"/>
  <c r="O1827" i="9" s="1"/>
  <c r="P1827" i="9" s="1"/>
  <c r="S1826" i="9"/>
  <c r="R1826" i="9"/>
  <c r="N1828" i="9" l="1"/>
  <c r="O1828" i="9" s="1"/>
  <c r="P1828" i="9" s="1"/>
  <c r="R1827" i="9"/>
  <c r="S1827" i="9"/>
  <c r="N1829" i="9" l="1"/>
  <c r="O1829" i="9" s="1"/>
  <c r="P1829" i="9" s="1"/>
  <c r="S1828" i="9"/>
  <c r="R1828" i="9"/>
  <c r="N1830" i="9" l="1"/>
  <c r="O1830" i="9" s="1"/>
  <c r="P1830" i="9" s="1"/>
  <c r="R1829" i="9"/>
  <c r="S1829" i="9"/>
  <c r="N1831" i="9" l="1"/>
  <c r="O1831" i="9" s="1"/>
  <c r="P1831" i="9" s="1"/>
  <c r="S1830" i="9"/>
  <c r="R1830" i="9"/>
  <c r="N1832" i="9" l="1"/>
  <c r="O1832" i="9" s="1"/>
  <c r="P1832" i="9" s="1"/>
  <c r="R1831" i="9"/>
  <c r="S1831" i="9"/>
  <c r="N1833" i="9" l="1"/>
  <c r="O1833" i="9" s="1"/>
  <c r="P1833" i="9" s="1"/>
  <c r="S1832" i="9"/>
  <c r="R1832" i="9"/>
  <c r="N1834" i="9" l="1"/>
  <c r="O1834" i="9" s="1"/>
  <c r="P1834" i="9" s="1"/>
  <c r="R1833" i="9"/>
  <c r="S1833" i="9"/>
  <c r="S1834" i="9" l="1"/>
  <c r="R1834" i="9"/>
  <c r="N1835" i="9"/>
  <c r="O1835" i="9" s="1"/>
  <c r="P1835" i="9" s="1"/>
  <c r="N1836" i="9" l="1"/>
  <c r="O1836" i="9" s="1"/>
  <c r="P1836" i="9" s="1"/>
  <c r="R1835" i="9"/>
  <c r="S1835" i="9"/>
  <c r="N1837" i="9" l="1"/>
  <c r="O1837" i="9" s="1"/>
  <c r="P1837" i="9" s="1"/>
  <c r="S1836" i="9"/>
  <c r="R1836" i="9"/>
  <c r="N1838" i="9" l="1"/>
  <c r="O1838" i="9" s="1"/>
  <c r="P1838" i="9" s="1"/>
  <c r="R1837" i="9"/>
  <c r="S1837" i="9"/>
  <c r="N1839" i="9" l="1"/>
  <c r="O1839" i="9" s="1"/>
  <c r="P1839" i="9" s="1"/>
  <c r="S1838" i="9"/>
  <c r="R1838" i="9"/>
  <c r="N1840" i="9" l="1"/>
  <c r="O1840" i="9" s="1"/>
  <c r="P1840" i="9" s="1"/>
  <c r="R1839" i="9"/>
  <c r="S1839" i="9"/>
  <c r="N1841" i="9" l="1"/>
  <c r="O1841" i="9" s="1"/>
  <c r="P1841" i="9" s="1"/>
  <c r="S1840" i="9"/>
  <c r="R1840" i="9"/>
  <c r="N1842" i="9" l="1"/>
  <c r="O1842" i="9" s="1"/>
  <c r="P1842" i="9" s="1"/>
  <c r="R1841" i="9"/>
  <c r="S1841" i="9"/>
  <c r="N1843" i="9" l="1"/>
  <c r="O1843" i="9" s="1"/>
  <c r="P1843" i="9" s="1"/>
  <c r="S1842" i="9"/>
  <c r="R1842" i="9"/>
  <c r="N1844" i="9" l="1"/>
  <c r="O1844" i="9" s="1"/>
  <c r="P1844" i="9" s="1"/>
  <c r="R1843" i="9"/>
  <c r="S1843" i="9"/>
  <c r="N1845" i="9" l="1"/>
  <c r="O1845" i="9" s="1"/>
  <c r="P1845" i="9" s="1"/>
  <c r="S1844" i="9"/>
  <c r="R1844" i="9"/>
  <c r="N1846" i="9" l="1"/>
  <c r="O1846" i="9" s="1"/>
  <c r="P1846" i="9" s="1"/>
  <c r="R1845" i="9"/>
  <c r="S1845" i="9"/>
  <c r="N1847" i="9" l="1"/>
  <c r="O1847" i="9" s="1"/>
  <c r="P1847" i="9" s="1"/>
  <c r="S1846" i="9"/>
  <c r="R1846" i="9"/>
  <c r="N1848" i="9" l="1"/>
  <c r="O1848" i="9" s="1"/>
  <c r="P1848" i="9" s="1"/>
  <c r="R1847" i="9"/>
  <c r="S1847" i="9"/>
  <c r="N1849" i="9" l="1"/>
  <c r="O1849" i="9" s="1"/>
  <c r="P1849" i="9" s="1"/>
  <c r="S1848" i="9"/>
  <c r="R1848" i="9"/>
  <c r="N1850" i="9" l="1"/>
  <c r="O1850" i="9" s="1"/>
  <c r="P1850" i="9" s="1"/>
  <c r="R1849" i="9"/>
  <c r="S1849" i="9"/>
  <c r="N1851" i="9" l="1"/>
  <c r="O1851" i="9" s="1"/>
  <c r="P1851" i="9" s="1"/>
  <c r="S1850" i="9"/>
  <c r="R1850" i="9"/>
  <c r="N1852" i="9" l="1"/>
  <c r="O1852" i="9" s="1"/>
  <c r="P1852" i="9" s="1"/>
  <c r="R1851" i="9"/>
  <c r="S1851" i="9"/>
  <c r="N1853" i="9" l="1"/>
  <c r="O1853" i="9" s="1"/>
  <c r="P1853" i="9" s="1"/>
  <c r="S1852" i="9"/>
  <c r="R1852" i="9"/>
  <c r="N1854" i="9" l="1"/>
  <c r="O1854" i="9" s="1"/>
  <c r="P1854" i="9" s="1"/>
  <c r="R1853" i="9"/>
  <c r="S1853" i="9"/>
  <c r="N1855" i="9" l="1"/>
  <c r="O1855" i="9" s="1"/>
  <c r="P1855" i="9" s="1"/>
  <c r="S1854" i="9"/>
  <c r="R1854" i="9"/>
  <c r="N1856" i="9" l="1"/>
  <c r="O1856" i="9" s="1"/>
  <c r="P1856" i="9" s="1"/>
  <c r="R1855" i="9"/>
  <c r="S1855" i="9"/>
  <c r="N1857" i="9" l="1"/>
  <c r="O1857" i="9" s="1"/>
  <c r="P1857" i="9" s="1"/>
  <c r="S1856" i="9"/>
  <c r="R1856" i="9"/>
  <c r="N1858" i="9" l="1"/>
  <c r="O1858" i="9" s="1"/>
  <c r="P1858" i="9" s="1"/>
  <c r="R1857" i="9"/>
  <c r="S1857" i="9"/>
  <c r="N1859" i="9" l="1"/>
  <c r="O1859" i="9" s="1"/>
  <c r="P1859" i="9" s="1"/>
  <c r="S1858" i="9"/>
  <c r="R1858" i="9"/>
  <c r="N1860" i="9" l="1"/>
  <c r="O1860" i="9" s="1"/>
  <c r="P1860" i="9" s="1"/>
  <c r="R1859" i="9"/>
  <c r="S1859" i="9"/>
  <c r="N1861" i="9" l="1"/>
  <c r="O1861" i="9" s="1"/>
  <c r="P1861" i="9" s="1"/>
  <c r="S1860" i="9"/>
  <c r="R1860" i="9"/>
  <c r="N1862" i="9" l="1"/>
  <c r="O1862" i="9" s="1"/>
  <c r="P1862" i="9" s="1"/>
  <c r="R1861" i="9"/>
  <c r="S1861" i="9"/>
  <c r="N1863" i="9" l="1"/>
  <c r="O1863" i="9" s="1"/>
  <c r="P1863" i="9" s="1"/>
  <c r="S1862" i="9"/>
  <c r="R1862" i="9"/>
  <c r="N1864" i="9" l="1"/>
  <c r="O1864" i="9" s="1"/>
  <c r="P1864" i="9" s="1"/>
  <c r="R1863" i="9"/>
  <c r="S1863" i="9"/>
  <c r="N1865" i="9" l="1"/>
  <c r="O1865" i="9" s="1"/>
  <c r="P1865" i="9" s="1"/>
  <c r="S1864" i="9"/>
  <c r="R1864" i="9"/>
  <c r="N1866" i="9" l="1"/>
  <c r="O1866" i="9" s="1"/>
  <c r="P1866" i="9" s="1"/>
  <c r="R1865" i="9"/>
  <c r="S1865" i="9"/>
  <c r="N1867" i="9" l="1"/>
  <c r="O1867" i="9" s="1"/>
  <c r="P1867" i="9" s="1"/>
  <c r="S1866" i="9"/>
  <c r="R1866" i="9"/>
  <c r="N1868" i="9" l="1"/>
  <c r="O1868" i="9" s="1"/>
  <c r="P1868" i="9" s="1"/>
  <c r="R1867" i="9"/>
  <c r="S1867" i="9"/>
  <c r="S1868" i="9" l="1"/>
  <c r="N1869" i="9"/>
  <c r="O1869" i="9" s="1"/>
  <c r="P1869" i="9" s="1"/>
  <c r="R1868" i="9"/>
  <c r="N1870" i="9" l="1"/>
  <c r="O1870" i="9" s="1"/>
  <c r="P1870" i="9" s="1"/>
  <c r="R1869" i="9"/>
  <c r="S1869" i="9"/>
  <c r="N1871" i="9" l="1"/>
  <c r="O1871" i="9" s="1"/>
  <c r="P1871" i="9" s="1"/>
  <c r="S1870" i="9"/>
  <c r="R1870" i="9"/>
  <c r="N1872" i="9" l="1"/>
  <c r="O1872" i="9" s="1"/>
  <c r="P1872" i="9" s="1"/>
  <c r="R1871" i="9"/>
  <c r="S1871" i="9"/>
  <c r="N1873" i="9" l="1"/>
  <c r="O1873" i="9" s="1"/>
  <c r="P1873" i="9" s="1"/>
  <c r="S1872" i="9"/>
  <c r="R1872" i="9"/>
  <c r="N1874" i="9" l="1"/>
  <c r="O1874" i="9" s="1"/>
  <c r="P1874" i="9" s="1"/>
  <c r="R1873" i="9"/>
  <c r="S1873" i="9"/>
  <c r="N1875" i="9" l="1"/>
  <c r="O1875" i="9" s="1"/>
  <c r="P1875" i="9" s="1"/>
  <c r="S1874" i="9"/>
  <c r="R1874" i="9"/>
  <c r="N1876" i="9" l="1"/>
  <c r="O1876" i="9" s="1"/>
  <c r="P1876" i="9" s="1"/>
  <c r="R1875" i="9"/>
  <c r="S1875" i="9"/>
  <c r="N1877" i="9" l="1"/>
  <c r="O1877" i="9" s="1"/>
  <c r="P1877" i="9" s="1"/>
  <c r="S1876" i="9"/>
  <c r="R1876" i="9"/>
  <c r="N1878" i="9" l="1"/>
  <c r="O1878" i="9" s="1"/>
  <c r="P1878" i="9" s="1"/>
  <c r="R1877" i="9"/>
  <c r="S1877" i="9"/>
  <c r="S1878" i="9" l="1"/>
  <c r="N1879" i="9"/>
  <c r="O1879" i="9" s="1"/>
  <c r="P1879" i="9" s="1"/>
  <c r="R1878" i="9"/>
  <c r="N1880" i="9" l="1"/>
  <c r="O1880" i="9" s="1"/>
  <c r="P1880" i="9" s="1"/>
  <c r="R1879" i="9"/>
  <c r="S1879" i="9"/>
  <c r="N1881" i="9" l="1"/>
  <c r="O1881" i="9" s="1"/>
  <c r="P1881" i="9" s="1"/>
  <c r="S1880" i="9"/>
  <c r="R1880" i="9"/>
  <c r="N1882" i="9" l="1"/>
  <c r="O1882" i="9" s="1"/>
  <c r="P1882" i="9" s="1"/>
  <c r="R1881" i="9"/>
  <c r="S1881" i="9"/>
  <c r="N1883" i="9" l="1"/>
  <c r="O1883" i="9" s="1"/>
  <c r="P1883" i="9" s="1"/>
  <c r="S1882" i="9"/>
  <c r="R1882" i="9"/>
  <c r="N1884" i="9" l="1"/>
  <c r="O1884" i="9" s="1"/>
  <c r="P1884" i="9" s="1"/>
  <c r="R1883" i="9"/>
  <c r="S1883" i="9"/>
  <c r="S1884" i="9" l="1"/>
  <c r="R1884" i="9"/>
  <c r="N1885" i="9"/>
  <c r="O1885" i="9" s="1"/>
  <c r="P1885" i="9" s="1"/>
  <c r="N1886" i="9" l="1"/>
  <c r="O1886" i="9" s="1"/>
  <c r="P1886" i="9" s="1"/>
  <c r="R1885" i="9"/>
  <c r="S1885" i="9"/>
  <c r="N1887" i="9" l="1"/>
  <c r="O1887" i="9" s="1"/>
  <c r="P1887" i="9" s="1"/>
  <c r="S1886" i="9"/>
  <c r="R1886" i="9"/>
  <c r="N1888" i="9" l="1"/>
  <c r="O1888" i="9" s="1"/>
  <c r="P1888" i="9" s="1"/>
  <c r="R1887" i="9"/>
  <c r="S1887" i="9"/>
  <c r="N1889" i="9" l="1"/>
  <c r="O1889" i="9" s="1"/>
  <c r="P1889" i="9" s="1"/>
  <c r="R1888" i="9"/>
  <c r="S1888" i="9"/>
  <c r="N1890" i="9" l="1"/>
  <c r="O1890" i="9" s="1"/>
  <c r="P1890" i="9" s="1"/>
  <c r="R1889" i="9"/>
  <c r="S1889" i="9"/>
  <c r="N1891" i="9" l="1"/>
  <c r="O1891" i="9" s="1"/>
  <c r="P1891" i="9" s="1"/>
  <c r="R1890" i="9"/>
  <c r="S1890" i="9"/>
  <c r="N1892" i="9" l="1"/>
  <c r="O1892" i="9" s="1"/>
  <c r="P1892" i="9" s="1"/>
  <c r="R1891" i="9"/>
  <c r="S1891" i="9"/>
  <c r="N1893" i="9" l="1"/>
  <c r="O1893" i="9" s="1"/>
  <c r="P1893" i="9" s="1"/>
  <c r="R1892" i="9"/>
  <c r="S1892" i="9"/>
  <c r="N1894" i="9" l="1"/>
  <c r="O1894" i="9" s="1"/>
  <c r="P1894" i="9" s="1"/>
  <c r="R1893" i="9"/>
  <c r="S1893" i="9"/>
  <c r="N1895" i="9" l="1"/>
  <c r="O1895" i="9" s="1"/>
  <c r="P1895" i="9" s="1"/>
  <c r="R1894" i="9"/>
  <c r="S1894" i="9"/>
  <c r="N1896" i="9" l="1"/>
  <c r="O1896" i="9" s="1"/>
  <c r="P1896" i="9" s="1"/>
  <c r="R1895" i="9"/>
  <c r="S1895" i="9"/>
  <c r="N1897" i="9" l="1"/>
  <c r="O1897" i="9" s="1"/>
  <c r="P1897" i="9" s="1"/>
  <c r="R1896" i="9"/>
  <c r="S1896" i="9"/>
  <c r="N1898" i="9" l="1"/>
  <c r="O1898" i="9" s="1"/>
  <c r="P1898" i="9" s="1"/>
  <c r="R1897" i="9"/>
  <c r="S1897" i="9"/>
  <c r="N1899" i="9" l="1"/>
  <c r="O1899" i="9" s="1"/>
  <c r="P1899" i="9" s="1"/>
  <c r="R1898" i="9"/>
  <c r="S1898" i="9"/>
  <c r="N1900" i="9" l="1"/>
  <c r="O1900" i="9" s="1"/>
  <c r="P1900" i="9" s="1"/>
  <c r="R1899" i="9"/>
  <c r="S1899" i="9"/>
  <c r="N1901" i="9" l="1"/>
  <c r="O1901" i="9" s="1"/>
  <c r="P1901" i="9" s="1"/>
  <c r="R1900" i="9"/>
  <c r="S1900" i="9"/>
  <c r="N1902" i="9" l="1"/>
  <c r="O1902" i="9" s="1"/>
  <c r="P1902" i="9" s="1"/>
  <c r="R1901" i="9"/>
  <c r="S1901" i="9"/>
  <c r="N1903" i="9" l="1"/>
  <c r="O1903" i="9" s="1"/>
  <c r="P1903" i="9" s="1"/>
  <c r="R1902" i="9"/>
  <c r="S1902" i="9"/>
  <c r="N1904" i="9" l="1"/>
  <c r="O1904" i="9" s="1"/>
  <c r="P1904" i="9" s="1"/>
  <c r="R1903" i="9"/>
  <c r="S1903" i="9"/>
  <c r="N1905" i="9" l="1"/>
  <c r="O1905" i="9" s="1"/>
  <c r="P1905" i="9" s="1"/>
  <c r="R1904" i="9"/>
  <c r="S1904" i="9"/>
  <c r="N1906" i="9" l="1"/>
  <c r="O1906" i="9" s="1"/>
  <c r="P1906" i="9" s="1"/>
  <c r="R1905" i="9"/>
  <c r="S1905" i="9"/>
  <c r="N1907" i="9" l="1"/>
  <c r="O1907" i="9" s="1"/>
  <c r="P1907" i="9" s="1"/>
  <c r="R1906" i="9"/>
  <c r="S1906" i="9"/>
  <c r="N1908" i="9" l="1"/>
  <c r="O1908" i="9" s="1"/>
  <c r="P1908" i="9" s="1"/>
  <c r="R1907" i="9"/>
  <c r="S1907" i="9"/>
  <c r="N1909" i="9" l="1"/>
  <c r="O1909" i="9" s="1"/>
  <c r="P1909" i="9" s="1"/>
  <c r="R1908" i="9"/>
  <c r="S1908" i="9"/>
  <c r="N1910" i="9" l="1"/>
  <c r="O1910" i="9" s="1"/>
  <c r="P1910" i="9" s="1"/>
  <c r="R1909" i="9"/>
  <c r="S1909" i="9"/>
  <c r="R1910" i="9" l="1"/>
  <c r="S1910" i="9"/>
  <c r="N1911" i="9"/>
  <c r="O1911" i="9" s="1"/>
  <c r="P1911" i="9" s="1"/>
  <c r="N1912" i="9" l="1"/>
  <c r="O1912" i="9" s="1"/>
  <c r="P1912" i="9" s="1"/>
  <c r="R1911" i="9"/>
  <c r="S1911" i="9"/>
  <c r="N1913" i="9" l="1"/>
  <c r="O1913" i="9" s="1"/>
  <c r="P1913" i="9" s="1"/>
  <c r="R1912" i="9"/>
  <c r="S1912" i="9"/>
  <c r="N1914" i="9" l="1"/>
  <c r="O1914" i="9" s="1"/>
  <c r="P1914" i="9" s="1"/>
  <c r="R1913" i="9"/>
  <c r="S1913" i="9"/>
  <c r="N1915" i="9" l="1"/>
  <c r="O1915" i="9" s="1"/>
  <c r="P1915" i="9" s="1"/>
  <c r="R1914" i="9"/>
  <c r="S1914" i="9"/>
  <c r="N1916" i="9" l="1"/>
  <c r="O1916" i="9" s="1"/>
  <c r="P1916" i="9" s="1"/>
  <c r="R1915" i="9"/>
  <c r="S1915" i="9"/>
  <c r="N1917" i="9" l="1"/>
  <c r="O1917" i="9" s="1"/>
  <c r="P1917" i="9" s="1"/>
  <c r="R1916" i="9"/>
  <c r="S1916" i="9"/>
  <c r="N1918" i="9" l="1"/>
  <c r="O1918" i="9" s="1"/>
  <c r="P1918" i="9" s="1"/>
  <c r="R1917" i="9"/>
  <c r="S1917" i="9"/>
  <c r="N1919" i="9" l="1"/>
  <c r="O1919" i="9" s="1"/>
  <c r="P1919" i="9" s="1"/>
  <c r="R1918" i="9"/>
  <c r="S1918" i="9"/>
  <c r="N1920" i="9" l="1"/>
  <c r="O1920" i="9" s="1"/>
  <c r="P1920" i="9" s="1"/>
  <c r="R1919" i="9"/>
  <c r="S1919" i="9"/>
  <c r="N1921" i="9" l="1"/>
  <c r="O1921" i="9" s="1"/>
  <c r="P1921" i="9" s="1"/>
  <c r="R1920" i="9"/>
  <c r="S1920" i="9"/>
  <c r="N1922" i="9" l="1"/>
  <c r="O1922" i="9" s="1"/>
  <c r="P1922" i="9" s="1"/>
  <c r="R1921" i="9"/>
  <c r="S1921" i="9"/>
  <c r="N1923" i="9" l="1"/>
  <c r="O1923" i="9" s="1"/>
  <c r="P1923" i="9" s="1"/>
  <c r="R1922" i="9"/>
  <c r="S1922" i="9"/>
  <c r="N1924" i="9" l="1"/>
  <c r="O1924" i="9" s="1"/>
  <c r="P1924" i="9" s="1"/>
  <c r="S1923" i="9"/>
  <c r="R1923" i="9"/>
  <c r="N1925" i="9" l="1"/>
  <c r="O1925" i="9" s="1"/>
  <c r="P1925" i="9" s="1"/>
  <c r="R1924" i="9"/>
  <c r="S1924" i="9"/>
  <c r="N1926" i="9" l="1"/>
  <c r="O1926" i="9" s="1"/>
  <c r="P1926" i="9" s="1"/>
  <c r="S1925" i="9"/>
  <c r="R1925" i="9"/>
  <c r="N1927" i="9" l="1"/>
  <c r="O1927" i="9" s="1"/>
  <c r="P1927" i="9" s="1"/>
  <c r="R1926" i="9"/>
  <c r="S1926" i="9"/>
  <c r="N1928" i="9" l="1"/>
  <c r="O1928" i="9" s="1"/>
  <c r="P1928" i="9" s="1"/>
  <c r="S1927" i="9"/>
  <c r="R1927" i="9"/>
  <c r="N1929" i="9" l="1"/>
  <c r="O1929" i="9" s="1"/>
  <c r="P1929" i="9" s="1"/>
  <c r="R1928" i="9"/>
  <c r="S1928" i="9"/>
  <c r="N1930" i="9" l="1"/>
  <c r="O1930" i="9" s="1"/>
  <c r="P1930" i="9" s="1"/>
  <c r="S1929" i="9"/>
  <c r="R1929" i="9"/>
  <c r="N1931" i="9" l="1"/>
  <c r="O1931" i="9" s="1"/>
  <c r="P1931" i="9" s="1"/>
  <c r="R1930" i="9"/>
  <c r="S1930" i="9"/>
  <c r="N1932" i="9" l="1"/>
  <c r="O1932" i="9" s="1"/>
  <c r="P1932" i="9" s="1"/>
  <c r="S1931" i="9"/>
  <c r="R1931" i="9"/>
  <c r="N1933" i="9" l="1"/>
  <c r="O1933" i="9" s="1"/>
  <c r="P1933" i="9" s="1"/>
  <c r="R1932" i="9"/>
  <c r="S1932" i="9"/>
  <c r="N1934" i="9" l="1"/>
  <c r="O1934" i="9" s="1"/>
  <c r="P1934" i="9" s="1"/>
  <c r="S1933" i="9"/>
  <c r="R1933" i="9"/>
  <c r="N1935" i="9" l="1"/>
  <c r="O1935" i="9" s="1"/>
  <c r="P1935" i="9" s="1"/>
  <c r="R1934" i="9"/>
  <c r="S1934" i="9"/>
  <c r="N1936" i="9" l="1"/>
  <c r="O1936" i="9" s="1"/>
  <c r="P1936" i="9" s="1"/>
  <c r="S1935" i="9"/>
  <c r="R1935" i="9"/>
  <c r="N1937" i="9" l="1"/>
  <c r="O1937" i="9" s="1"/>
  <c r="P1937" i="9" s="1"/>
  <c r="R1936" i="9"/>
  <c r="S1936" i="9"/>
  <c r="N1938" i="9" l="1"/>
  <c r="O1938" i="9" s="1"/>
  <c r="P1938" i="9" s="1"/>
  <c r="S1937" i="9"/>
  <c r="R1937" i="9"/>
  <c r="N1939" i="9" l="1"/>
  <c r="O1939" i="9" s="1"/>
  <c r="P1939" i="9" s="1"/>
  <c r="R1938" i="9"/>
  <c r="S1938" i="9"/>
  <c r="N1940" i="9" l="1"/>
  <c r="O1940" i="9" s="1"/>
  <c r="P1940" i="9" s="1"/>
  <c r="S1939" i="9"/>
  <c r="R1939" i="9"/>
  <c r="N1941" i="9" l="1"/>
  <c r="O1941" i="9" s="1"/>
  <c r="P1941" i="9" s="1"/>
  <c r="R1940" i="9"/>
  <c r="S1940" i="9"/>
  <c r="S1941" i="9" l="1"/>
  <c r="N1942" i="9"/>
  <c r="O1942" i="9" s="1"/>
  <c r="P1942" i="9" s="1"/>
  <c r="R1941" i="9"/>
  <c r="N1943" i="9" l="1"/>
  <c r="O1943" i="9" s="1"/>
  <c r="P1943" i="9" s="1"/>
  <c r="R1942" i="9"/>
  <c r="S1942" i="9"/>
  <c r="N1944" i="9" l="1"/>
  <c r="O1944" i="9" s="1"/>
  <c r="P1944" i="9" s="1"/>
  <c r="S1943" i="9"/>
  <c r="R1943" i="9"/>
  <c r="R1944" i="9" l="1"/>
  <c r="N1945" i="9"/>
  <c r="O1945" i="9" s="1"/>
  <c r="P1945" i="9" s="1"/>
  <c r="S1944" i="9"/>
  <c r="N1946" i="9" l="1"/>
  <c r="O1946" i="9" s="1"/>
  <c r="P1946" i="9" s="1"/>
  <c r="S1945" i="9"/>
  <c r="R1945" i="9"/>
  <c r="N1947" i="9" l="1"/>
  <c r="O1947" i="9" s="1"/>
  <c r="P1947" i="9" s="1"/>
  <c r="R1946" i="9"/>
  <c r="S1946" i="9"/>
  <c r="N1948" i="9" l="1"/>
  <c r="O1948" i="9" s="1"/>
  <c r="P1948" i="9" s="1"/>
  <c r="S1947" i="9"/>
  <c r="R1947" i="9"/>
  <c r="N1949" i="9" l="1"/>
  <c r="O1949" i="9" s="1"/>
  <c r="P1949" i="9" s="1"/>
  <c r="R1948" i="9"/>
  <c r="S1948" i="9"/>
  <c r="N1950" i="9" l="1"/>
  <c r="O1950" i="9" s="1"/>
  <c r="P1950" i="9" s="1"/>
  <c r="S1949" i="9"/>
  <c r="R1949" i="9"/>
  <c r="N1951" i="9" l="1"/>
  <c r="O1951" i="9" s="1"/>
  <c r="P1951" i="9" s="1"/>
  <c r="R1950" i="9"/>
  <c r="S1950" i="9"/>
  <c r="N1952" i="9" l="1"/>
  <c r="O1952" i="9" s="1"/>
  <c r="P1952" i="9" s="1"/>
  <c r="S1951" i="9"/>
  <c r="R1951" i="9"/>
  <c r="N1953" i="9" l="1"/>
  <c r="O1953" i="9" s="1"/>
  <c r="P1953" i="9" s="1"/>
  <c r="R1952" i="9"/>
  <c r="S1952" i="9"/>
  <c r="N1954" i="9" l="1"/>
  <c r="O1954" i="9" s="1"/>
  <c r="P1954" i="9" s="1"/>
  <c r="S1953" i="9"/>
  <c r="R1953" i="9"/>
  <c r="N1955" i="9" l="1"/>
  <c r="O1955" i="9" s="1"/>
  <c r="P1955" i="9" s="1"/>
  <c r="R1954" i="9"/>
  <c r="S1954" i="9"/>
  <c r="N1956" i="9" l="1"/>
  <c r="O1956" i="9" s="1"/>
  <c r="P1956" i="9" s="1"/>
  <c r="S1955" i="9"/>
  <c r="R1955" i="9"/>
  <c r="N1957" i="9" l="1"/>
  <c r="O1957" i="9" s="1"/>
  <c r="P1957" i="9" s="1"/>
  <c r="R1956" i="9"/>
  <c r="S1956" i="9"/>
  <c r="N1958" i="9" l="1"/>
  <c r="O1958" i="9" s="1"/>
  <c r="P1958" i="9" s="1"/>
  <c r="S1957" i="9"/>
  <c r="R1957" i="9"/>
  <c r="N1959" i="9" l="1"/>
  <c r="O1959" i="9" s="1"/>
  <c r="P1959" i="9" s="1"/>
  <c r="R1958" i="9"/>
  <c r="S1958" i="9"/>
  <c r="N1960" i="9" l="1"/>
  <c r="O1960" i="9" s="1"/>
  <c r="P1960" i="9" s="1"/>
  <c r="S1959" i="9"/>
  <c r="R1959" i="9"/>
  <c r="N1961" i="9" l="1"/>
  <c r="O1961" i="9" s="1"/>
  <c r="P1961" i="9" s="1"/>
  <c r="R1960" i="9"/>
  <c r="S1960" i="9"/>
  <c r="N1962" i="9" l="1"/>
  <c r="O1962" i="9" s="1"/>
  <c r="P1962" i="9" s="1"/>
  <c r="S1961" i="9"/>
  <c r="R1961" i="9"/>
  <c r="N1963" i="9" l="1"/>
  <c r="O1963" i="9" s="1"/>
  <c r="P1963" i="9" s="1"/>
  <c r="R1962" i="9"/>
  <c r="S1962" i="9"/>
  <c r="N1964" i="9" l="1"/>
  <c r="O1964" i="9" s="1"/>
  <c r="P1964" i="9" s="1"/>
  <c r="S1963" i="9"/>
  <c r="R1963" i="9"/>
  <c r="N1965" i="9" l="1"/>
  <c r="O1965" i="9" s="1"/>
  <c r="P1965" i="9" s="1"/>
  <c r="R1964" i="9"/>
  <c r="S1964" i="9"/>
  <c r="N1966" i="9" l="1"/>
  <c r="O1966" i="9" s="1"/>
  <c r="P1966" i="9" s="1"/>
  <c r="S1965" i="9"/>
  <c r="R1965" i="9"/>
  <c r="R1966" i="9" l="1"/>
  <c r="S1966" i="9"/>
  <c r="N1967" i="9"/>
  <c r="O1967" i="9" s="1"/>
  <c r="P1967" i="9" s="1"/>
  <c r="N1968" i="9" l="1"/>
  <c r="O1968" i="9" s="1"/>
  <c r="P1968" i="9" s="1"/>
  <c r="S1967" i="9"/>
  <c r="R1967" i="9"/>
  <c r="N1969" i="9" l="1"/>
  <c r="O1969" i="9" s="1"/>
  <c r="P1969" i="9" s="1"/>
  <c r="R1968" i="9"/>
  <c r="S1968" i="9"/>
  <c r="N1970" i="9" l="1"/>
  <c r="O1970" i="9" s="1"/>
  <c r="P1970" i="9" s="1"/>
  <c r="S1969" i="9"/>
  <c r="R1969" i="9"/>
  <c r="N1971" i="9" l="1"/>
  <c r="O1971" i="9" s="1"/>
  <c r="P1971" i="9" s="1"/>
  <c r="R1970" i="9"/>
  <c r="S1970" i="9"/>
  <c r="N1972" i="9" l="1"/>
  <c r="O1972" i="9" s="1"/>
  <c r="P1972" i="9" s="1"/>
  <c r="S1971" i="9"/>
  <c r="R1971" i="9"/>
  <c r="N1973" i="9" l="1"/>
  <c r="O1973" i="9" s="1"/>
  <c r="P1973" i="9" s="1"/>
  <c r="R1972" i="9"/>
  <c r="S1972" i="9"/>
  <c r="S1973" i="9" l="1"/>
  <c r="N1974" i="9"/>
  <c r="O1974" i="9" s="1"/>
  <c r="P1974" i="9" s="1"/>
  <c r="R1973" i="9"/>
  <c r="N1975" i="9" l="1"/>
  <c r="O1975" i="9" s="1"/>
  <c r="P1975" i="9" s="1"/>
  <c r="S1974" i="9"/>
  <c r="R1974" i="9"/>
  <c r="N1976" i="9" l="1"/>
  <c r="O1976" i="9" s="1"/>
  <c r="P1976" i="9" s="1"/>
  <c r="R1975" i="9"/>
  <c r="S1975" i="9"/>
  <c r="N1977" i="9" l="1"/>
  <c r="O1977" i="9" s="1"/>
  <c r="P1977" i="9" s="1"/>
  <c r="S1976" i="9"/>
  <c r="R1976" i="9"/>
  <c r="N1978" i="9" l="1"/>
  <c r="O1978" i="9" s="1"/>
  <c r="P1978" i="9" s="1"/>
  <c r="R1977" i="9"/>
  <c r="S1977" i="9"/>
  <c r="N1979" i="9" l="1"/>
  <c r="O1979" i="9" s="1"/>
  <c r="P1979" i="9" s="1"/>
  <c r="S1978" i="9"/>
  <c r="R1978" i="9"/>
  <c r="N1980" i="9" l="1"/>
  <c r="O1980" i="9" s="1"/>
  <c r="P1980" i="9" s="1"/>
  <c r="R1979" i="9"/>
  <c r="S1979" i="9"/>
  <c r="S1980" i="9" l="1"/>
  <c r="N1981" i="9"/>
  <c r="O1981" i="9" s="1"/>
  <c r="P1981" i="9" s="1"/>
  <c r="R1980" i="9"/>
  <c r="N1982" i="9" l="1"/>
  <c r="O1982" i="9" s="1"/>
  <c r="P1982" i="9" s="1"/>
  <c r="R1981" i="9"/>
  <c r="S1981" i="9"/>
  <c r="N1983" i="9" l="1"/>
  <c r="O1983" i="9" s="1"/>
  <c r="P1983" i="9" s="1"/>
  <c r="S1982" i="9"/>
  <c r="R1982" i="9"/>
  <c r="N1984" i="9" l="1"/>
  <c r="O1984" i="9" s="1"/>
  <c r="P1984" i="9" s="1"/>
  <c r="R1983" i="9"/>
  <c r="S1983" i="9"/>
  <c r="N1985" i="9" l="1"/>
  <c r="O1985" i="9" s="1"/>
  <c r="P1985" i="9" s="1"/>
  <c r="S1984" i="9"/>
  <c r="R1984" i="9"/>
  <c r="R1985" i="9" l="1"/>
  <c r="N1986" i="9"/>
  <c r="O1986" i="9" s="1"/>
  <c r="P1986" i="9" s="1"/>
  <c r="S1985" i="9"/>
  <c r="N1987" i="9" l="1"/>
  <c r="O1987" i="9" s="1"/>
  <c r="P1987" i="9" s="1"/>
  <c r="S1986" i="9"/>
  <c r="R1986" i="9"/>
  <c r="N1988" i="9" l="1"/>
  <c r="O1988" i="9" s="1"/>
  <c r="P1988" i="9" s="1"/>
  <c r="R1987" i="9"/>
  <c r="S1987" i="9"/>
  <c r="N1989" i="9" l="1"/>
  <c r="O1989" i="9" s="1"/>
  <c r="P1989" i="9" s="1"/>
  <c r="S1988" i="9"/>
  <c r="R1988" i="9"/>
  <c r="N1990" i="9" l="1"/>
  <c r="O1990" i="9" s="1"/>
  <c r="P1990" i="9" s="1"/>
  <c r="R1989" i="9"/>
  <c r="S1989" i="9"/>
  <c r="S1990" i="9" l="1"/>
  <c r="N1991" i="9"/>
  <c r="O1991" i="9" s="1"/>
  <c r="P1991" i="9" s="1"/>
  <c r="R1990" i="9"/>
  <c r="N1992" i="9" l="1"/>
  <c r="O1992" i="9" s="1"/>
  <c r="P1992" i="9" s="1"/>
  <c r="R1991" i="9"/>
  <c r="S1991" i="9"/>
  <c r="S1992" i="9" l="1"/>
  <c r="R1992" i="9"/>
  <c r="N1993" i="9"/>
  <c r="O1993" i="9" s="1"/>
  <c r="P1993" i="9" s="1"/>
  <c r="N1994" i="9" l="1"/>
  <c r="O1994" i="9" s="1"/>
  <c r="P1994" i="9" s="1"/>
  <c r="R1993" i="9"/>
  <c r="S1993" i="9"/>
  <c r="N1995" i="9" l="1"/>
  <c r="O1995" i="9" s="1"/>
  <c r="P1995" i="9" s="1"/>
  <c r="S1994" i="9"/>
  <c r="R1994" i="9"/>
  <c r="N1996" i="9" l="1"/>
  <c r="O1996" i="9" s="1"/>
  <c r="P1996" i="9" s="1"/>
  <c r="R1995" i="9"/>
  <c r="S1995" i="9"/>
  <c r="N1997" i="9" l="1"/>
  <c r="O1997" i="9" s="1"/>
  <c r="P1997" i="9" s="1"/>
  <c r="S1996" i="9"/>
  <c r="R1996" i="9"/>
  <c r="N1998" i="9" l="1"/>
  <c r="O1998" i="9" s="1"/>
  <c r="P1998" i="9" s="1"/>
  <c r="R1997" i="9"/>
  <c r="S1997" i="9"/>
  <c r="N1999" i="9" l="1"/>
  <c r="O1999" i="9" s="1"/>
  <c r="P1999" i="9" s="1"/>
  <c r="S1998" i="9"/>
  <c r="R1998" i="9"/>
  <c r="N2000" i="9" l="1"/>
  <c r="O2000" i="9" s="1"/>
  <c r="P2000" i="9" s="1"/>
  <c r="R1999" i="9"/>
  <c r="S1999" i="9"/>
  <c r="N2001" i="9" l="1"/>
  <c r="O2001" i="9" s="1"/>
  <c r="P2001" i="9" s="1"/>
  <c r="S2000" i="9"/>
  <c r="R2000" i="9"/>
  <c r="N2002" i="9" l="1"/>
  <c r="O2002" i="9" s="1"/>
  <c r="P2002" i="9" s="1"/>
  <c r="R2001" i="9"/>
  <c r="S2001" i="9"/>
  <c r="N2003" i="9" l="1"/>
  <c r="O2003" i="9" s="1"/>
  <c r="P2003" i="9" s="1"/>
  <c r="S2002" i="9"/>
  <c r="R2002" i="9"/>
  <c r="N2004" i="9" l="1"/>
  <c r="O2004" i="9" s="1"/>
  <c r="P2004" i="9" s="1"/>
  <c r="R2003" i="9"/>
  <c r="S2003" i="9"/>
  <c r="S2004" i="9" l="1"/>
  <c r="N2005" i="9"/>
  <c r="O2005" i="9" s="1"/>
  <c r="P2005" i="9" s="1"/>
  <c r="R2004" i="9"/>
  <c r="N2006" i="9" l="1"/>
  <c r="O2006" i="9" s="1"/>
  <c r="P2006" i="9" s="1"/>
  <c r="R2005" i="9"/>
  <c r="S2005" i="9"/>
  <c r="N2007" i="9" l="1"/>
  <c r="O2007" i="9" s="1"/>
  <c r="P2007" i="9" s="1"/>
  <c r="S2006" i="9"/>
  <c r="R2006" i="9"/>
  <c r="N2008" i="9" l="1"/>
  <c r="O2008" i="9" s="1"/>
  <c r="P2008" i="9" s="1"/>
  <c r="R2007" i="9"/>
  <c r="S2007" i="9"/>
  <c r="N2009" i="9" l="1"/>
  <c r="O2009" i="9" s="1"/>
  <c r="P2009" i="9" s="1"/>
  <c r="S2008" i="9"/>
  <c r="R2008" i="9"/>
  <c r="N2010" i="9" l="1"/>
  <c r="O2010" i="9" s="1"/>
  <c r="P2010" i="9" s="1"/>
  <c r="R2009" i="9"/>
  <c r="S2009" i="9"/>
  <c r="N2011" i="9" l="1"/>
  <c r="O2011" i="9" s="1"/>
  <c r="P2011" i="9" s="1"/>
  <c r="S2010" i="9"/>
  <c r="R2010" i="9"/>
  <c r="N2012" i="9" l="1"/>
  <c r="O2012" i="9" s="1"/>
  <c r="P2012" i="9" s="1"/>
  <c r="R2011" i="9"/>
  <c r="S2011" i="9"/>
  <c r="N2013" i="9" l="1"/>
  <c r="O2013" i="9" s="1"/>
  <c r="P2013" i="9" s="1"/>
  <c r="S2012" i="9"/>
  <c r="R2012" i="9"/>
  <c r="N2014" i="9" l="1"/>
  <c r="O2014" i="9" s="1"/>
  <c r="P2014" i="9" s="1"/>
  <c r="R2013" i="9"/>
  <c r="S2013" i="9"/>
  <c r="N2015" i="9" l="1"/>
  <c r="O2015" i="9" s="1"/>
  <c r="P2015" i="9" s="1"/>
  <c r="S2014" i="9"/>
  <c r="R2014" i="9"/>
  <c r="N2016" i="9" l="1"/>
  <c r="O2016" i="9" s="1"/>
  <c r="P2016" i="9" s="1"/>
  <c r="R2015" i="9"/>
  <c r="S2015" i="9"/>
  <c r="N2017" i="9" l="1"/>
  <c r="O2017" i="9" s="1"/>
  <c r="P2017" i="9" s="1"/>
  <c r="S2016" i="9"/>
  <c r="R2016" i="9"/>
  <c r="N2018" i="9" l="1"/>
  <c r="O2018" i="9" s="1"/>
  <c r="P2018" i="9" s="1"/>
  <c r="R2017" i="9"/>
  <c r="S2017" i="9"/>
  <c r="N2019" i="9" l="1"/>
  <c r="O2019" i="9" s="1"/>
  <c r="P2019" i="9" s="1"/>
  <c r="S2018" i="9"/>
  <c r="R2018" i="9"/>
  <c r="N2020" i="9" l="1"/>
  <c r="O2020" i="9" s="1"/>
  <c r="P2020" i="9" s="1"/>
  <c r="R2019" i="9"/>
  <c r="S2019" i="9"/>
  <c r="N2021" i="9" l="1"/>
  <c r="O2021" i="9" s="1"/>
  <c r="P2021" i="9" s="1"/>
  <c r="S2020" i="9"/>
  <c r="R2020" i="9"/>
  <c r="N2022" i="9" l="1"/>
  <c r="O2022" i="9" s="1"/>
  <c r="P2022" i="9" s="1"/>
  <c r="R2021" i="9"/>
  <c r="S2021" i="9"/>
  <c r="N2023" i="9" l="1"/>
  <c r="O2023" i="9" s="1"/>
  <c r="P2023" i="9" s="1"/>
  <c r="S2022" i="9"/>
  <c r="R2022" i="9"/>
  <c r="N2024" i="9" l="1"/>
  <c r="O2024" i="9" s="1"/>
  <c r="P2024" i="9" s="1"/>
  <c r="R2023" i="9"/>
  <c r="S2023" i="9"/>
  <c r="N2025" i="9" l="1"/>
  <c r="O2025" i="9" s="1"/>
  <c r="P2025" i="9" s="1"/>
  <c r="S2024" i="9"/>
  <c r="R2024" i="9"/>
  <c r="N2026" i="9" l="1"/>
  <c r="O2026" i="9" s="1"/>
  <c r="P2026" i="9" s="1"/>
  <c r="R2025" i="9"/>
  <c r="S2025" i="9"/>
  <c r="N2027" i="9" l="1"/>
  <c r="O2027" i="9" s="1"/>
  <c r="P2027" i="9" s="1"/>
  <c r="S2026" i="9"/>
  <c r="R2026" i="9"/>
  <c r="N2028" i="9" l="1"/>
  <c r="O2028" i="9" s="1"/>
  <c r="P2028" i="9" s="1"/>
  <c r="R2027" i="9"/>
  <c r="S2027" i="9"/>
  <c r="N2029" i="9" l="1"/>
  <c r="O2029" i="9" s="1"/>
  <c r="P2029" i="9" s="1"/>
  <c r="S2028" i="9"/>
  <c r="R2028" i="9"/>
  <c r="N2030" i="9" l="1"/>
  <c r="O2030" i="9" s="1"/>
  <c r="P2030" i="9" s="1"/>
  <c r="R2029" i="9"/>
  <c r="S2029" i="9"/>
  <c r="S2030" i="9" l="1"/>
  <c r="N2031" i="9"/>
  <c r="O2031" i="9" s="1"/>
  <c r="P2031" i="9" s="1"/>
  <c r="R2030" i="9"/>
  <c r="N2032" i="9" l="1"/>
  <c r="O2032" i="9" s="1"/>
  <c r="P2032" i="9" s="1"/>
  <c r="R2031" i="9"/>
  <c r="S2031" i="9"/>
  <c r="N2033" i="9" l="1"/>
  <c r="O2033" i="9" s="1"/>
  <c r="P2033" i="9" s="1"/>
  <c r="S2032" i="9"/>
  <c r="R2032" i="9"/>
  <c r="N2034" i="9" l="1"/>
  <c r="O2034" i="9" s="1"/>
  <c r="P2034" i="9" s="1"/>
  <c r="R2033" i="9"/>
  <c r="S2033" i="9"/>
  <c r="N2035" i="9" l="1"/>
  <c r="O2035" i="9" s="1"/>
  <c r="P2035" i="9" s="1"/>
  <c r="S2034" i="9"/>
  <c r="R2034" i="9"/>
  <c r="N2036" i="9" l="1"/>
  <c r="O2036" i="9" s="1"/>
  <c r="P2036" i="9" s="1"/>
  <c r="R2035" i="9"/>
  <c r="S2035" i="9"/>
  <c r="N2037" i="9" l="1"/>
  <c r="O2037" i="9" s="1"/>
  <c r="P2037" i="9" s="1"/>
  <c r="S2036" i="9"/>
  <c r="R2036" i="9"/>
  <c r="N2038" i="9" l="1"/>
  <c r="O2038" i="9" s="1"/>
  <c r="P2038" i="9" s="1"/>
  <c r="R2037" i="9"/>
  <c r="S2037" i="9"/>
  <c r="N2039" i="9" l="1"/>
  <c r="O2039" i="9" s="1"/>
  <c r="P2039" i="9" s="1"/>
  <c r="S2038" i="9"/>
  <c r="R2038" i="9"/>
  <c r="N2040" i="9" l="1"/>
  <c r="O2040" i="9" s="1"/>
  <c r="P2040" i="9" s="1"/>
  <c r="R2039" i="9"/>
  <c r="S2039" i="9"/>
  <c r="N2041" i="9" l="1"/>
  <c r="O2041" i="9" s="1"/>
  <c r="P2041" i="9" s="1"/>
  <c r="S2040" i="9"/>
  <c r="R2040" i="9"/>
  <c r="N2042" i="9" l="1"/>
  <c r="O2042" i="9" s="1"/>
  <c r="P2042" i="9" s="1"/>
  <c r="R2041" i="9"/>
  <c r="S2041" i="9"/>
  <c r="S2042" i="9" l="1"/>
  <c r="N2043" i="9"/>
  <c r="O2043" i="9" s="1"/>
  <c r="P2043" i="9" s="1"/>
  <c r="R2042" i="9"/>
  <c r="N2044" i="9" l="1"/>
  <c r="O2044" i="9" s="1"/>
  <c r="P2044" i="9" s="1"/>
  <c r="R2043" i="9"/>
  <c r="S2043" i="9"/>
  <c r="N2045" i="9" l="1"/>
  <c r="O2045" i="9" s="1"/>
  <c r="P2045" i="9" s="1"/>
  <c r="S2044" i="9"/>
  <c r="R2044" i="9"/>
  <c r="N2046" i="9" l="1"/>
  <c r="O2046" i="9" s="1"/>
  <c r="P2046" i="9" s="1"/>
  <c r="R2045" i="9"/>
  <c r="S2045" i="9"/>
  <c r="N2047" i="9" l="1"/>
  <c r="O2047" i="9" s="1"/>
  <c r="P2047" i="9" s="1"/>
  <c r="S2046" i="9"/>
  <c r="R2046" i="9"/>
  <c r="N2048" i="9" l="1"/>
  <c r="O2048" i="9" s="1"/>
  <c r="P2048" i="9" s="1"/>
  <c r="R2047" i="9"/>
  <c r="S2047" i="9"/>
  <c r="N2049" i="9" l="1"/>
  <c r="O2049" i="9" s="1"/>
  <c r="P2049" i="9" s="1"/>
  <c r="S2048" i="9"/>
  <c r="R2048" i="9"/>
  <c r="R2049" i="9" l="1"/>
  <c r="N2050" i="9"/>
  <c r="O2050" i="9" s="1"/>
  <c r="P2050" i="9" s="1"/>
  <c r="S2049" i="9"/>
  <c r="N2051" i="9" l="1"/>
  <c r="O2051" i="9" s="1"/>
  <c r="P2051" i="9" s="1"/>
  <c r="S2050" i="9"/>
  <c r="R2050" i="9"/>
  <c r="N2052" i="9" l="1"/>
  <c r="O2052" i="9" s="1"/>
  <c r="P2052" i="9" s="1"/>
  <c r="R2051" i="9"/>
  <c r="S2051" i="9"/>
  <c r="N2053" i="9" l="1"/>
  <c r="O2053" i="9" s="1"/>
  <c r="P2053" i="9" s="1"/>
  <c r="S2052" i="9"/>
  <c r="R2052" i="9"/>
  <c r="N2054" i="9" l="1"/>
  <c r="O2054" i="9" s="1"/>
  <c r="P2054" i="9" s="1"/>
  <c r="R2053" i="9"/>
  <c r="S2053" i="9"/>
  <c r="N2055" i="9" l="1"/>
  <c r="O2055" i="9" s="1"/>
  <c r="P2055" i="9" s="1"/>
  <c r="S2054" i="9"/>
  <c r="R2054" i="9"/>
  <c r="N2056" i="9" l="1"/>
  <c r="O2056" i="9" s="1"/>
  <c r="P2056" i="9" s="1"/>
  <c r="R2055" i="9"/>
  <c r="S2055" i="9"/>
  <c r="S2056" i="9" l="1"/>
  <c r="N2057" i="9"/>
  <c r="O2057" i="9" s="1"/>
  <c r="P2057" i="9" s="1"/>
  <c r="R2056" i="9"/>
  <c r="N2058" i="9" l="1"/>
  <c r="O2058" i="9" s="1"/>
  <c r="P2058" i="9" s="1"/>
  <c r="R2057" i="9"/>
  <c r="S2057" i="9"/>
  <c r="N2059" i="9" l="1"/>
  <c r="O2059" i="9" s="1"/>
  <c r="P2059" i="9" s="1"/>
  <c r="S2058" i="9"/>
  <c r="R2058" i="9"/>
  <c r="N2060" i="9" l="1"/>
  <c r="O2060" i="9" s="1"/>
  <c r="P2060" i="9" s="1"/>
  <c r="R2059" i="9"/>
  <c r="S2059" i="9"/>
  <c r="N2061" i="9" l="1"/>
  <c r="O2061" i="9" s="1"/>
  <c r="P2061" i="9" s="1"/>
  <c r="S2060" i="9"/>
  <c r="R2060" i="9"/>
  <c r="R2061" i="9" l="1"/>
  <c r="S2061" i="9"/>
  <c r="N2062" i="9"/>
  <c r="O2062" i="9" s="1"/>
  <c r="P2062" i="9" s="1"/>
  <c r="N2063" i="9" l="1"/>
  <c r="O2063" i="9" s="1"/>
  <c r="P2063" i="9" s="1"/>
  <c r="S2062" i="9"/>
  <c r="R2062" i="9"/>
  <c r="N2064" i="9" l="1"/>
  <c r="O2064" i="9" s="1"/>
  <c r="P2064" i="9" s="1"/>
  <c r="R2063" i="9"/>
  <c r="S2063" i="9"/>
  <c r="N2065" i="9" l="1"/>
  <c r="O2065" i="9" s="1"/>
  <c r="P2065" i="9" s="1"/>
  <c r="S2064" i="9"/>
  <c r="R2064" i="9"/>
  <c r="N2066" i="9" l="1"/>
  <c r="O2066" i="9" s="1"/>
  <c r="P2066" i="9" s="1"/>
  <c r="R2065" i="9"/>
  <c r="S2065" i="9"/>
  <c r="N2067" i="9" l="1"/>
  <c r="O2067" i="9" s="1"/>
  <c r="P2067" i="9" s="1"/>
  <c r="S2066" i="9"/>
  <c r="R2066" i="9"/>
  <c r="N2068" i="9" l="1"/>
  <c r="O2068" i="9" s="1"/>
  <c r="P2068" i="9" s="1"/>
  <c r="R2067" i="9"/>
  <c r="S2067" i="9"/>
  <c r="S2068" i="9" l="1"/>
  <c r="R2068" i="9"/>
  <c r="N2069" i="9"/>
  <c r="O2069" i="9" s="1"/>
  <c r="P2069" i="9" s="1"/>
  <c r="N2070" i="9" l="1"/>
  <c r="O2070" i="9" s="1"/>
  <c r="P2070" i="9" s="1"/>
  <c r="R2069" i="9"/>
  <c r="S2069" i="9"/>
  <c r="N2071" i="9" l="1"/>
  <c r="O2071" i="9" s="1"/>
  <c r="P2071" i="9" s="1"/>
  <c r="S2070" i="9"/>
  <c r="R2070" i="9"/>
  <c r="N2072" i="9" l="1"/>
  <c r="O2072" i="9" s="1"/>
  <c r="P2072" i="9" s="1"/>
  <c r="R2071" i="9"/>
  <c r="S2071" i="9"/>
  <c r="N2073" i="9" l="1"/>
  <c r="O2073" i="9" s="1"/>
  <c r="P2073" i="9" s="1"/>
  <c r="S2072" i="9"/>
  <c r="R2072" i="9"/>
  <c r="N2074" i="9" l="1"/>
  <c r="O2074" i="9" s="1"/>
  <c r="P2074" i="9" s="1"/>
  <c r="R2073" i="9"/>
  <c r="S2073" i="9"/>
  <c r="N2075" i="9" l="1"/>
  <c r="O2075" i="9" s="1"/>
  <c r="P2075" i="9" s="1"/>
  <c r="S2074" i="9"/>
  <c r="R2074" i="9"/>
  <c r="N2076" i="9" l="1"/>
  <c r="O2076" i="9" s="1"/>
  <c r="P2076" i="9" s="1"/>
  <c r="R2075" i="9"/>
  <c r="S2075" i="9"/>
  <c r="N2077" i="9" l="1"/>
  <c r="O2077" i="9" s="1"/>
  <c r="P2077" i="9" s="1"/>
  <c r="S2076" i="9"/>
  <c r="R2076" i="9"/>
  <c r="N2078" i="9" l="1"/>
  <c r="O2078" i="9" s="1"/>
  <c r="P2078" i="9" s="1"/>
  <c r="R2077" i="9"/>
  <c r="S2077" i="9"/>
  <c r="N2079" i="9" l="1"/>
  <c r="O2079" i="9" s="1"/>
  <c r="P2079" i="9" s="1"/>
  <c r="S2078" i="9"/>
  <c r="R2078" i="9"/>
  <c r="N2080" i="9" l="1"/>
  <c r="O2080" i="9" s="1"/>
  <c r="P2080" i="9" s="1"/>
  <c r="R2079" i="9"/>
  <c r="S2079" i="9"/>
  <c r="N2081" i="9" l="1"/>
  <c r="O2081" i="9" s="1"/>
  <c r="P2081" i="9" s="1"/>
  <c r="S2080" i="9"/>
  <c r="R2080" i="9"/>
  <c r="N2082" i="9" l="1"/>
  <c r="O2082" i="9" s="1"/>
  <c r="P2082" i="9" s="1"/>
  <c r="R2081" i="9"/>
  <c r="S2081" i="9"/>
  <c r="N2083" i="9" l="1"/>
  <c r="O2083" i="9" s="1"/>
  <c r="P2083" i="9" s="1"/>
  <c r="S2082" i="9"/>
  <c r="R2082" i="9"/>
  <c r="N2084" i="9" l="1"/>
  <c r="O2084" i="9" s="1"/>
  <c r="P2084" i="9" s="1"/>
  <c r="R2083" i="9"/>
  <c r="S2083" i="9"/>
  <c r="N2085" i="9" l="1"/>
  <c r="O2085" i="9" s="1"/>
  <c r="P2085" i="9" s="1"/>
  <c r="S2084" i="9"/>
  <c r="R2084" i="9"/>
  <c r="N2086" i="9" l="1"/>
  <c r="O2086" i="9" s="1"/>
  <c r="P2086" i="9" s="1"/>
  <c r="R2085" i="9"/>
  <c r="S2085" i="9"/>
  <c r="N2087" i="9" l="1"/>
  <c r="O2087" i="9" s="1"/>
  <c r="P2087" i="9" s="1"/>
  <c r="S2086" i="9"/>
  <c r="R2086" i="9"/>
  <c r="N2088" i="9" l="1"/>
  <c r="O2088" i="9" s="1"/>
  <c r="P2088" i="9" s="1"/>
  <c r="R2087" i="9"/>
  <c r="S2087" i="9"/>
  <c r="N2089" i="9" l="1"/>
  <c r="O2089" i="9" s="1"/>
  <c r="P2089" i="9" s="1"/>
  <c r="S2088" i="9"/>
  <c r="R2088" i="9"/>
  <c r="N2090" i="9" l="1"/>
  <c r="O2090" i="9" s="1"/>
  <c r="P2090" i="9" s="1"/>
  <c r="R2089" i="9"/>
  <c r="S2089" i="9"/>
  <c r="N2091" i="9" l="1"/>
  <c r="O2091" i="9" s="1"/>
  <c r="P2091" i="9" s="1"/>
  <c r="S2090" i="9"/>
  <c r="R2090" i="9"/>
  <c r="N2092" i="9" l="1"/>
  <c r="O2092" i="9" s="1"/>
  <c r="P2092" i="9" s="1"/>
  <c r="R2091" i="9"/>
  <c r="S2091" i="9"/>
  <c r="N2093" i="9" l="1"/>
  <c r="O2093" i="9" s="1"/>
  <c r="P2093" i="9" s="1"/>
  <c r="S2092" i="9"/>
  <c r="R2092" i="9"/>
  <c r="N2094" i="9" l="1"/>
  <c r="O2094" i="9" s="1"/>
  <c r="P2094" i="9" s="1"/>
  <c r="R2093" i="9"/>
  <c r="S2093" i="9"/>
  <c r="S2094" i="9" l="1"/>
  <c r="N2095" i="9"/>
  <c r="O2095" i="9" s="1"/>
  <c r="P2095" i="9" s="1"/>
  <c r="R2094" i="9"/>
  <c r="N2096" i="9" l="1"/>
  <c r="O2096" i="9" s="1"/>
  <c r="P2096" i="9" s="1"/>
  <c r="R2095" i="9"/>
  <c r="S2095" i="9"/>
  <c r="N2097" i="9" l="1"/>
  <c r="O2097" i="9" s="1"/>
  <c r="P2097" i="9" s="1"/>
  <c r="S2096" i="9"/>
  <c r="R2096" i="9"/>
  <c r="N2098" i="9" l="1"/>
  <c r="O2098" i="9" s="1"/>
  <c r="P2098" i="9" s="1"/>
  <c r="R2097" i="9"/>
  <c r="S2097" i="9"/>
  <c r="N2099" i="9" l="1"/>
  <c r="O2099" i="9" s="1"/>
  <c r="P2099" i="9" s="1"/>
  <c r="S2098" i="9"/>
  <c r="R2098" i="9"/>
  <c r="N2100" i="9" l="1"/>
  <c r="O2100" i="9" s="1"/>
  <c r="P2100" i="9" s="1"/>
  <c r="R2099" i="9"/>
  <c r="S2099" i="9"/>
  <c r="N2101" i="9" l="1"/>
  <c r="O2101" i="9" s="1"/>
  <c r="P2101" i="9" s="1"/>
  <c r="S2100" i="9"/>
  <c r="R2100" i="9"/>
  <c r="N2102" i="9" l="1"/>
  <c r="O2102" i="9" s="1"/>
  <c r="P2102" i="9" s="1"/>
  <c r="R2101" i="9"/>
  <c r="S2101" i="9"/>
  <c r="N2103" i="9" l="1"/>
  <c r="O2103" i="9" s="1"/>
  <c r="P2103" i="9" s="1"/>
  <c r="S2102" i="9"/>
  <c r="R2102" i="9"/>
  <c r="N2104" i="9" l="1"/>
  <c r="O2104" i="9" s="1"/>
  <c r="P2104" i="9" s="1"/>
  <c r="R2103" i="9"/>
  <c r="S2103" i="9"/>
  <c r="N2105" i="9" l="1"/>
  <c r="O2105" i="9" s="1"/>
  <c r="P2105" i="9" s="1"/>
  <c r="S2104" i="9"/>
  <c r="R2104" i="9"/>
  <c r="N2106" i="9" l="1"/>
  <c r="O2106" i="9" s="1"/>
  <c r="P2106" i="9" s="1"/>
  <c r="R2105" i="9"/>
  <c r="S2105" i="9"/>
  <c r="S2106" i="9" l="1"/>
  <c r="N2107" i="9"/>
  <c r="O2107" i="9" s="1"/>
  <c r="P2107" i="9" s="1"/>
  <c r="R2106" i="9"/>
  <c r="N2108" i="9" l="1"/>
  <c r="O2108" i="9" s="1"/>
  <c r="P2108" i="9" s="1"/>
  <c r="R2107" i="9"/>
  <c r="S2107" i="9"/>
  <c r="S2108" i="9" l="1"/>
  <c r="R2108" i="9"/>
  <c r="N2109" i="9"/>
  <c r="O2109" i="9" s="1"/>
  <c r="P2109" i="9" s="1"/>
  <c r="N2110" i="9" l="1"/>
  <c r="O2110" i="9" s="1"/>
  <c r="P2110" i="9" s="1"/>
  <c r="R2109" i="9"/>
  <c r="S2109" i="9"/>
  <c r="N2111" i="9" l="1"/>
  <c r="O2111" i="9" s="1"/>
  <c r="P2111" i="9" s="1"/>
  <c r="S2110" i="9"/>
  <c r="R2110" i="9"/>
  <c r="N2112" i="9" l="1"/>
  <c r="O2112" i="9" s="1"/>
  <c r="P2112" i="9" s="1"/>
  <c r="R2111" i="9"/>
  <c r="S2111" i="9"/>
  <c r="N2113" i="9" l="1"/>
  <c r="O2113" i="9" s="1"/>
  <c r="P2113" i="9" s="1"/>
  <c r="S2112" i="9"/>
  <c r="R2112" i="9"/>
  <c r="N2114" i="9" l="1"/>
  <c r="O2114" i="9" s="1"/>
  <c r="P2114" i="9" s="1"/>
  <c r="R2113" i="9"/>
  <c r="S2113" i="9"/>
  <c r="N2115" i="9" l="1"/>
  <c r="O2115" i="9" s="1"/>
  <c r="P2115" i="9" s="1"/>
  <c r="S2114" i="9"/>
  <c r="R2114" i="9"/>
  <c r="N2116" i="9" l="1"/>
  <c r="O2116" i="9" s="1"/>
  <c r="P2116" i="9" s="1"/>
  <c r="R2115" i="9"/>
  <c r="S2115" i="9"/>
  <c r="N2117" i="9" l="1"/>
  <c r="O2117" i="9" s="1"/>
  <c r="P2117" i="9" s="1"/>
  <c r="S2116" i="9"/>
  <c r="R2116" i="9"/>
  <c r="N2118" i="9" l="1"/>
  <c r="O2118" i="9" s="1"/>
  <c r="P2118" i="9" s="1"/>
  <c r="R2117" i="9"/>
  <c r="S2117" i="9"/>
  <c r="S2118" i="9" l="1"/>
  <c r="N2119" i="9"/>
  <c r="O2119" i="9" s="1"/>
  <c r="P2119" i="9" s="1"/>
  <c r="R2118" i="9"/>
  <c r="N2120" i="9" l="1"/>
  <c r="O2120" i="9" s="1"/>
  <c r="P2120" i="9" s="1"/>
  <c r="R2119" i="9"/>
  <c r="S2119" i="9"/>
  <c r="N2121" i="9" l="1"/>
  <c r="O2121" i="9" s="1"/>
  <c r="P2121" i="9" s="1"/>
  <c r="S2120" i="9"/>
  <c r="R2120" i="9"/>
  <c r="N2122" i="9" l="1"/>
  <c r="O2122" i="9" s="1"/>
  <c r="P2122" i="9" s="1"/>
  <c r="R2121" i="9"/>
  <c r="S2121" i="9"/>
  <c r="N2123" i="9" l="1"/>
  <c r="O2123" i="9" s="1"/>
  <c r="P2123" i="9" s="1"/>
  <c r="S2122" i="9"/>
  <c r="R2122" i="9"/>
  <c r="N2124" i="9" l="1"/>
  <c r="O2124" i="9" s="1"/>
  <c r="P2124" i="9" s="1"/>
  <c r="R2123" i="9"/>
  <c r="S2123" i="9"/>
  <c r="N2125" i="9" l="1"/>
  <c r="O2125" i="9" s="1"/>
  <c r="P2125" i="9" s="1"/>
  <c r="S2124" i="9"/>
  <c r="R2124" i="9"/>
  <c r="R2125" i="9" l="1"/>
  <c r="N2126" i="9"/>
  <c r="O2126" i="9" s="1"/>
  <c r="P2126" i="9" s="1"/>
  <c r="S2125" i="9"/>
  <c r="N2127" i="9" l="1"/>
  <c r="O2127" i="9" s="1"/>
  <c r="P2127" i="9" s="1"/>
  <c r="S2126" i="9"/>
  <c r="R2126" i="9"/>
  <c r="N2128" i="9" l="1"/>
  <c r="O2128" i="9" s="1"/>
  <c r="P2128" i="9" s="1"/>
  <c r="R2127" i="9"/>
  <c r="S2127" i="9"/>
  <c r="N2129" i="9" l="1"/>
  <c r="O2129" i="9" s="1"/>
  <c r="P2129" i="9" s="1"/>
  <c r="S2128" i="9"/>
  <c r="R2128" i="9"/>
  <c r="N2130" i="9" l="1"/>
  <c r="O2130" i="9" s="1"/>
  <c r="P2130" i="9" s="1"/>
  <c r="R2129" i="9"/>
  <c r="S2129" i="9"/>
  <c r="N2131" i="9" l="1"/>
  <c r="O2131" i="9" s="1"/>
  <c r="P2131" i="9" s="1"/>
  <c r="S2130" i="9"/>
  <c r="R2130" i="9"/>
  <c r="N2132" i="9" l="1"/>
  <c r="O2132" i="9" s="1"/>
  <c r="P2132" i="9" s="1"/>
  <c r="R2131" i="9"/>
  <c r="S2131" i="9"/>
  <c r="S2132" i="9" l="1"/>
  <c r="N2133" i="9"/>
  <c r="O2133" i="9" s="1"/>
  <c r="P2133" i="9" s="1"/>
  <c r="R2132" i="9"/>
  <c r="N2134" i="9" l="1"/>
  <c r="O2134" i="9" s="1"/>
  <c r="P2134" i="9" s="1"/>
  <c r="R2133" i="9"/>
  <c r="S2133" i="9"/>
  <c r="N2135" i="9" l="1"/>
  <c r="O2135" i="9" s="1"/>
  <c r="P2135" i="9" s="1"/>
  <c r="S2134" i="9"/>
  <c r="R2134" i="9"/>
  <c r="N2136" i="9" l="1"/>
  <c r="O2136" i="9" s="1"/>
  <c r="P2136" i="9" s="1"/>
  <c r="R2135" i="9"/>
  <c r="S2135" i="9"/>
  <c r="N2137" i="9" l="1"/>
  <c r="O2137" i="9" s="1"/>
  <c r="P2137" i="9" s="1"/>
  <c r="S2136" i="9"/>
  <c r="R2136" i="9"/>
  <c r="N2138" i="9" l="1"/>
  <c r="O2138" i="9" s="1"/>
  <c r="P2138" i="9" s="1"/>
  <c r="R2137" i="9"/>
  <c r="S2137" i="9"/>
  <c r="N2139" i="9" l="1"/>
  <c r="O2139" i="9" s="1"/>
  <c r="P2139" i="9" s="1"/>
  <c r="S2138" i="9"/>
  <c r="R2138" i="9"/>
  <c r="N2140" i="9" l="1"/>
  <c r="O2140" i="9" s="1"/>
  <c r="P2140" i="9" s="1"/>
  <c r="R2139" i="9"/>
  <c r="S2139" i="9"/>
  <c r="N2141" i="9" l="1"/>
  <c r="O2141" i="9" s="1"/>
  <c r="P2141" i="9" s="1"/>
  <c r="S2140" i="9"/>
  <c r="R2140" i="9"/>
  <c r="N2142" i="9" l="1"/>
  <c r="O2142" i="9" s="1"/>
  <c r="P2142" i="9" s="1"/>
  <c r="R2141" i="9"/>
  <c r="S2141" i="9"/>
  <c r="N2143" i="9" l="1"/>
  <c r="O2143" i="9" s="1"/>
  <c r="P2143" i="9" s="1"/>
  <c r="S2142" i="9"/>
  <c r="R2142" i="9"/>
  <c r="N2144" i="9" l="1"/>
  <c r="O2144" i="9" s="1"/>
  <c r="P2144" i="9" s="1"/>
  <c r="R2143" i="9"/>
  <c r="S2143" i="9"/>
  <c r="N2145" i="9" l="1"/>
  <c r="O2145" i="9" s="1"/>
  <c r="P2145" i="9" s="1"/>
  <c r="S2144" i="9"/>
  <c r="R2144" i="9"/>
  <c r="N2146" i="9" l="1"/>
  <c r="O2146" i="9" s="1"/>
  <c r="P2146" i="9" s="1"/>
  <c r="R2145" i="9"/>
  <c r="S2145" i="9"/>
  <c r="N2147" i="9" l="1"/>
  <c r="O2147" i="9" s="1"/>
  <c r="P2147" i="9" s="1"/>
  <c r="S2146" i="9"/>
  <c r="R2146" i="9"/>
  <c r="N2148" i="9" l="1"/>
  <c r="O2148" i="9" s="1"/>
  <c r="P2148" i="9" s="1"/>
  <c r="R2147" i="9"/>
  <c r="S2147" i="9"/>
  <c r="N2149" i="9" l="1"/>
  <c r="O2149" i="9" s="1"/>
  <c r="P2149" i="9" s="1"/>
  <c r="S2148" i="9"/>
  <c r="R2148" i="9"/>
  <c r="N2150" i="9" l="1"/>
  <c r="O2150" i="9" s="1"/>
  <c r="P2150" i="9" s="1"/>
  <c r="R2149" i="9"/>
  <c r="S2149" i="9"/>
  <c r="N2151" i="9" l="1"/>
  <c r="O2151" i="9" s="1"/>
  <c r="P2151" i="9" s="1"/>
  <c r="S2150" i="9"/>
  <c r="R2150" i="9"/>
  <c r="N2152" i="9" l="1"/>
  <c r="O2152" i="9" s="1"/>
  <c r="P2152" i="9" s="1"/>
  <c r="R2151" i="9"/>
  <c r="S2151" i="9"/>
  <c r="N2153" i="9" l="1"/>
  <c r="O2153" i="9" s="1"/>
  <c r="P2153" i="9" s="1"/>
  <c r="S2152" i="9"/>
  <c r="R2152" i="9"/>
  <c r="N2154" i="9" l="1"/>
  <c r="O2154" i="9" s="1"/>
  <c r="P2154" i="9" s="1"/>
  <c r="R2153" i="9"/>
  <c r="S2153" i="9"/>
  <c r="N2155" i="9" l="1"/>
  <c r="O2155" i="9" s="1"/>
  <c r="P2155" i="9" s="1"/>
  <c r="S2154" i="9"/>
  <c r="R2154" i="9"/>
  <c r="N2156" i="9" l="1"/>
  <c r="O2156" i="9" s="1"/>
  <c r="P2156" i="9" s="1"/>
  <c r="R2155" i="9"/>
  <c r="S2155" i="9"/>
  <c r="N2157" i="9" l="1"/>
  <c r="O2157" i="9" s="1"/>
  <c r="P2157" i="9" s="1"/>
  <c r="S2156" i="9"/>
  <c r="R2156" i="9"/>
  <c r="N2158" i="9" l="1"/>
  <c r="O2158" i="9" s="1"/>
  <c r="P2158" i="9" s="1"/>
  <c r="R2157" i="9"/>
  <c r="S2157" i="9"/>
  <c r="N2159" i="9" l="1"/>
  <c r="O2159" i="9" s="1"/>
  <c r="P2159" i="9" s="1"/>
  <c r="S2158" i="9"/>
  <c r="R2158" i="9"/>
  <c r="N2160" i="9" l="1"/>
  <c r="O2160" i="9" s="1"/>
  <c r="P2160" i="9" s="1"/>
  <c r="R2159" i="9"/>
  <c r="S2159" i="9"/>
  <c r="N2161" i="9" l="1"/>
  <c r="O2161" i="9" s="1"/>
  <c r="P2161" i="9" s="1"/>
  <c r="S2160" i="9"/>
  <c r="R2160" i="9"/>
  <c r="N2162" i="9" l="1"/>
  <c r="O2162" i="9" s="1"/>
  <c r="P2162" i="9" s="1"/>
  <c r="R2161" i="9"/>
  <c r="S2161" i="9"/>
  <c r="N2163" i="9" l="1"/>
  <c r="O2163" i="9" s="1"/>
  <c r="P2163" i="9" s="1"/>
  <c r="S2162" i="9"/>
  <c r="R2162" i="9"/>
  <c r="N2164" i="9" l="1"/>
  <c r="O2164" i="9" s="1"/>
  <c r="P2164" i="9" s="1"/>
  <c r="R2163" i="9"/>
  <c r="S2163" i="9"/>
  <c r="N2165" i="9" l="1"/>
  <c r="O2165" i="9" s="1"/>
  <c r="P2165" i="9" s="1"/>
  <c r="S2164" i="9"/>
  <c r="R2164" i="9"/>
  <c r="R2165" i="9" l="1"/>
  <c r="S2165" i="9"/>
  <c r="N2166" i="9"/>
  <c r="O2166" i="9" s="1"/>
  <c r="P2166" i="9" s="1"/>
  <c r="N2167" i="9" l="1"/>
  <c r="O2167" i="9" s="1"/>
  <c r="P2167" i="9" s="1"/>
  <c r="S2166" i="9"/>
  <c r="R2166" i="9"/>
  <c r="N2168" i="9" l="1"/>
  <c r="O2168" i="9" s="1"/>
  <c r="P2168" i="9" s="1"/>
  <c r="R2167" i="9"/>
  <c r="S2167" i="9"/>
  <c r="N2169" i="9" l="1"/>
  <c r="O2169" i="9" s="1"/>
  <c r="P2169" i="9" s="1"/>
  <c r="S2168" i="9"/>
  <c r="R2168" i="9"/>
  <c r="N2170" i="9" l="1"/>
  <c r="O2170" i="9" s="1"/>
  <c r="P2170" i="9" s="1"/>
  <c r="R2169" i="9"/>
  <c r="S2169" i="9"/>
  <c r="S2170" i="9" l="1"/>
  <c r="N2171" i="9"/>
  <c r="O2171" i="9" s="1"/>
  <c r="P2171" i="9" s="1"/>
  <c r="R2170" i="9"/>
  <c r="N2172" i="9" l="1"/>
  <c r="O2172" i="9" s="1"/>
  <c r="P2172" i="9" s="1"/>
  <c r="R2171" i="9"/>
  <c r="S2171" i="9"/>
  <c r="S2172" i="9" l="1"/>
  <c r="N2173" i="9"/>
  <c r="O2173" i="9" s="1"/>
  <c r="P2173" i="9" s="1"/>
  <c r="R2172" i="9"/>
  <c r="N2174" i="9" l="1"/>
  <c r="O2174" i="9" s="1"/>
  <c r="P2174" i="9" s="1"/>
  <c r="R2173" i="9"/>
  <c r="S2173" i="9"/>
  <c r="N2175" i="9" l="1"/>
  <c r="O2175" i="9" s="1"/>
  <c r="P2175" i="9" s="1"/>
  <c r="S2174" i="9"/>
  <c r="R2174" i="9"/>
  <c r="N2176" i="9" l="1"/>
  <c r="O2176" i="9" s="1"/>
  <c r="P2176" i="9" s="1"/>
  <c r="R2175" i="9"/>
  <c r="S2175" i="9"/>
  <c r="N2177" i="9" l="1"/>
  <c r="O2177" i="9" s="1"/>
  <c r="P2177" i="9" s="1"/>
  <c r="S2176" i="9"/>
  <c r="R2176" i="9"/>
  <c r="N2178" i="9" l="1"/>
  <c r="O2178" i="9" s="1"/>
  <c r="P2178" i="9" s="1"/>
  <c r="R2177" i="9"/>
  <c r="S2177" i="9"/>
  <c r="N2179" i="9" l="1"/>
  <c r="O2179" i="9" s="1"/>
  <c r="P2179" i="9" s="1"/>
  <c r="S2178" i="9"/>
  <c r="R2178" i="9"/>
  <c r="N2180" i="9" l="1"/>
  <c r="O2180" i="9" s="1"/>
  <c r="P2180" i="9" s="1"/>
  <c r="R2179" i="9"/>
  <c r="S2179" i="9"/>
  <c r="N2181" i="9" l="1"/>
  <c r="O2181" i="9" s="1"/>
  <c r="P2181" i="9" s="1"/>
  <c r="S2180" i="9"/>
  <c r="R2180" i="9"/>
  <c r="N2182" i="9" l="1"/>
  <c r="O2182" i="9" s="1"/>
  <c r="P2182" i="9" s="1"/>
  <c r="R2181" i="9"/>
  <c r="S2181" i="9"/>
  <c r="S2182" i="9" l="1"/>
  <c r="R2182" i="9"/>
  <c r="N2183" i="9"/>
  <c r="O2183" i="9" s="1"/>
  <c r="P2183" i="9" s="1"/>
  <c r="N2184" i="9" l="1"/>
  <c r="O2184" i="9" s="1"/>
  <c r="P2184" i="9" s="1"/>
  <c r="S2183" i="9"/>
  <c r="R2183" i="9"/>
  <c r="S2184" i="9" l="1"/>
  <c r="N2185" i="9"/>
  <c r="O2185" i="9" s="1"/>
  <c r="P2185" i="9" s="1"/>
  <c r="R2184" i="9"/>
  <c r="N2186" i="9" l="1"/>
  <c r="O2186" i="9" s="1"/>
  <c r="P2186" i="9" s="1"/>
  <c r="R2185" i="9"/>
  <c r="S2185" i="9"/>
  <c r="N2187" i="9" l="1"/>
  <c r="O2187" i="9" s="1"/>
  <c r="P2187" i="9" s="1"/>
  <c r="S2186" i="9"/>
  <c r="R2186" i="9"/>
  <c r="N2188" i="9" l="1"/>
  <c r="O2188" i="9" s="1"/>
  <c r="P2188" i="9" s="1"/>
  <c r="S2187" i="9"/>
  <c r="R2187" i="9"/>
  <c r="N2189" i="9" l="1"/>
  <c r="O2189" i="9" s="1"/>
  <c r="P2189" i="9" s="1"/>
  <c r="S2188" i="9"/>
  <c r="R2188" i="9"/>
  <c r="N2190" i="9" l="1"/>
  <c r="O2190" i="9" s="1"/>
  <c r="P2190" i="9" s="1"/>
  <c r="R2189" i="9"/>
  <c r="S2189" i="9"/>
  <c r="N2191" i="9" l="1"/>
  <c r="O2191" i="9" s="1"/>
  <c r="P2191" i="9" s="1"/>
  <c r="S2190" i="9"/>
  <c r="R2190" i="9"/>
  <c r="N2192" i="9" l="1"/>
  <c r="O2192" i="9" s="1"/>
  <c r="P2192" i="9" s="1"/>
  <c r="S2191" i="9"/>
  <c r="R2191" i="9"/>
  <c r="N2193" i="9" l="1"/>
  <c r="O2193" i="9" s="1"/>
  <c r="P2193" i="9" s="1"/>
  <c r="S2192" i="9"/>
  <c r="R2192" i="9"/>
  <c r="N2194" i="9" l="1"/>
  <c r="O2194" i="9" s="1"/>
  <c r="P2194" i="9" s="1"/>
  <c r="R2193" i="9"/>
  <c r="S2193" i="9"/>
  <c r="N2195" i="9" l="1"/>
  <c r="O2195" i="9" s="1"/>
  <c r="P2195" i="9" s="1"/>
  <c r="S2194" i="9"/>
  <c r="R2194" i="9"/>
  <c r="N2196" i="9" l="1"/>
  <c r="O2196" i="9" s="1"/>
  <c r="P2196" i="9" s="1"/>
  <c r="S2195" i="9"/>
  <c r="R2195" i="9"/>
  <c r="N2197" i="9" l="1"/>
  <c r="O2197" i="9" s="1"/>
  <c r="P2197" i="9" s="1"/>
  <c r="S2196" i="9"/>
  <c r="R2196" i="9"/>
  <c r="N2198" i="9" l="1"/>
  <c r="O2198" i="9" s="1"/>
  <c r="P2198" i="9" s="1"/>
  <c r="R2197" i="9"/>
  <c r="S2197" i="9"/>
  <c r="N2199" i="9" l="1"/>
  <c r="O2199" i="9" s="1"/>
  <c r="P2199" i="9" s="1"/>
  <c r="S2198" i="9"/>
  <c r="R2198" i="9"/>
  <c r="N2200" i="9" l="1"/>
  <c r="O2200" i="9" s="1"/>
  <c r="P2200" i="9" s="1"/>
  <c r="S2199" i="9"/>
  <c r="R2199" i="9"/>
  <c r="N2201" i="9" l="1"/>
  <c r="O2201" i="9" s="1"/>
  <c r="P2201" i="9" s="1"/>
  <c r="S2200" i="9"/>
  <c r="R2200" i="9"/>
  <c r="N2202" i="9" l="1"/>
  <c r="O2202" i="9" s="1"/>
  <c r="P2202" i="9" s="1"/>
  <c r="R2201" i="9"/>
  <c r="S2201" i="9"/>
  <c r="N2203" i="9" l="1"/>
  <c r="O2203" i="9" s="1"/>
  <c r="P2203" i="9" s="1"/>
  <c r="S2202" i="9"/>
  <c r="R2202" i="9"/>
  <c r="N2204" i="9" l="1"/>
  <c r="O2204" i="9" s="1"/>
  <c r="P2204" i="9" s="1"/>
  <c r="S2203" i="9"/>
  <c r="R2203" i="9"/>
  <c r="N2205" i="9" l="1"/>
  <c r="O2205" i="9" s="1"/>
  <c r="P2205" i="9" s="1"/>
  <c r="S2204" i="9"/>
  <c r="R2204" i="9"/>
  <c r="N2206" i="9" l="1"/>
  <c r="O2206" i="9" s="1"/>
  <c r="P2206" i="9" s="1"/>
  <c r="R2205" i="9"/>
  <c r="S2205" i="9"/>
  <c r="N2207" i="9" l="1"/>
  <c r="O2207" i="9" s="1"/>
  <c r="P2207" i="9" s="1"/>
  <c r="S2206" i="9"/>
  <c r="R2206" i="9"/>
  <c r="N2208" i="9" l="1"/>
  <c r="O2208" i="9" s="1"/>
  <c r="P2208" i="9" s="1"/>
  <c r="S2207" i="9"/>
  <c r="R2207" i="9"/>
  <c r="N2209" i="9" l="1"/>
  <c r="O2209" i="9" s="1"/>
  <c r="P2209" i="9" s="1"/>
  <c r="S2208" i="9"/>
  <c r="R2208" i="9"/>
  <c r="N2210" i="9" l="1"/>
  <c r="O2210" i="9" s="1"/>
  <c r="P2210" i="9" s="1"/>
  <c r="R2209" i="9"/>
  <c r="S2209" i="9"/>
  <c r="N2211" i="9" l="1"/>
  <c r="O2211" i="9" s="1"/>
  <c r="P2211" i="9" s="1"/>
  <c r="S2210" i="9"/>
  <c r="R2210" i="9"/>
  <c r="N2212" i="9" l="1"/>
  <c r="O2212" i="9" s="1"/>
  <c r="P2212" i="9" s="1"/>
  <c r="S2211" i="9"/>
  <c r="R2211" i="9"/>
  <c r="N2213" i="9" l="1"/>
  <c r="O2213" i="9" s="1"/>
  <c r="P2213" i="9" s="1"/>
  <c r="S2212" i="9"/>
  <c r="R2212" i="9"/>
  <c r="N2214" i="9" l="1"/>
  <c r="O2214" i="9" s="1"/>
  <c r="P2214" i="9" s="1"/>
  <c r="R2213" i="9"/>
  <c r="S2213" i="9"/>
  <c r="N2215" i="9" l="1"/>
  <c r="O2215" i="9" s="1"/>
  <c r="P2215" i="9" s="1"/>
  <c r="S2214" i="9"/>
  <c r="R2214" i="9"/>
  <c r="N2216" i="9" l="1"/>
  <c r="O2216" i="9" s="1"/>
  <c r="P2216" i="9" s="1"/>
  <c r="S2215" i="9"/>
  <c r="R2215" i="9"/>
  <c r="N2217" i="9" l="1"/>
  <c r="O2217" i="9" s="1"/>
  <c r="P2217" i="9" s="1"/>
  <c r="S2216" i="9"/>
  <c r="R2216" i="9"/>
  <c r="N2218" i="9" l="1"/>
  <c r="O2218" i="9" s="1"/>
  <c r="P2218" i="9" s="1"/>
  <c r="R2217" i="9"/>
  <c r="S2217" i="9"/>
  <c r="N2219" i="9" l="1"/>
  <c r="O2219" i="9" s="1"/>
  <c r="P2219" i="9" s="1"/>
  <c r="S2218" i="9"/>
  <c r="R2218" i="9"/>
  <c r="N2220" i="9" l="1"/>
  <c r="O2220" i="9" s="1"/>
  <c r="P2220" i="9" s="1"/>
  <c r="S2219" i="9"/>
  <c r="R2219" i="9"/>
  <c r="N2221" i="9" l="1"/>
  <c r="O2221" i="9" s="1"/>
  <c r="P2221" i="9" s="1"/>
  <c r="S2220" i="9"/>
  <c r="R2220" i="9"/>
  <c r="N2222" i="9" l="1"/>
  <c r="O2222" i="9" s="1"/>
  <c r="P2222" i="9" s="1"/>
  <c r="R2221" i="9"/>
  <c r="S2221" i="9"/>
  <c r="S2222" i="9" l="1"/>
  <c r="R2222" i="9"/>
  <c r="N2223" i="9"/>
  <c r="O2223" i="9" s="1"/>
  <c r="P2223" i="9" s="1"/>
  <c r="N2224" i="9" l="1"/>
  <c r="O2224" i="9" s="1"/>
  <c r="P2224" i="9" s="1"/>
  <c r="S2223" i="9"/>
  <c r="R2223" i="9"/>
  <c r="N2225" i="9" l="1"/>
  <c r="O2225" i="9" s="1"/>
  <c r="P2225" i="9" s="1"/>
  <c r="S2224" i="9"/>
  <c r="R2224" i="9"/>
  <c r="N2226" i="9" l="1"/>
  <c r="O2226" i="9" s="1"/>
  <c r="P2226" i="9" s="1"/>
  <c r="R2225" i="9"/>
  <c r="S2225" i="9"/>
  <c r="N2227" i="9" l="1"/>
  <c r="O2227" i="9" s="1"/>
  <c r="P2227" i="9" s="1"/>
  <c r="S2226" i="9"/>
  <c r="R2226" i="9"/>
  <c r="N2228" i="9" l="1"/>
  <c r="O2228" i="9" s="1"/>
  <c r="P2228" i="9" s="1"/>
  <c r="S2227" i="9"/>
  <c r="R2227" i="9"/>
  <c r="N2229" i="9" l="1"/>
  <c r="O2229" i="9" s="1"/>
  <c r="P2229" i="9" s="1"/>
  <c r="S2228" i="9"/>
  <c r="R2228" i="9"/>
  <c r="N2230" i="9" l="1"/>
  <c r="O2230" i="9" s="1"/>
  <c r="P2230" i="9" s="1"/>
  <c r="R2229" i="9"/>
  <c r="S2229" i="9"/>
  <c r="N2231" i="9" l="1"/>
  <c r="O2231" i="9" s="1"/>
  <c r="P2231" i="9" s="1"/>
  <c r="S2230" i="9"/>
  <c r="R2230" i="9"/>
  <c r="N2232" i="9" l="1"/>
  <c r="O2232" i="9" s="1"/>
  <c r="P2232" i="9" s="1"/>
  <c r="R2231" i="9"/>
  <c r="S2231" i="9"/>
  <c r="N2233" i="9" l="1"/>
  <c r="O2233" i="9" s="1"/>
  <c r="P2233" i="9" s="1"/>
  <c r="S2232" i="9"/>
  <c r="R2232" i="9"/>
  <c r="N2234" i="9" l="1"/>
  <c r="O2234" i="9" s="1"/>
  <c r="P2234" i="9" s="1"/>
  <c r="R2233" i="9"/>
  <c r="S2233" i="9"/>
  <c r="N2235" i="9" l="1"/>
  <c r="O2235" i="9" s="1"/>
  <c r="P2235" i="9" s="1"/>
  <c r="S2234" i="9"/>
  <c r="R2234" i="9"/>
  <c r="N2236" i="9" l="1"/>
  <c r="O2236" i="9" s="1"/>
  <c r="P2236" i="9" s="1"/>
  <c r="R2235" i="9"/>
  <c r="S2235" i="9"/>
  <c r="N2237" i="9" l="1"/>
  <c r="O2237" i="9" s="1"/>
  <c r="P2237" i="9" s="1"/>
  <c r="S2236" i="9"/>
  <c r="R2236" i="9"/>
  <c r="N2238" i="9" l="1"/>
  <c r="O2238" i="9" s="1"/>
  <c r="P2238" i="9" s="1"/>
  <c r="R2237" i="9"/>
  <c r="S2237" i="9"/>
  <c r="N2239" i="9" l="1"/>
  <c r="O2239" i="9" s="1"/>
  <c r="P2239" i="9" s="1"/>
  <c r="S2238" i="9"/>
  <c r="R2238" i="9"/>
  <c r="N2240" i="9" l="1"/>
  <c r="O2240" i="9" s="1"/>
  <c r="P2240" i="9" s="1"/>
  <c r="R2239" i="9"/>
  <c r="S2239" i="9"/>
  <c r="N2241" i="9" l="1"/>
  <c r="O2241" i="9" s="1"/>
  <c r="P2241" i="9" s="1"/>
  <c r="S2240" i="9"/>
  <c r="R2240" i="9"/>
  <c r="R2241" i="9" l="1"/>
  <c r="S2241" i="9"/>
  <c r="N2242" i="9"/>
  <c r="O2242" i="9" s="1"/>
  <c r="P2242" i="9" s="1"/>
  <c r="N2243" i="9" l="1"/>
  <c r="O2243" i="9" s="1"/>
  <c r="P2243" i="9" s="1"/>
  <c r="S2242" i="9"/>
  <c r="R2242" i="9"/>
  <c r="N2244" i="9" l="1"/>
  <c r="O2244" i="9" s="1"/>
  <c r="P2244" i="9" s="1"/>
  <c r="S2243" i="9"/>
  <c r="R2243" i="9"/>
  <c r="N2245" i="9" l="1"/>
  <c r="O2245" i="9" s="1"/>
  <c r="P2245" i="9" s="1"/>
  <c r="S2244" i="9"/>
  <c r="R2244" i="9"/>
  <c r="N2246" i="9" l="1"/>
  <c r="O2246" i="9" s="1"/>
  <c r="P2246" i="9" s="1"/>
  <c r="R2245" i="9"/>
  <c r="S2245" i="9"/>
  <c r="N2247" i="9" l="1"/>
  <c r="O2247" i="9" s="1"/>
  <c r="P2247" i="9" s="1"/>
  <c r="S2246" i="9"/>
  <c r="R2246" i="9"/>
  <c r="N2248" i="9" l="1"/>
  <c r="O2248" i="9" s="1"/>
  <c r="P2248" i="9" s="1"/>
  <c r="R2247" i="9"/>
  <c r="S2247" i="9"/>
  <c r="N2249" i="9" l="1"/>
  <c r="O2249" i="9" s="1"/>
  <c r="P2249" i="9" s="1"/>
  <c r="S2248" i="9"/>
  <c r="R2248" i="9"/>
  <c r="N2250" i="9" l="1"/>
  <c r="O2250" i="9" s="1"/>
  <c r="P2250" i="9" s="1"/>
  <c r="R2249" i="9"/>
  <c r="S2249" i="9"/>
  <c r="N2251" i="9" l="1"/>
  <c r="O2251" i="9" s="1"/>
  <c r="P2251" i="9" s="1"/>
  <c r="S2250" i="9"/>
  <c r="R2250" i="9"/>
  <c r="N2252" i="9" l="1"/>
  <c r="O2252" i="9" s="1"/>
  <c r="P2252" i="9" s="1"/>
  <c r="S2251" i="9"/>
  <c r="R2251" i="9"/>
  <c r="N2253" i="9" l="1"/>
  <c r="O2253" i="9" s="1"/>
  <c r="P2253" i="9" s="1"/>
  <c r="S2252" i="9"/>
  <c r="R2252" i="9"/>
  <c r="N2254" i="9" l="1"/>
  <c r="O2254" i="9" s="1"/>
  <c r="P2254" i="9" s="1"/>
  <c r="R2253" i="9"/>
  <c r="S2253" i="9"/>
  <c r="N2255" i="9" l="1"/>
  <c r="O2255" i="9" s="1"/>
  <c r="P2255" i="9" s="1"/>
  <c r="S2254" i="9"/>
  <c r="R2254" i="9"/>
  <c r="S2255" i="9" l="1"/>
  <c r="R2255" i="9"/>
  <c r="N2256" i="9"/>
  <c r="O2256" i="9" s="1"/>
  <c r="P2256" i="9" s="1"/>
  <c r="N2257" i="9" l="1"/>
  <c r="O2257" i="9" s="1"/>
  <c r="P2257" i="9" s="1"/>
  <c r="S2256" i="9"/>
  <c r="R2256" i="9"/>
  <c r="R2257" i="9" l="1"/>
  <c r="S2257" i="9"/>
  <c r="N2258" i="9"/>
  <c r="O2258" i="9" s="1"/>
  <c r="P2258" i="9" s="1"/>
  <c r="N2259" i="9" l="1"/>
  <c r="O2259" i="9" s="1"/>
  <c r="P2259" i="9" s="1"/>
  <c r="S2258" i="9"/>
  <c r="R2258" i="9"/>
  <c r="N2260" i="9" l="1"/>
  <c r="O2260" i="9" s="1"/>
  <c r="P2260" i="9" s="1"/>
  <c r="S2259" i="9"/>
  <c r="R2259" i="9"/>
  <c r="N2261" i="9" l="1"/>
  <c r="O2261" i="9" s="1"/>
  <c r="P2261" i="9" s="1"/>
  <c r="S2260" i="9"/>
  <c r="R2260" i="9"/>
  <c r="N2262" i="9" l="1"/>
  <c r="O2262" i="9" s="1"/>
  <c r="P2262" i="9" s="1"/>
  <c r="R2261" i="9"/>
  <c r="S2261" i="9"/>
  <c r="N2263" i="9" l="1"/>
  <c r="O2263" i="9" s="1"/>
  <c r="P2263" i="9" s="1"/>
  <c r="S2262" i="9"/>
  <c r="R2262" i="9"/>
  <c r="N2264" i="9" l="1"/>
  <c r="O2264" i="9" s="1"/>
  <c r="P2264" i="9" s="1"/>
  <c r="S2263" i="9"/>
  <c r="R2263" i="9"/>
  <c r="S2264" i="9" l="1"/>
  <c r="N2265" i="9"/>
  <c r="O2265" i="9" s="1"/>
  <c r="P2265" i="9" s="1"/>
  <c r="R2264" i="9"/>
  <c r="N2266" i="9" l="1"/>
  <c r="O2266" i="9" s="1"/>
  <c r="P2266" i="9" s="1"/>
  <c r="R2265" i="9"/>
  <c r="S2265" i="9"/>
  <c r="N2267" i="9" l="1"/>
  <c r="O2267" i="9" s="1"/>
  <c r="P2267" i="9" s="1"/>
  <c r="S2266" i="9"/>
  <c r="R2266" i="9"/>
  <c r="N2268" i="9" l="1"/>
  <c r="O2268" i="9" s="1"/>
  <c r="P2268" i="9" s="1"/>
  <c r="S2267" i="9"/>
  <c r="R2267" i="9"/>
  <c r="N2269" i="9" l="1"/>
  <c r="O2269" i="9" s="1"/>
  <c r="P2269" i="9" s="1"/>
  <c r="S2268" i="9"/>
  <c r="R2268" i="9"/>
  <c r="N2270" i="9" l="1"/>
  <c r="O2270" i="9" s="1"/>
  <c r="P2270" i="9" s="1"/>
  <c r="R2269" i="9"/>
  <c r="S2269" i="9"/>
  <c r="N2271" i="9" l="1"/>
  <c r="O2271" i="9" s="1"/>
  <c r="P2271" i="9" s="1"/>
  <c r="S2270" i="9"/>
  <c r="R2270" i="9"/>
  <c r="S2271" i="9" l="1"/>
  <c r="R2271" i="9"/>
  <c r="N2272" i="9"/>
  <c r="O2272" i="9" s="1"/>
  <c r="P2272" i="9" s="1"/>
  <c r="N2273" i="9" l="1"/>
  <c r="O2273" i="9" s="1"/>
  <c r="P2273" i="9" s="1"/>
  <c r="S2272" i="9"/>
  <c r="R2272" i="9"/>
  <c r="N2274" i="9" l="1"/>
  <c r="O2274" i="9" s="1"/>
  <c r="P2274" i="9" s="1"/>
  <c r="R2273" i="9"/>
  <c r="S2273" i="9"/>
  <c r="N2275" i="9" l="1"/>
  <c r="O2275" i="9" s="1"/>
  <c r="P2275" i="9" s="1"/>
  <c r="S2274" i="9"/>
  <c r="R2274" i="9"/>
  <c r="N2276" i="9" l="1"/>
  <c r="O2276" i="9" s="1"/>
  <c r="P2276" i="9" s="1"/>
  <c r="S2275" i="9"/>
  <c r="R2275" i="9"/>
  <c r="N2277" i="9" l="1"/>
  <c r="O2277" i="9" s="1"/>
  <c r="P2277" i="9" s="1"/>
  <c r="S2276" i="9"/>
  <c r="R2276" i="9"/>
  <c r="N2278" i="9" l="1"/>
  <c r="O2278" i="9" s="1"/>
  <c r="P2278" i="9" s="1"/>
  <c r="R2277" i="9"/>
  <c r="S2277" i="9"/>
  <c r="N2279" i="9" l="1"/>
  <c r="O2279" i="9" s="1"/>
  <c r="P2279" i="9" s="1"/>
  <c r="S2278" i="9"/>
  <c r="R2278" i="9"/>
  <c r="N2280" i="9" l="1"/>
  <c r="O2280" i="9" s="1"/>
  <c r="P2280" i="9" s="1"/>
  <c r="S2279" i="9"/>
  <c r="R2279" i="9"/>
  <c r="N2281" i="9" l="1"/>
  <c r="O2281" i="9" s="1"/>
  <c r="P2281" i="9" s="1"/>
  <c r="S2280" i="9"/>
  <c r="R2280" i="9"/>
  <c r="N2282" i="9" l="1"/>
  <c r="O2282" i="9" s="1"/>
  <c r="P2282" i="9" s="1"/>
  <c r="R2281" i="9"/>
  <c r="S2281" i="9"/>
  <c r="N2283" i="9" l="1"/>
  <c r="O2283" i="9" s="1"/>
  <c r="P2283" i="9" s="1"/>
  <c r="S2282" i="9"/>
  <c r="R2282" i="9"/>
  <c r="N2284" i="9" l="1"/>
  <c r="O2284" i="9" s="1"/>
  <c r="P2284" i="9" s="1"/>
  <c r="S2283" i="9"/>
  <c r="R2283" i="9"/>
  <c r="N2285" i="9" l="1"/>
  <c r="O2285" i="9" s="1"/>
  <c r="P2285" i="9" s="1"/>
  <c r="S2284" i="9"/>
  <c r="R2284" i="9"/>
  <c r="N2286" i="9" l="1"/>
  <c r="O2286" i="9" s="1"/>
  <c r="P2286" i="9" s="1"/>
  <c r="R2285" i="9"/>
  <c r="S2285" i="9"/>
  <c r="N2287" i="9" l="1"/>
  <c r="O2287" i="9" s="1"/>
  <c r="P2287" i="9" s="1"/>
  <c r="S2286" i="9"/>
  <c r="R2286" i="9"/>
  <c r="N2288" i="9" l="1"/>
  <c r="O2288" i="9" s="1"/>
  <c r="P2288" i="9" s="1"/>
  <c r="S2287" i="9"/>
  <c r="R2287" i="9"/>
  <c r="N2289" i="9" l="1"/>
  <c r="O2289" i="9" s="1"/>
  <c r="P2289" i="9" s="1"/>
  <c r="S2288" i="9"/>
  <c r="R2288" i="9"/>
  <c r="N2290" i="9" l="1"/>
  <c r="O2290" i="9" s="1"/>
  <c r="P2290" i="9" s="1"/>
  <c r="R2289" i="9"/>
  <c r="S2289" i="9"/>
  <c r="N2291" i="9" l="1"/>
  <c r="O2291" i="9" s="1"/>
  <c r="P2291" i="9" s="1"/>
  <c r="S2290" i="9"/>
  <c r="R2290" i="9"/>
  <c r="N2292" i="9" l="1"/>
  <c r="O2292" i="9" s="1"/>
  <c r="P2292" i="9" s="1"/>
  <c r="S2291" i="9"/>
  <c r="R2291" i="9"/>
  <c r="N2293" i="9" l="1"/>
  <c r="O2293" i="9" s="1"/>
  <c r="P2293" i="9" s="1"/>
  <c r="S2292" i="9"/>
  <c r="R2292" i="9"/>
  <c r="N2294" i="9" l="1"/>
  <c r="O2294" i="9" s="1"/>
  <c r="P2294" i="9" s="1"/>
  <c r="R2293" i="9"/>
  <c r="S2293" i="9"/>
  <c r="N2295" i="9" l="1"/>
  <c r="O2295" i="9" s="1"/>
  <c r="P2295" i="9" s="1"/>
  <c r="S2294" i="9"/>
  <c r="R2294" i="9"/>
  <c r="N2296" i="9" l="1"/>
  <c r="O2296" i="9" s="1"/>
  <c r="P2296" i="9" s="1"/>
  <c r="S2295" i="9"/>
  <c r="R2295" i="9"/>
  <c r="N2297" i="9" l="1"/>
  <c r="O2297" i="9" s="1"/>
  <c r="P2297" i="9" s="1"/>
  <c r="S2296" i="9"/>
  <c r="R2296" i="9"/>
  <c r="N2298" i="9" l="1"/>
  <c r="O2298" i="9" s="1"/>
  <c r="P2298" i="9" s="1"/>
  <c r="R2297" i="9"/>
  <c r="S2297" i="9"/>
  <c r="N2299" i="9" l="1"/>
  <c r="O2299" i="9" s="1"/>
  <c r="P2299" i="9" s="1"/>
  <c r="S2298" i="9"/>
  <c r="R2298" i="9"/>
  <c r="S2299" i="9" l="1"/>
  <c r="R2299" i="9"/>
  <c r="N2300" i="9"/>
  <c r="O2300" i="9" s="1"/>
  <c r="P2300" i="9" s="1"/>
  <c r="N2301" i="9" l="1"/>
  <c r="O2301" i="9" s="1"/>
  <c r="P2301" i="9" s="1"/>
  <c r="S2300" i="9"/>
  <c r="R2300" i="9"/>
  <c r="N2302" i="9" l="1"/>
  <c r="O2302" i="9" s="1"/>
  <c r="P2302" i="9" s="1"/>
  <c r="R2301" i="9"/>
  <c r="S2301" i="9"/>
  <c r="N2303" i="9" l="1"/>
  <c r="O2303" i="9" s="1"/>
  <c r="P2303" i="9" s="1"/>
  <c r="S2302" i="9"/>
  <c r="R2302" i="9"/>
  <c r="N2304" i="9" l="1"/>
  <c r="O2304" i="9" s="1"/>
  <c r="P2304" i="9" s="1"/>
  <c r="S2303" i="9"/>
  <c r="R2303" i="9"/>
  <c r="N2305" i="9" l="1"/>
  <c r="O2305" i="9" s="1"/>
  <c r="P2305" i="9" s="1"/>
  <c r="S2304" i="9"/>
  <c r="R2304" i="9"/>
  <c r="N2306" i="9" l="1"/>
  <c r="O2306" i="9" s="1"/>
  <c r="P2306" i="9" s="1"/>
  <c r="R2305" i="9"/>
  <c r="S2305" i="9"/>
  <c r="N2307" i="9" l="1"/>
  <c r="O2307" i="9" s="1"/>
  <c r="P2307" i="9" s="1"/>
  <c r="S2306" i="9"/>
  <c r="R2306" i="9"/>
  <c r="N2308" i="9" l="1"/>
  <c r="O2308" i="9" s="1"/>
  <c r="P2308" i="9" s="1"/>
  <c r="S2307" i="9"/>
  <c r="R2307" i="9"/>
  <c r="N2309" i="9" l="1"/>
  <c r="O2309" i="9" s="1"/>
  <c r="P2309" i="9" s="1"/>
  <c r="S2308" i="9"/>
  <c r="R2308" i="9"/>
  <c r="N2310" i="9" l="1"/>
  <c r="O2310" i="9" s="1"/>
  <c r="P2310" i="9" s="1"/>
  <c r="R2309" i="9"/>
  <c r="S2309" i="9"/>
  <c r="N2311" i="9" l="1"/>
  <c r="O2311" i="9" s="1"/>
  <c r="P2311" i="9" s="1"/>
  <c r="S2310" i="9"/>
  <c r="R2310" i="9"/>
  <c r="N2312" i="9" l="1"/>
  <c r="O2312" i="9" s="1"/>
  <c r="P2312" i="9" s="1"/>
  <c r="S2311" i="9"/>
  <c r="R2311" i="9"/>
  <c r="N2313" i="9" l="1"/>
  <c r="O2313" i="9" s="1"/>
  <c r="P2313" i="9" s="1"/>
  <c r="S2312" i="9"/>
  <c r="R2312" i="9"/>
  <c r="N2314" i="9" l="1"/>
  <c r="O2314" i="9" s="1"/>
  <c r="P2314" i="9" s="1"/>
  <c r="R2313" i="9"/>
  <c r="S2313" i="9"/>
  <c r="N2315" i="9" l="1"/>
  <c r="O2315" i="9" s="1"/>
  <c r="P2315" i="9" s="1"/>
  <c r="S2314" i="9"/>
  <c r="R2314" i="9"/>
  <c r="S2315" i="9" l="1"/>
  <c r="N2316" i="9"/>
  <c r="O2316" i="9" s="1"/>
  <c r="P2316" i="9" s="1"/>
  <c r="R2315" i="9"/>
  <c r="N2317" i="9" l="1"/>
  <c r="O2317" i="9" s="1"/>
  <c r="P2317" i="9" s="1"/>
  <c r="S2316" i="9"/>
  <c r="R2316" i="9"/>
  <c r="N2318" i="9" l="1"/>
  <c r="O2318" i="9" s="1"/>
  <c r="P2318" i="9" s="1"/>
  <c r="R2317" i="9"/>
  <c r="S2317" i="9"/>
  <c r="N2319" i="9" l="1"/>
  <c r="O2319" i="9" s="1"/>
  <c r="P2319" i="9" s="1"/>
  <c r="S2318" i="9"/>
  <c r="R2318" i="9"/>
  <c r="S2319" i="9" l="1"/>
  <c r="R2319" i="9"/>
  <c r="N2320" i="9"/>
  <c r="O2320" i="9" s="1"/>
  <c r="P2320" i="9" s="1"/>
  <c r="N2321" i="9" l="1"/>
  <c r="O2321" i="9" s="1"/>
  <c r="P2321" i="9" s="1"/>
  <c r="S2320" i="9"/>
  <c r="R2320" i="9"/>
  <c r="N2322" i="9" l="1"/>
  <c r="O2322" i="9" s="1"/>
  <c r="P2322" i="9" s="1"/>
  <c r="R2321" i="9"/>
  <c r="S2321" i="9"/>
  <c r="N2323" i="9" l="1"/>
  <c r="O2323" i="9" s="1"/>
  <c r="P2323" i="9" s="1"/>
  <c r="S2322" i="9"/>
  <c r="R2322" i="9"/>
  <c r="N2324" i="9" l="1"/>
  <c r="O2324" i="9" s="1"/>
  <c r="P2324" i="9" s="1"/>
  <c r="S2323" i="9"/>
  <c r="R2323" i="9"/>
  <c r="N2325" i="9" l="1"/>
  <c r="O2325" i="9" s="1"/>
  <c r="P2325" i="9" s="1"/>
  <c r="S2324" i="9"/>
  <c r="R2324" i="9"/>
  <c r="N2326" i="9" l="1"/>
  <c r="O2326" i="9" s="1"/>
  <c r="P2326" i="9" s="1"/>
  <c r="R2325" i="9"/>
  <c r="S2325" i="9"/>
  <c r="N2327" i="9" l="1"/>
  <c r="O2327" i="9" s="1"/>
  <c r="P2327" i="9" s="1"/>
  <c r="S2326" i="9"/>
  <c r="R2326" i="9"/>
  <c r="N2328" i="9" l="1"/>
  <c r="O2328" i="9" s="1"/>
  <c r="P2328" i="9" s="1"/>
  <c r="S2327" i="9"/>
  <c r="R2327" i="9"/>
  <c r="N2329" i="9" l="1"/>
  <c r="O2329" i="9" s="1"/>
  <c r="P2329" i="9" s="1"/>
  <c r="S2328" i="9"/>
  <c r="R2328" i="9"/>
  <c r="N2330" i="9" l="1"/>
  <c r="O2330" i="9" s="1"/>
  <c r="P2330" i="9" s="1"/>
  <c r="R2329" i="9"/>
  <c r="S2329" i="9"/>
  <c r="N2331" i="9" l="1"/>
  <c r="O2331" i="9" s="1"/>
  <c r="P2331" i="9" s="1"/>
  <c r="S2330" i="9"/>
  <c r="R2330" i="9"/>
  <c r="S2331" i="9" l="1"/>
  <c r="R2331" i="9"/>
  <c r="N2332" i="9"/>
  <c r="O2332" i="9" s="1"/>
  <c r="P2332" i="9" s="1"/>
  <c r="N2333" i="9" l="1"/>
  <c r="O2333" i="9" s="1"/>
  <c r="P2333" i="9" s="1"/>
  <c r="S2332" i="9"/>
  <c r="R2332" i="9"/>
  <c r="N2334" i="9" l="1"/>
  <c r="O2334" i="9" s="1"/>
  <c r="P2334" i="9" s="1"/>
  <c r="R2333" i="9"/>
  <c r="S2333" i="9"/>
  <c r="N2335" i="9" l="1"/>
  <c r="O2335" i="9" s="1"/>
  <c r="P2335" i="9" s="1"/>
  <c r="S2334" i="9"/>
  <c r="R2334" i="9"/>
  <c r="N2336" i="9" l="1"/>
  <c r="O2336" i="9" s="1"/>
  <c r="P2336" i="9" s="1"/>
  <c r="S2335" i="9"/>
  <c r="R2335" i="9"/>
  <c r="N2337" i="9" l="1"/>
  <c r="O2337" i="9" s="1"/>
  <c r="P2337" i="9" s="1"/>
  <c r="S2336" i="9"/>
  <c r="R2336" i="9"/>
  <c r="N2338" i="9" l="1"/>
  <c r="O2338" i="9" s="1"/>
  <c r="P2338" i="9" s="1"/>
  <c r="R2337" i="9"/>
  <c r="S2337" i="9"/>
  <c r="N2339" i="9" l="1"/>
  <c r="O2339" i="9" s="1"/>
  <c r="P2339" i="9" s="1"/>
  <c r="S2338" i="9"/>
  <c r="R2338" i="9"/>
  <c r="N2340" i="9" l="1"/>
  <c r="O2340" i="9" s="1"/>
  <c r="P2340" i="9" s="1"/>
  <c r="S2339" i="9"/>
  <c r="R2339" i="9"/>
  <c r="N2341" i="9" l="1"/>
  <c r="O2341" i="9" s="1"/>
  <c r="P2341" i="9" s="1"/>
  <c r="S2340" i="9"/>
  <c r="R2340" i="9"/>
  <c r="N2342" i="9" l="1"/>
  <c r="O2342" i="9" s="1"/>
  <c r="P2342" i="9" s="1"/>
  <c r="R2341" i="9"/>
  <c r="S2341" i="9"/>
  <c r="N2343" i="9" l="1"/>
  <c r="O2343" i="9" s="1"/>
  <c r="P2343" i="9" s="1"/>
  <c r="S2342" i="9"/>
  <c r="R2342" i="9"/>
  <c r="N2344" i="9" l="1"/>
  <c r="O2344" i="9" s="1"/>
  <c r="P2344" i="9" s="1"/>
  <c r="S2343" i="9"/>
  <c r="R2343" i="9"/>
  <c r="N2345" i="9" l="1"/>
  <c r="O2345" i="9" s="1"/>
  <c r="P2345" i="9" s="1"/>
  <c r="S2344" i="9"/>
  <c r="R2344" i="9"/>
  <c r="N2346" i="9" l="1"/>
  <c r="O2346" i="9" s="1"/>
  <c r="P2346" i="9" s="1"/>
  <c r="R2345" i="9"/>
  <c r="S2345" i="9"/>
  <c r="N2347" i="9" l="1"/>
  <c r="O2347" i="9" s="1"/>
  <c r="P2347" i="9" s="1"/>
  <c r="S2346" i="9"/>
  <c r="R2346" i="9"/>
  <c r="S2347" i="9" l="1"/>
  <c r="N2348" i="9"/>
  <c r="O2348" i="9" s="1"/>
  <c r="P2348" i="9" s="1"/>
  <c r="R2347" i="9"/>
  <c r="N2349" i="9" l="1"/>
  <c r="O2349" i="9" s="1"/>
  <c r="P2349" i="9" s="1"/>
  <c r="S2348" i="9"/>
  <c r="R2348" i="9"/>
  <c r="N2350" i="9" l="1"/>
  <c r="O2350" i="9" s="1"/>
  <c r="P2350" i="9" s="1"/>
  <c r="R2349" i="9"/>
  <c r="S2349" i="9"/>
  <c r="N2351" i="9" l="1"/>
  <c r="O2351" i="9" s="1"/>
  <c r="P2351" i="9" s="1"/>
  <c r="S2350" i="9"/>
  <c r="R2350" i="9"/>
  <c r="S2351" i="9" l="1"/>
  <c r="R2351" i="9"/>
  <c r="N2352" i="9"/>
  <c r="O2352" i="9" s="1"/>
  <c r="P2352" i="9" s="1"/>
  <c r="N2353" i="9" l="1"/>
  <c r="O2353" i="9" s="1"/>
  <c r="P2353" i="9" s="1"/>
  <c r="S2352" i="9"/>
  <c r="R2352" i="9"/>
  <c r="N2354" i="9" l="1"/>
  <c r="O2354" i="9" s="1"/>
  <c r="P2354" i="9" s="1"/>
  <c r="R2353" i="9"/>
  <c r="S2353" i="9"/>
  <c r="N2355" i="9" l="1"/>
  <c r="O2355" i="9" s="1"/>
  <c r="P2355" i="9" s="1"/>
  <c r="S2354" i="9"/>
  <c r="R2354" i="9"/>
  <c r="N2356" i="9" l="1"/>
  <c r="O2356" i="9" s="1"/>
  <c r="P2356" i="9" s="1"/>
  <c r="S2355" i="9"/>
  <c r="R2355" i="9"/>
  <c r="N2357" i="9" l="1"/>
  <c r="O2357" i="9" s="1"/>
  <c r="P2357" i="9" s="1"/>
  <c r="S2356" i="9"/>
  <c r="R2356" i="9"/>
  <c r="N2358" i="9" l="1"/>
  <c r="O2358" i="9" s="1"/>
  <c r="P2358" i="9" s="1"/>
  <c r="R2357" i="9"/>
  <c r="S2357" i="9"/>
  <c r="N2359" i="9" l="1"/>
  <c r="O2359" i="9" s="1"/>
  <c r="P2359" i="9" s="1"/>
  <c r="S2358" i="9"/>
  <c r="R2358" i="9"/>
  <c r="N2360" i="9" l="1"/>
  <c r="O2360" i="9" s="1"/>
  <c r="P2360" i="9" s="1"/>
  <c r="S2359" i="9"/>
  <c r="R2359" i="9"/>
  <c r="N2361" i="9" l="1"/>
  <c r="O2361" i="9" s="1"/>
  <c r="P2361" i="9" s="1"/>
  <c r="S2360" i="9"/>
  <c r="R2360" i="9"/>
  <c r="N2362" i="9" l="1"/>
  <c r="O2362" i="9" s="1"/>
  <c r="P2362" i="9" s="1"/>
  <c r="R2361" i="9"/>
  <c r="S2361" i="9"/>
  <c r="N2363" i="9" l="1"/>
  <c r="O2363" i="9" s="1"/>
  <c r="P2363" i="9" s="1"/>
  <c r="S2362" i="9"/>
  <c r="R2362" i="9"/>
  <c r="S2363" i="9" l="1"/>
  <c r="R2363" i="9"/>
  <c r="N2364" i="9"/>
  <c r="O2364" i="9" s="1"/>
  <c r="P2364" i="9" s="1"/>
  <c r="N2365" i="9" l="1"/>
  <c r="O2365" i="9" s="1"/>
  <c r="P2365" i="9" s="1"/>
  <c r="S2364" i="9"/>
  <c r="R2364" i="9"/>
  <c r="N2366" i="9" l="1"/>
  <c r="O2366" i="9" s="1"/>
  <c r="P2366" i="9" s="1"/>
  <c r="R2365" i="9"/>
  <c r="S2365" i="9"/>
  <c r="N2367" i="9" l="1"/>
  <c r="O2367" i="9" s="1"/>
  <c r="P2367" i="9" s="1"/>
  <c r="S2366" i="9"/>
  <c r="R2366" i="9"/>
  <c r="N2368" i="9" l="1"/>
  <c r="O2368" i="9" s="1"/>
  <c r="P2368" i="9" s="1"/>
  <c r="S2367" i="9"/>
  <c r="R2367" i="9"/>
  <c r="N2369" i="9" l="1"/>
  <c r="O2369" i="9" s="1"/>
  <c r="P2369" i="9" s="1"/>
  <c r="S2368" i="9"/>
  <c r="R2368" i="9"/>
  <c r="N2370" i="9" l="1"/>
  <c r="O2370" i="9" s="1"/>
  <c r="P2370" i="9" s="1"/>
  <c r="R2369" i="9"/>
  <c r="S2369" i="9"/>
  <c r="N2371" i="9" l="1"/>
  <c r="O2371" i="9" s="1"/>
  <c r="P2371" i="9" s="1"/>
  <c r="S2370" i="9"/>
  <c r="R2370" i="9"/>
  <c r="N2372" i="9" l="1"/>
  <c r="O2372" i="9" s="1"/>
  <c r="P2372" i="9" s="1"/>
  <c r="S2371" i="9"/>
  <c r="R2371" i="9"/>
  <c r="N2373" i="9" l="1"/>
  <c r="O2373" i="9" s="1"/>
  <c r="P2373" i="9" s="1"/>
  <c r="S2372" i="9"/>
  <c r="R2372" i="9"/>
  <c r="N2374" i="9" l="1"/>
  <c r="O2374" i="9" s="1"/>
  <c r="P2374" i="9" s="1"/>
  <c r="R2373" i="9"/>
  <c r="S2373" i="9"/>
  <c r="N2375" i="9" l="1"/>
  <c r="O2375" i="9" s="1"/>
  <c r="P2375" i="9" s="1"/>
  <c r="S2374" i="9"/>
  <c r="R2374" i="9"/>
  <c r="N2376" i="9" l="1"/>
  <c r="O2376" i="9" s="1"/>
  <c r="P2376" i="9" s="1"/>
  <c r="S2375" i="9"/>
  <c r="R2375" i="9"/>
  <c r="N2377" i="9" l="1"/>
  <c r="O2377" i="9" s="1"/>
  <c r="P2377" i="9" s="1"/>
  <c r="S2376" i="9"/>
  <c r="R2376" i="9"/>
  <c r="N2378" i="9" l="1"/>
  <c r="O2378" i="9" s="1"/>
  <c r="P2378" i="9" s="1"/>
  <c r="R2377" i="9"/>
  <c r="S2377" i="9"/>
  <c r="N2379" i="9" l="1"/>
  <c r="O2379" i="9" s="1"/>
  <c r="P2379" i="9" s="1"/>
  <c r="S2378" i="9"/>
  <c r="R2378" i="9"/>
  <c r="S2379" i="9" l="1"/>
  <c r="N2380" i="9"/>
  <c r="O2380" i="9" s="1"/>
  <c r="P2380" i="9" s="1"/>
  <c r="R2379" i="9"/>
  <c r="N2381" i="9" l="1"/>
  <c r="O2381" i="9" s="1"/>
  <c r="P2381" i="9" s="1"/>
  <c r="S2380" i="9"/>
  <c r="R2380" i="9"/>
  <c r="N2382" i="9" l="1"/>
  <c r="O2382" i="9" s="1"/>
  <c r="P2382" i="9" s="1"/>
  <c r="S2381" i="9"/>
  <c r="R2381" i="9"/>
  <c r="N2383" i="9" l="1"/>
  <c r="O2383" i="9" s="1"/>
  <c r="P2383" i="9" s="1"/>
  <c r="S2382" i="9"/>
  <c r="R2382" i="9"/>
  <c r="S2383" i="9" l="1"/>
  <c r="R2383" i="9"/>
  <c r="N2384" i="9"/>
  <c r="O2384" i="9" s="1"/>
  <c r="P2384" i="9" s="1"/>
  <c r="N2385" i="9" l="1"/>
  <c r="O2385" i="9" s="1"/>
  <c r="P2385" i="9" s="1"/>
  <c r="S2384" i="9"/>
  <c r="R2384" i="9"/>
  <c r="N2386" i="9" l="1"/>
  <c r="O2386" i="9" s="1"/>
  <c r="P2386" i="9" s="1"/>
  <c r="S2385" i="9"/>
  <c r="R2385" i="9"/>
  <c r="N2387" i="9" l="1"/>
  <c r="O2387" i="9" s="1"/>
  <c r="P2387" i="9" s="1"/>
  <c r="S2386" i="9"/>
  <c r="R2386" i="9"/>
  <c r="N2388" i="9" l="1"/>
  <c r="O2388" i="9" s="1"/>
  <c r="P2388" i="9" s="1"/>
  <c r="S2387" i="9"/>
  <c r="R2387" i="9"/>
  <c r="N2389" i="9" l="1"/>
  <c r="O2389" i="9" s="1"/>
  <c r="P2389" i="9" s="1"/>
  <c r="S2388" i="9"/>
  <c r="R2388" i="9"/>
  <c r="N2390" i="9" l="1"/>
  <c r="O2390" i="9" s="1"/>
  <c r="P2390" i="9" s="1"/>
  <c r="S2389" i="9"/>
  <c r="R2389" i="9"/>
  <c r="N2391" i="9" l="1"/>
  <c r="O2391" i="9" s="1"/>
  <c r="P2391" i="9" s="1"/>
  <c r="S2390" i="9"/>
  <c r="R2390" i="9"/>
  <c r="N2392" i="9" l="1"/>
  <c r="O2392" i="9" s="1"/>
  <c r="P2392" i="9" s="1"/>
  <c r="S2391" i="9"/>
  <c r="R2391" i="9"/>
  <c r="N2393" i="9" l="1"/>
  <c r="O2393" i="9" s="1"/>
  <c r="P2393" i="9" s="1"/>
  <c r="S2392" i="9"/>
  <c r="R2392" i="9"/>
  <c r="N2394" i="9" l="1"/>
  <c r="O2394" i="9" s="1"/>
  <c r="P2394" i="9" s="1"/>
  <c r="R2393" i="9"/>
  <c r="S2393" i="9"/>
  <c r="N2395" i="9" l="1"/>
  <c r="O2395" i="9" s="1"/>
  <c r="P2395" i="9" s="1"/>
  <c r="S2394" i="9"/>
  <c r="R2394" i="9"/>
  <c r="S2395" i="9" l="1"/>
  <c r="R2395" i="9"/>
  <c r="N2396" i="9"/>
  <c r="O2396" i="9" s="1"/>
  <c r="P2396" i="9" s="1"/>
  <c r="N2397" i="9" l="1"/>
  <c r="O2397" i="9" s="1"/>
  <c r="P2397" i="9" s="1"/>
  <c r="S2396" i="9"/>
  <c r="R2396" i="9"/>
  <c r="N2398" i="9" l="1"/>
  <c r="O2398" i="9" s="1"/>
  <c r="P2398" i="9" s="1"/>
  <c r="S2397" i="9"/>
  <c r="R2397" i="9"/>
  <c r="N2399" i="9" l="1"/>
  <c r="O2399" i="9" s="1"/>
  <c r="P2399" i="9" s="1"/>
  <c r="S2398" i="9"/>
  <c r="R2398" i="9"/>
  <c r="N2400" i="9" l="1"/>
  <c r="O2400" i="9" s="1"/>
  <c r="P2400" i="9" s="1"/>
  <c r="R2399" i="9"/>
  <c r="S2399" i="9"/>
  <c r="N2401" i="9" l="1"/>
  <c r="O2401" i="9" s="1"/>
  <c r="P2401" i="9" s="1"/>
  <c r="S2400" i="9"/>
  <c r="R2400" i="9"/>
  <c r="N2402" i="9" l="1"/>
  <c r="O2402" i="9" s="1"/>
  <c r="P2402" i="9" s="1"/>
  <c r="S2401" i="9"/>
  <c r="R2401" i="9"/>
  <c r="N2403" i="9" l="1"/>
  <c r="O2403" i="9" s="1"/>
  <c r="P2403" i="9" s="1"/>
  <c r="S2402" i="9"/>
  <c r="R2402" i="9"/>
  <c r="N2404" i="9" l="1"/>
  <c r="O2404" i="9" s="1"/>
  <c r="P2404" i="9" s="1"/>
  <c r="R2403" i="9"/>
  <c r="S2403" i="9"/>
  <c r="N2405" i="9" l="1"/>
  <c r="O2405" i="9" s="1"/>
  <c r="P2405" i="9" s="1"/>
  <c r="S2404" i="9"/>
  <c r="R2404" i="9"/>
  <c r="N2406" i="9" l="1"/>
  <c r="O2406" i="9" s="1"/>
  <c r="P2406" i="9" s="1"/>
  <c r="S2405" i="9"/>
  <c r="R2405" i="9"/>
  <c r="N2407" i="9" l="1"/>
  <c r="O2407" i="9" s="1"/>
  <c r="P2407" i="9" s="1"/>
  <c r="S2406" i="9"/>
  <c r="R2406" i="9"/>
  <c r="N2408" i="9" l="1"/>
  <c r="O2408" i="9" s="1"/>
  <c r="P2408" i="9" s="1"/>
  <c r="R2407" i="9"/>
  <c r="S2407" i="9"/>
  <c r="N2409" i="9" l="1"/>
  <c r="O2409" i="9" s="1"/>
  <c r="P2409" i="9" s="1"/>
  <c r="S2408" i="9"/>
  <c r="R2408" i="9"/>
  <c r="N2410" i="9" l="1"/>
  <c r="O2410" i="9" s="1"/>
  <c r="P2410" i="9" s="1"/>
  <c r="S2409" i="9"/>
  <c r="R2409" i="9"/>
  <c r="N2411" i="9" l="1"/>
  <c r="O2411" i="9" s="1"/>
  <c r="P2411" i="9" s="1"/>
  <c r="S2410" i="9"/>
  <c r="R2410" i="9"/>
  <c r="N2412" i="9" l="1"/>
  <c r="O2412" i="9" s="1"/>
  <c r="P2412" i="9" s="1"/>
  <c r="R2411" i="9"/>
  <c r="S2411" i="9"/>
  <c r="N2413" i="9" l="1"/>
  <c r="O2413" i="9" s="1"/>
  <c r="P2413" i="9" s="1"/>
  <c r="S2412" i="9"/>
  <c r="R2412" i="9"/>
  <c r="N2414" i="9" l="1"/>
  <c r="O2414" i="9" s="1"/>
  <c r="P2414" i="9" s="1"/>
  <c r="S2413" i="9"/>
  <c r="R2413" i="9"/>
  <c r="N2415" i="9" l="1"/>
  <c r="O2415" i="9" s="1"/>
  <c r="P2415" i="9" s="1"/>
  <c r="S2414" i="9"/>
  <c r="R2414" i="9"/>
  <c r="R2415" i="9" l="1"/>
  <c r="N2416" i="9"/>
  <c r="O2416" i="9" s="1"/>
  <c r="P2416" i="9" s="1"/>
  <c r="S2415" i="9"/>
  <c r="N2417" i="9" l="1"/>
  <c r="O2417" i="9" s="1"/>
  <c r="P2417" i="9" s="1"/>
  <c r="S2416" i="9"/>
  <c r="R2416" i="9"/>
  <c r="N2418" i="9" l="1"/>
  <c r="O2418" i="9" s="1"/>
  <c r="P2418" i="9" s="1"/>
  <c r="S2417" i="9"/>
  <c r="R2417" i="9"/>
  <c r="N2419" i="9" l="1"/>
  <c r="O2419" i="9" s="1"/>
  <c r="P2419" i="9" s="1"/>
  <c r="S2418" i="9"/>
  <c r="R2418" i="9"/>
  <c r="N2420" i="9" l="1"/>
  <c r="O2420" i="9" s="1"/>
  <c r="P2420" i="9" s="1"/>
  <c r="R2419" i="9"/>
  <c r="S2419" i="9"/>
  <c r="N2421" i="9" l="1"/>
  <c r="O2421" i="9" s="1"/>
  <c r="P2421" i="9" s="1"/>
  <c r="S2420" i="9"/>
  <c r="R2420" i="9"/>
  <c r="N2422" i="9" l="1"/>
  <c r="O2422" i="9" s="1"/>
  <c r="P2422" i="9" s="1"/>
  <c r="S2421" i="9"/>
  <c r="R2421" i="9"/>
  <c r="N2423" i="9" l="1"/>
  <c r="O2423" i="9" s="1"/>
  <c r="P2423" i="9" s="1"/>
  <c r="S2422" i="9"/>
  <c r="R2422" i="9"/>
  <c r="N2424" i="9" l="1"/>
  <c r="O2424" i="9" s="1"/>
  <c r="P2424" i="9" s="1"/>
  <c r="R2423" i="9"/>
  <c r="S2423" i="9"/>
  <c r="N2425" i="9" l="1"/>
  <c r="O2425" i="9" s="1"/>
  <c r="P2425" i="9" s="1"/>
  <c r="S2424" i="9"/>
  <c r="R2424" i="9"/>
  <c r="N2426" i="9" l="1"/>
  <c r="O2426" i="9" s="1"/>
  <c r="P2426" i="9" s="1"/>
  <c r="S2425" i="9"/>
  <c r="R2425" i="9"/>
  <c r="N2427" i="9" l="1"/>
  <c r="O2427" i="9" s="1"/>
  <c r="P2427" i="9" s="1"/>
  <c r="S2426" i="9"/>
  <c r="R2426" i="9"/>
  <c r="R2427" i="9" l="1"/>
  <c r="S2427" i="9"/>
  <c r="N2428" i="9"/>
  <c r="O2428" i="9" s="1"/>
  <c r="P2428" i="9" s="1"/>
  <c r="N2429" i="9" l="1"/>
  <c r="O2429" i="9" s="1"/>
  <c r="P2429" i="9" s="1"/>
  <c r="S2428" i="9"/>
  <c r="R2428" i="9"/>
  <c r="N2430" i="9" l="1"/>
  <c r="O2430" i="9" s="1"/>
  <c r="P2430" i="9" s="1"/>
  <c r="S2429" i="9"/>
  <c r="R2429" i="9"/>
  <c r="N2431" i="9" l="1"/>
  <c r="O2431" i="9" s="1"/>
  <c r="P2431" i="9" s="1"/>
  <c r="S2430" i="9"/>
  <c r="R2430" i="9"/>
  <c r="N2432" i="9" l="1"/>
  <c r="O2432" i="9" s="1"/>
  <c r="P2432" i="9" s="1"/>
  <c r="R2431" i="9"/>
  <c r="S2431" i="9"/>
  <c r="N2433" i="9" l="1"/>
  <c r="O2433" i="9" s="1"/>
  <c r="P2433" i="9" s="1"/>
  <c r="S2432" i="9"/>
  <c r="R2432" i="9"/>
  <c r="N2434" i="9" l="1"/>
  <c r="O2434" i="9" s="1"/>
  <c r="P2434" i="9" s="1"/>
  <c r="S2433" i="9"/>
  <c r="R2433" i="9"/>
  <c r="N2435" i="9" l="1"/>
  <c r="O2435" i="9" s="1"/>
  <c r="P2435" i="9" s="1"/>
  <c r="S2434" i="9"/>
  <c r="R2434" i="9"/>
  <c r="N2436" i="9" l="1"/>
  <c r="O2436" i="9" s="1"/>
  <c r="P2436" i="9" s="1"/>
  <c r="R2435" i="9"/>
  <c r="S2435" i="9"/>
  <c r="N2437" i="9" l="1"/>
  <c r="O2437" i="9" s="1"/>
  <c r="P2437" i="9" s="1"/>
  <c r="S2436" i="9"/>
  <c r="R2436" i="9"/>
  <c r="N2438" i="9" l="1"/>
  <c r="O2438" i="9" s="1"/>
  <c r="P2438" i="9" s="1"/>
  <c r="S2437" i="9"/>
  <c r="R2437" i="9"/>
  <c r="N2439" i="9" l="1"/>
  <c r="O2439" i="9" s="1"/>
  <c r="P2439" i="9" s="1"/>
  <c r="S2438" i="9"/>
  <c r="R2438" i="9"/>
  <c r="N2440" i="9" l="1"/>
  <c r="O2440" i="9" s="1"/>
  <c r="P2440" i="9" s="1"/>
  <c r="R2439" i="9"/>
  <c r="S2439" i="9"/>
  <c r="N2441" i="9" l="1"/>
  <c r="O2441" i="9" s="1"/>
  <c r="P2441" i="9" s="1"/>
  <c r="S2440" i="9"/>
  <c r="R2440" i="9"/>
  <c r="N2442" i="9" l="1"/>
  <c r="O2442" i="9" s="1"/>
  <c r="P2442" i="9" s="1"/>
  <c r="S2441" i="9"/>
  <c r="R2441" i="9"/>
  <c r="N2443" i="9" l="1"/>
  <c r="O2443" i="9" s="1"/>
  <c r="P2443" i="9" s="1"/>
  <c r="S2442" i="9"/>
  <c r="R2442" i="9"/>
  <c r="N2444" i="9" l="1"/>
  <c r="O2444" i="9" s="1"/>
  <c r="P2444" i="9" s="1"/>
  <c r="R2443" i="9"/>
  <c r="S2443" i="9"/>
  <c r="N2445" i="9" l="1"/>
  <c r="O2445" i="9" s="1"/>
  <c r="P2445" i="9" s="1"/>
  <c r="S2444" i="9"/>
  <c r="R2444" i="9"/>
  <c r="N2446" i="9" l="1"/>
  <c r="O2446" i="9" s="1"/>
  <c r="P2446" i="9" s="1"/>
  <c r="S2445" i="9"/>
  <c r="R2445" i="9"/>
  <c r="N2447" i="9" l="1"/>
  <c r="O2447" i="9" s="1"/>
  <c r="P2447" i="9" s="1"/>
  <c r="S2446" i="9"/>
  <c r="R2446" i="9"/>
  <c r="R2447" i="9" l="1"/>
  <c r="N2448" i="9"/>
  <c r="O2448" i="9" s="1"/>
  <c r="P2448" i="9" s="1"/>
  <c r="S2447" i="9"/>
  <c r="N2449" i="9" l="1"/>
  <c r="O2449" i="9" s="1"/>
  <c r="P2449" i="9" s="1"/>
  <c r="S2448" i="9"/>
  <c r="R2448" i="9"/>
  <c r="N2450" i="9" l="1"/>
  <c r="O2450" i="9" s="1"/>
  <c r="P2450" i="9" s="1"/>
  <c r="S2449" i="9"/>
  <c r="R2449" i="9"/>
  <c r="N2451" i="9" l="1"/>
  <c r="O2451" i="9" s="1"/>
  <c r="P2451" i="9" s="1"/>
  <c r="S2450" i="9"/>
  <c r="R2450" i="9"/>
  <c r="N2452" i="9" l="1"/>
  <c r="O2452" i="9" s="1"/>
  <c r="P2452" i="9" s="1"/>
  <c r="R2451" i="9"/>
  <c r="S2451" i="9"/>
  <c r="N2453" i="9" l="1"/>
  <c r="O2453" i="9" s="1"/>
  <c r="P2453" i="9" s="1"/>
  <c r="S2452" i="9"/>
  <c r="R2452" i="9"/>
  <c r="N2454" i="9" l="1"/>
  <c r="O2454" i="9" s="1"/>
  <c r="P2454" i="9" s="1"/>
  <c r="S2453" i="9"/>
  <c r="R2453" i="9"/>
  <c r="N2455" i="9" l="1"/>
  <c r="O2455" i="9" s="1"/>
  <c r="P2455" i="9" s="1"/>
  <c r="S2454" i="9"/>
  <c r="R2454" i="9"/>
  <c r="N2456" i="9" l="1"/>
  <c r="O2456" i="9" s="1"/>
  <c r="P2456" i="9" s="1"/>
  <c r="R2455" i="9"/>
  <c r="S2455" i="9"/>
  <c r="N2457" i="9" l="1"/>
  <c r="O2457" i="9" s="1"/>
  <c r="P2457" i="9" s="1"/>
  <c r="S2456" i="9"/>
  <c r="R2456" i="9"/>
  <c r="N2458" i="9" l="1"/>
  <c r="O2458" i="9" s="1"/>
  <c r="P2458" i="9" s="1"/>
  <c r="S2457" i="9"/>
  <c r="R2457" i="9"/>
  <c r="N2459" i="9" l="1"/>
  <c r="O2459" i="9" s="1"/>
  <c r="P2459" i="9" s="1"/>
  <c r="S2458" i="9"/>
  <c r="R2458" i="9"/>
  <c r="R2459" i="9" l="1"/>
  <c r="S2459" i="9"/>
  <c r="N2460" i="9"/>
  <c r="O2460" i="9" s="1"/>
  <c r="P2460" i="9" s="1"/>
  <c r="N2461" i="9" l="1"/>
  <c r="O2461" i="9" s="1"/>
  <c r="P2461" i="9" s="1"/>
  <c r="S2460" i="9"/>
  <c r="R2460" i="9"/>
  <c r="N2462" i="9" l="1"/>
  <c r="O2462" i="9" s="1"/>
  <c r="P2462" i="9" s="1"/>
  <c r="S2461" i="9"/>
  <c r="R2461" i="9"/>
  <c r="N2463" i="9" l="1"/>
  <c r="O2463" i="9" s="1"/>
  <c r="P2463" i="9" s="1"/>
  <c r="S2462" i="9"/>
  <c r="R2462" i="9"/>
  <c r="N2464" i="9" l="1"/>
  <c r="O2464" i="9" s="1"/>
  <c r="P2464" i="9" s="1"/>
  <c r="R2463" i="9"/>
  <c r="S2463" i="9"/>
  <c r="N2465" i="9" l="1"/>
  <c r="O2465" i="9" s="1"/>
  <c r="P2465" i="9" s="1"/>
  <c r="S2464" i="9"/>
  <c r="R2464" i="9"/>
  <c r="N2466" i="9" l="1"/>
  <c r="O2466" i="9" s="1"/>
  <c r="P2466" i="9" s="1"/>
  <c r="S2465" i="9"/>
  <c r="R2465" i="9"/>
  <c r="N2467" i="9" l="1"/>
  <c r="O2467" i="9" s="1"/>
  <c r="P2467" i="9" s="1"/>
  <c r="S2466" i="9"/>
  <c r="R2466" i="9"/>
  <c r="N2468" i="9" l="1"/>
  <c r="O2468" i="9" s="1"/>
  <c r="P2468" i="9" s="1"/>
  <c r="R2467" i="9"/>
  <c r="S2467" i="9"/>
  <c r="N2469" i="9" l="1"/>
  <c r="O2469" i="9" s="1"/>
  <c r="P2469" i="9" s="1"/>
  <c r="S2468" i="9"/>
  <c r="R2468" i="9"/>
  <c r="N2470" i="9" l="1"/>
  <c r="O2470" i="9" s="1"/>
  <c r="P2470" i="9" s="1"/>
  <c r="S2469" i="9"/>
  <c r="R2469" i="9"/>
  <c r="N2471" i="9" l="1"/>
  <c r="O2471" i="9" s="1"/>
  <c r="P2471" i="9" s="1"/>
  <c r="S2470" i="9"/>
  <c r="R2470" i="9"/>
  <c r="N2472" i="9" l="1"/>
  <c r="O2472" i="9" s="1"/>
  <c r="P2472" i="9" s="1"/>
  <c r="R2471" i="9"/>
  <c r="S2471" i="9"/>
  <c r="N2473" i="9" l="1"/>
  <c r="O2473" i="9" s="1"/>
  <c r="P2473" i="9" s="1"/>
  <c r="S2472" i="9"/>
  <c r="R2472" i="9"/>
  <c r="N2474" i="9" l="1"/>
  <c r="O2474" i="9" s="1"/>
  <c r="P2474" i="9" s="1"/>
  <c r="S2473" i="9"/>
  <c r="R2473" i="9"/>
  <c r="N2475" i="9" l="1"/>
  <c r="O2475" i="9" s="1"/>
  <c r="P2475" i="9" s="1"/>
  <c r="S2474" i="9"/>
  <c r="R2474" i="9"/>
  <c r="N2476" i="9" l="1"/>
  <c r="O2476" i="9" s="1"/>
  <c r="P2476" i="9" s="1"/>
  <c r="R2475" i="9"/>
  <c r="S2475" i="9"/>
  <c r="N2477" i="9" l="1"/>
  <c r="O2477" i="9" s="1"/>
  <c r="P2477" i="9" s="1"/>
  <c r="S2476" i="9"/>
  <c r="R2476" i="9"/>
  <c r="N2478" i="9" l="1"/>
  <c r="O2478" i="9" s="1"/>
  <c r="P2478" i="9" s="1"/>
  <c r="S2477" i="9"/>
  <c r="R2477" i="9"/>
  <c r="N2479" i="9" l="1"/>
  <c r="O2479" i="9" s="1"/>
  <c r="P2479" i="9" s="1"/>
  <c r="S2478" i="9"/>
  <c r="R2478" i="9"/>
  <c r="R2479" i="9" l="1"/>
  <c r="N2480" i="9"/>
  <c r="O2480" i="9" s="1"/>
  <c r="P2480" i="9" s="1"/>
  <c r="S2479" i="9"/>
  <c r="N2481" i="9" l="1"/>
  <c r="O2481" i="9" s="1"/>
  <c r="P2481" i="9" s="1"/>
  <c r="S2480" i="9"/>
  <c r="R2480" i="9"/>
  <c r="N2482" i="9" l="1"/>
  <c r="O2482" i="9" s="1"/>
  <c r="P2482" i="9" s="1"/>
  <c r="S2481" i="9"/>
  <c r="R2481" i="9"/>
  <c r="N2483" i="9" l="1"/>
  <c r="O2483" i="9" s="1"/>
  <c r="P2483" i="9" s="1"/>
  <c r="S2482" i="9"/>
  <c r="R2482" i="9"/>
  <c r="N2484" i="9" l="1"/>
  <c r="O2484" i="9" s="1"/>
  <c r="P2484" i="9" s="1"/>
  <c r="R2483" i="9"/>
  <c r="S2483" i="9"/>
  <c r="N2485" i="9" l="1"/>
  <c r="O2485" i="9" s="1"/>
  <c r="P2485" i="9" s="1"/>
  <c r="S2484" i="9"/>
  <c r="R2484" i="9"/>
  <c r="N2486" i="9" l="1"/>
  <c r="O2486" i="9" s="1"/>
  <c r="P2486" i="9" s="1"/>
  <c r="S2485" i="9"/>
  <c r="R2485" i="9"/>
  <c r="N2487" i="9" l="1"/>
  <c r="O2487" i="9" s="1"/>
  <c r="P2487" i="9" s="1"/>
  <c r="S2486" i="9"/>
  <c r="R2486" i="9"/>
  <c r="N2488" i="9" l="1"/>
  <c r="O2488" i="9" s="1"/>
  <c r="P2488" i="9" s="1"/>
  <c r="R2487" i="9"/>
  <c r="S2487" i="9"/>
  <c r="N2489" i="9" l="1"/>
  <c r="O2489" i="9" s="1"/>
  <c r="P2489" i="9" s="1"/>
  <c r="S2488" i="9"/>
  <c r="R2488" i="9"/>
  <c r="N2490" i="9" l="1"/>
  <c r="O2490" i="9" s="1"/>
  <c r="P2490" i="9" s="1"/>
  <c r="S2489" i="9"/>
  <c r="R2489" i="9"/>
  <c r="N2491" i="9" l="1"/>
  <c r="O2491" i="9" s="1"/>
  <c r="P2491" i="9" s="1"/>
  <c r="S2490" i="9"/>
  <c r="R2490" i="9"/>
  <c r="R2491" i="9" l="1"/>
  <c r="S2491" i="9"/>
  <c r="N2492" i="9"/>
  <c r="O2492" i="9" s="1"/>
  <c r="P2492" i="9" s="1"/>
  <c r="N2493" i="9" l="1"/>
  <c r="O2493" i="9" s="1"/>
  <c r="P2493" i="9" s="1"/>
  <c r="S2492" i="9"/>
  <c r="R2492" i="9"/>
  <c r="N2494" i="9" l="1"/>
  <c r="O2494" i="9" s="1"/>
  <c r="P2494" i="9" s="1"/>
  <c r="S2493" i="9"/>
  <c r="R2493" i="9"/>
  <c r="N2495" i="9" l="1"/>
  <c r="O2495" i="9" s="1"/>
  <c r="P2495" i="9" s="1"/>
  <c r="S2494" i="9"/>
  <c r="R2494" i="9"/>
  <c r="N2496" i="9" l="1"/>
  <c r="O2496" i="9" s="1"/>
  <c r="P2496" i="9" s="1"/>
  <c r="R2495" i="9"/>
  <c r="S2495" i="9"/>
  <c r="N2497" i="9" l="1"/>
  <c r="O2497" i="9" s="1"/>
  <c r="P2497" i="9" s="1"/>
  <c r="S2496" i="9"/>
  <c r="R2496" i="9"/>
  <c r="N2498" i="9" l="1"/>
  <c r="O2498" i="9" s="1"/>
  <c r="P2498" i="9" s="1"/>
  <c r="S2497" i="9"/>
  <c r="R2497" i="9"/>
  <c r="N2499" i="9" l="1"/>
  <c r="O2499" i="9" s="1"/>
  <c r="P2499" i="9" s="1"/>
  <c r="S2498" i="9"/>
  <c r="R2498" i="9"/>
  <c r="N2500" i="9" l="1"/>
  <c r="O2500" i="9" s="1"/>
  <c r="P2500" i="9" s="1"/>
  <c r="R2499" i="9"/>
  <c r="S2499" i="9"/>
  <c r="N2501" i="9" l="1"/>
  <c r="O2501" i="9" s="1"/>
  <c r="P2501" i="9" s="1"/>
  <c r="S2500" i="9"/>
  <c r="R2500" i="9"/>
  <c r="N2502" i="9" l="1"/>
  <c r="O2502" i="9" s="1"/>
  <c r="P2502" i="9" s="1"/>
  <c r="S2501" i="9"/>
  <c r="R2501" i="9"/>
  <c r="N2503" i="9" l="1"/>
  <c r="O2503" i="9" s="1"/>
  <c r="P2503" i="9" s="1"/>
  <c r="S2502" i="9"/>
  <c r="R2502" i="9"/>
  <c r="N2504" i="9" l="1"/>
  <c r="O2504" i="9" s="1"/>
  <c r="P2504" i="9" s="1"/>
  <c r="R2503" i="9"/>
  <c r="S2503" i="9"/>
  <c r="N2505" i="9" l="1"/>
  <c r="O2505" i="9" s="1"/>
  <c r="P2505" i="9" s="1"/>
  <c r="S2504" i="9"/>
  <c r="R2504" i="9"/>
  <c r="N2506" i="9" l="1"/>
  <c r="O2506" i="9" s="1"/>
  <c r="P2506" i="9" s="1"/>
  <c r="S2505" i="9"/>
  <c r="R2505" i="9"/>
  <c r="N2507" i="9" l="1"/>
  <c r="O2507" i="9" s="1"/>
  <c r="P2507" i="9" s="1"/>
  <c r="S2506" i="9"/>
  <c r="R2506" i="9"/>
  <c r="N2508" i="9" l="1"/>
  <c r="O2508" i="9" s="1"/>
  <c r="P2508" i="9" s="1"/>
  <c r="R2507" i="9"/>
  <c r="S2507" i="9"/>
  <c r="N2509" i="9" l="1"/>
  <c r="O2509" i="9" s="1"/>
  <c r="P2509" i="9" s="1"/>
  <c r="S2508" i="9"/>
  <c r="R2508" i="9"/>
  <c r="N2510" i="9" l="1"/>
  <c r="O2510" i="9" s="1"/>
  <c r="P2510" i="9" s="1"/>
  <c r="S2509" i="9"/>
  <c r="R2509" i="9"/>
  <c r="N2511" i="9" l="1"/>
  <c r="O2511" i="9" s="1"/>
  <c r="P2511" i="9" s="1"/>
  <c r="S2510" i="9"/>
  <c r="R2510" i="9"/>
  <c r="R2511" i="9" l="1"/>
  <c r="N2512" i="9"/>
  <c r="O2512" i="9" s="1"/>
  <c r="P2512" i="9" s="1"/>
  <c r="S2511" i="9"/>
  <c r="N2513" i="9" l="1"/>
  <c r="O2513" i="9" s="1"/>
  <c r="P2513" i="9" s="1"/>
  <c r="S2512" i="9"/>
  <c r="R2512" i="9"/>
  <c r="N2514" i="9" l="1"/>
  <c r="O2514" i="9" s="1"/>
  <c r="P2514" i="9" s="1"/>
  <c r="S2513" i="9"/>
  <c r="R2513" i="9"/>
  <c r="N2515" i="9" l="1"/>
  <c r="O2515" i="9" s="1"/>
  <c r="P2515" i="9" s="1"/>
  <c r="S2514" i="9"/>
  <c r="R2514" i="9"/>
  <c r="N2516" i="9" l="1"/>
  <c r="O2516" i="9" s="1"/>
  <c r="P2516" i="9" s="1"/>
  <c r="R2515" i="9"/>
  <c r="S2515" i="9"/>
  <c r="N2517" i="9" l="1"/>
  <c r="O2517" i="9" s="1"/>
  <c r="P2517" i="9" s="1"/>
  <c r="S2516" i="9"/>
  <c r="R2516" i="9"/>
  <c r="N2518" i="9" l="1"/>
  <c r="O2518" i="9" s="1"/>
  <c r="P2518" i="9" s="1"/>
  <c r="S2517" i="9"/>
  <c r="R2517" i="9"/>
  <c r="N2519" i="9" l="1"/>
  <c r="O2519" i="9" s="1"/>
  <c r="P2519" i="9" s="1"/>
  <c r="S2518" i="9"/>
  <c r="R2518" i="9"/>
  <c r="N2520" i="9" l="1"/>
  <c r="O2520" i="9" s="1"/>
  <c r="P2520" i="9" s="1"/>
  <c r="R2519" i="9"/>
  <c r="S2519" i="9"/>
  <c r="N2521" i="9" l="1"/>
  <c r="O2521" i="9" s="1"/>
  <c r="P2521" i="9" s="1"/>
  <c r="S2520" i="9"/>
  <c r="R2520" i="9"/>
  <c r="N2522" i="9" l="1"/>
  <c r="O2522" i="9" s="1"/>
  <c r="P2522" i="9" s="1"/>
  <c r="S2521" i="9"/>
  <c r="R2521" i="9"/>
  <c r="N2523" i="9" l="1"/>
  <c r="O2523" i="9" s="1"/>
  <c r="P2523" i="9" s="1"/>
  <c r="S2522" i="9"/>
  <c r="R2522" i="9"/>
  <c r="R2523" i="9" l="1"/>
  <c r="S2523" i="9"/>
  <c r="N2524" i="9"/>
  <c r="O2524" i="9" s="1"/>
  <c r="P2524" i="9" s="1"/>
  <c r="N2525" i="9" l="1"/>
  <c r="O2525" i="9" s="1"/>
  <c r="P2525" i="9" s="1"/>
  <c r="S2524" i="9"/>
  <c r="R2524" i="9"/>
  <c r="N2526" i="9" l="1"/>
  <c r="O2526" i="9" s="1"/>
  <c r="P2526" i="9" s="1"/>
  <c r="S2525" i="9"/>
  <c r="R2525" i="9"/>
  <c r="N2527" i="9" l="1"/>
  <c r="O2527" i="9" s="1"/>
  <c r="P2527" i="9" s="1"/>
  <c r="S2526" i="9"/>
  <c r="R2526" i="9"/>
  <c r="N2528" i="9" l="1"/>
  <c r="O2528" i="9" s="1"/>
  <c r="P2528" i="9" s="1"/>
  <c r="R2527" i="9"/>
  <c r="S2527" i="9"/>
  <c r="N2529" i="9" l="1"/>
  <c r="O2529" i="9" s="1"/>
  <c r="P2529" i="9" s="1"/>
  <c r="S2528" i="9"/>
  <c r="R2528" i="9"/>
  <c r="N2530" i="9" l="1"/>
  <c r="O2530" i="9" s="1"/>
  <c r="P2530" i="9" s="1"/>
  <c r="S2529" i="9"/>
  <c r="R2529" i="9"/>
  <c r="N2531" i="9" l="1"/>
  <c r="O2531" i="9" s="1"/>
  <c r="P2531" i="9" s="1"/>
  <c r="S2530" i="9"/>
  <c r="R2530" i="9"/>
  <c r="N2532" i="9" l="1"/>
  <c r="O2532" i="9" s="1"/>
  <c r="P2532" i="9" s="1"/>
  <c r="R2531" i="9"/>
  <c r="S2531" i="9"/>
  <c r="N2533" i="9" l="1"/>
  <c r="O2533" i="9" s="1"/>
  <c r="P2533" i="9" s="1"/>
  <c r="S2532" i="9"/>
  <c r="R2532" i="9"/>
  <c r="N2534" i="9" l="1"/>
  <c r="O2534" i="9" s="1"/>
  <c r="P2534" i="9" s="1"/>
  <c r="S2533" i="9"/>
  <c r="R2533" i="9"/>
  <c r="N2535" i="9" l="1"/>
  <c r="O2535" i="9" s="1"/>
  <c r="P2535" i="9" s="1"/>
  <c r="S2534" i="9"/>
  <c r="R2534" i="9"/>
  <c r="N2536" i="9" l="1"/>
  <c r="O2536" i="9" s="1"/>
  <c r="P2536" i="9" s="1"/>
  <c r="R2535" i="9"/>
  <c r="S2535" i="9"/>
  <c r="S2536" i="9" l="1"/>
  <c r="N2537" i="9"/>
  <c r="O2537" i="9" s="1"/>
  <c r="P2537" i="9" s="1"/>
  <c r="R2536" i="9"/>
  <c r="N2538" i="9" l="1"/>
  <c r="O2538" i="9" s="1"/>
  <c r="P2538" i="9" s="1"/>
  <c r="S2537" i="9"/>
  <c r="R2537" i="9"/>
  <c r="N2539" i="9" l="1"/>
  <c r="O2539" i="9" s="1"/>
  <c r="P2539" i="9" s="1"/>
  <c r="S2538" i="9"/>
  <c r="R2538" i="9"/>
  <c r="N2540" i="9" l="1"/>
  <c r="O2540" i="9" s="1"/>
  <c r="P2540" i="9" s="1"/>
  <c r="R2539" i="9"/>
  <c r="S2539" i="9"/>
  <c r="N2541" i="9" l="1"/>
  <c r="O2541" i="9" s="1"/>
  <c r="P2541" i="9" s="1"/>
  <c r="S2540" i="9"/>
  <c r="R2540" i="9"/>
  <c r="N2542" i="9" l="1"/>
  <c r="O2542" i="9" s="1"/>
  <c r="P2542" i="9" s="1"/>
  <c r="S2541" i="9"/>
  <c r="R2541" i="9"/>
  <c r="N2543" i="9" l="1"/>
  <c r="O2543" i="9" s="1"/>
  <c r="P2543" i="9" s="1"/>
  <c r="S2542" i="9"/>
  <c r="R2542" i="9"/>
  <c r="N2544" i="9" l="1"/>
  <c r="O2544" i="9" s="1"/>
  <c r="P2544" i="9" s="1"/>
  <c r="R2543" i="9"/>
  <c r="S2543" i="9"/>
  <c r="N2545" i="9" l="1"/>
  <c r="O2545" i="9" s="1"/>
  <c r="P2545" i="9" s="1"/>
  <c r="S2544" i="9"/>
  <c r="R2544" i="9"/>
  <c r="N2546" i="9" l="1"/>
  <c r="O2546" i="9" s="1"/>
  <c r="P2546" i="9" s="1"/>
  <c r="S2545" i="9"/>
  <c r="R2545" i="9"/>
  <c r="N2547" i="9" l="1"/>
  <c r="O2547" i="9" s="1"/>
  <c r="P2547" i="9" s="1"/>
  <c r="S2546" i="9"/>
  <c r="R2546" i="9"/>
  <c r="N2548" i="9" l="1"/>
  <c r="O2548" i="9" s="1"/>
  <c r="P2548" i="9" s="1"/>
  <c r="R2547" i="9"/>
  <c r="S2547" i="9"/>
  <c r="N2549" i="9" l="1"/>
  <c r="O2549" i="9" s="1"/>
  <c r="P2549" i="9" s="1"/>
  <c r="S2548" i="9"/>
  <c r="R2548" i="9"/>
  <c r="N2550" i="9" l="1"/>
  <c r="O2550" i="9" s="1"/>
  <c r="P2550" i="9" s="1"/>
  <c r="S2549" i="9"/>
  <c r="R2549" i="9"/>
  <c r="S2550" i="9" l="1"/>
  <c r="N2551" i="9"/>
  <c r="O2551" i="9" s="1"/>
  <c r="P2551" i="9" s="1"/>
  <c r="R2550" i="9"/>
  <c r="N2552" i="9" l="1"/>
  <c r="O2552" i="9" s="1"/>
  <c r="P2552" i="9" s="1"/>
  <c r="R2551" i="9"/>
  <c r="S2551" i="9"/>
  <c r="N2553" i="9" l="1"/>
  <c r="O2553" i="9" s="1"/>
  <c r="P2553" i="9" s="1"/>
  <c r="S2552" i="9"/>
  <c r="R2552" i="9"/>
  <c r="N2554" i="9" l="1"/>
  <c r="O2554" i="9" s="1"/>
  <c r="P2554" i="9" s="1"/>
  <c r="S2553" i="9"/>
  <c r="R2553" i="9"/>
  <c r="N2555" i="9" l="1"/>
  <c r="O2555" i="9" s="1"/>
  <c r="P2555" i="9" s="1"/>
  <c r="S2554" i="9"/>
  <c r="R2554" i="9"/>
  <c r="N2556" i="9" l="1"/>
  <c r="O2556" i="9" s="1"/>
  <c r="P2556" i="9" s="1"/>
  <c r="R2555" i="9"/>
  <c r="S2555" i="9"/>
  <c r="N2557" i="9" l="1"/>
  <c r="O2557" i="9" s="1"/>
  <c r="P2557" i="9" s="1"/>
  <c r="S2556" i="9"/>
  <c r="R2556" i="9"/>
  <c r="N2558" i="9" l="1"/>
  <c r="O2558" i="9" s="1"/>
  <c r="P2558" i="9" s="1"/>
  <c r="S2557" i="9"/>
  <c r="R2557" i="9"/>
  <c r="N2559" i="9" l="1"/>
  <c r="O2559" i="9" s="1"/>
  <c r="P2559" i="9" s="1"/>
  <c r="S2558" i="9"/>
  <c r="R2558" i="9"/>
  <c r="N2560" i="9" l="1"/>
  <c r="O2560" i="9" s="1"/>
  <c r="P2560" i="9" s="1"/>
  <c r="R2559" i="9"/>
  <c r="S2559" i="9"/>
  <c r="S2560" i="9" l="1"/>
  <c r="N2561" i="9"/>
  <c r="O2561" i="9" s="1"/>
  <c r="P2561" i="9" s="1"/>
  <c r="R2560" i="9"/>
  <c r="N2562" i="9" l="1"/>
  <c r="O2562" i="9" s="1"/>
  <c r="P2562" i="9" s="1"/>
  <c r="S2561" i="9"/>
  <c r="R2561" i="9"/>
  <c r="N2563" i="9" l="1"/>
  <c r="O2563" i="9" s="1"/>
  <c r="P2563" i="9" s="1"/>
  <c r="S2562" i="9"/>
  <c r="R2562" i="9"/>
  <c r="N2564" i="9" l="1"/>
  <c r="O2564" i="9" s="1"/>
  <c r="P2564" i="9" s="1"/>
  <c r="R2563" i="9"/>
  <c r="S2563" i="9"/>
  <c r="N2565" i="9" l="1"/>
  <c r="O2565" i="9" s="1"/>
  <c r="P2565" i="9" s="1"/>
  <c r="S2564" i="9"/>
  <c r="R2564" i="9"/>
  <c r="N2566" i="9" l="1"/>
  <c r="O2566" i="9" s="1"/>
  <c r="P2566" i="9" s="1"/>
  <c r="S2565" i="9"/>
  <c r="R2565" i="9"/>
  <c r="N2567" i="9" l="1"/>
  <c r="O2567" i="9" s="1"/>
  <c r="P2567" i="9" s="1"/>
  <c r="S2566" i="9"/>
  <c r="R2566" i="9"/>
  <c r="R2567" i="9" l="1"/>
  <c r="N2568" i="9"/>
  <c r="O2568" i="9" s="1"/>
  <c r="P2568" i="9" s="1"/>
  <c r="S2567" i="9"/>
  <c r="S2568" i="9" l="1"/>
  <c r="R2568" i="9"/>
  <c r="N2569" i="9"/>
  <c r="O2569" i="9" s="1"/>
  <c r="P2569" i="9" s="1"/>
  <c r="N2570" i="9" l="1"/>
  <c r="O2570" i="9" s="1"/>
  <c r="P2570" i="9" s="1"/>
  <c r="S2569" i="9"/>
  <c r="R2569" i="9"/>
  <c r="N2571" i="9" l="1"/>
  <c r="O2571" i="9" s="1"/>
  <c r="P2571" i="9" s="1"/>
  <c r="S2570" i="9"/>
  <c r="R2570" i="9"/>
  <c r="N2572" i="9" l="1"/>
  <c r="O2572" i="9" s="1"/>
  <c r="P2572" i="9" s="1"/>
  <c r="R2571" i="9"/>
  <c r="S2571" i="9"/>
  <c r="N2573" i="9" l="1"/>
  <c r="O2573" i="9" s="1"/>
  <c r="P2573" i="9" s="1"/>
  <c r="S2572" i="9"/>
  <c r="R2572" i="9"/>
  <c r="N2574" i="9" l="1"/>
  <c r="O2574" i="9" s="1"/>
  <c r="P2574" i="9" s="1"/>
  <c r="S2573" i="9"/>
  <c r="R2573" i="9"/>
  <c r="S2574" i="9" l="1"/>
  <c r="N2575" i="9"/>
  <c r="O2575" i="9" s="1"/>
  <c r="P2575" i="9" s="1"/>
  <c r="R2574" i="9"/>
  <c r="R2575" i="9" l="1"/>
  <c r="S2575" i="9"/>
  <c r="N2576" i="9"/>
  <c r="O2576" i="9" s="1"/>
  <c r="P2576" i="9" s="1"/>
  <c r="N2577" i="9" l="1"/>
  <c r="O2577" i="9" s="1"/>
  <c r="P2577" i="9" s="1"/>
  <c r="S2576" i="9"/>
  <c r="R2576" i="9"/>
  <c r="N2578" i="9" l="1"/>
  <c r="O2578" i="9" s="1"/>
  <c r="P2578" i="9" s="1"/>
  <c r="S2577" i="9"/>
  <c r="R2577" i="9"/>
  <c r="N2579" i="9" l="1"/>
  <c r="O2579" i="9" s="1"/>
  <c r="P2579" i="9" s="1"/>
  <c r="S2578" i="9"/>
  <c r="R2578" i="9"/>
  <c r="N2580" i="9" l="1"/>
  <c r="O2580" i="9" s="1"/>
  <c r="P2580" i="9" s="1"/>
  <c r="R2579" i="9"/>
  <c r="S2579" i="9"/>
  <c r="N2581" i="9" l="1"/>
  <c r="O2581" i="9" s="1"/>
  <c r="P2581" i="9" s="1"/>
  <c r="S2580" i="9"/>
  <c r="R2580" i="9"/>
  <c r="N2582" i="9" l="1"/>
  <c r="O2582" i="9" s="1"/>
  <c r="P2582" i="9" s="1"/>
  <c r="S2581" i="9"/>
  <c r="R2581" i="9"/>
  <c r="S2582" i="9" l="1"/>
  <c r="R2582" i="9"/>
  <c r="N2583" i="9"/>
  <c r="O2583" i="9" s="1"/>
  <c r="P2583" i="9" s="1"/>
  <c r="N2584" i="9" l="1"/>
  <c r="O2584" i="9" s="1"/>
  <c r="P2584" i="9" s="1"/>
  <c r="R2583" i="9"/>
  <c r="S2583" i="9"/>
  <c r="N2585" i="9" l="1"/>
  <c r="O2585" i="9" s="1"/>
  <c r="P2585" i="9" s="1"/>
  <c r="S2584" i="9"/>
  <c r="R2584" i="9"/>
  <c r="N2586" i="9" l="1"/>
  <c r="O2586" i="9" s="1"/>
  <c r="P2586" i="9" s="1"/>
  <c r="S2585" i="9"/>
  <c r="R2585" i="9"/>
  <c r="N2587" i="9" l="1"/>
  <c r="O2587" i="9" s="1"/>
  <c r="P2587" i="9" s="1"/>
  <c r="S2586" i="9"/>
  <c r="R2586" i="9"/>
  <c r="N2588" i="9" l="1"/>
  <c r="O2588" i="9" s="1"/>
  <c r="P2588" i="9" s="1"/>
  <c r="R2587" i="9"/>
  <c r="S2587" i="9"/>
  <c r="N2589" i="9" l="1"/>
  <c r="O2589" i="9" s="1"/>
  <c r="P2589" i="9" s="1"/>
  <c r="S2588" i="9"/>
  <c r="R2588" i="9"/>
  <c r="N2590" i="9" l="1"/>
  <c r="O2590" i="9" s="1"/>
  <c r="P2590" i="9" s="1"/>
  <c r="S2589" i="9"/>
  <c r="R2589" i="9"/>
  <c r="N2591" i="9" l="1"/>
  <c r="O2591" i="9" s="1"/>
  <c r="P2591" i="9" s="1"/>
  <c r="S2590" i="9"/>
  <c r="R2590" i="9"/>
  <c r="N2592" i="9" l="1"/>
  <c r="O2592" i="9" s="1"/>
  <c r="P2592" i="9" s="1"/>
  <c r="R2591" i="9"/>
  <c r="S2591" i="9"/>
  <c r="N2593" i="9" l="1"/>
  <c r="O2593" i="9" s="1"/>
  <c r="P2593" i="9" s="1"/>
  <c r="S2592" i="9"/>
  <c r="R2592" i="9"/>
  <c r="N2594" i="9" l="1"/>
  <c r="O2594" i="9" s="1"/>
  <c r="P2594" i="9" s="1"/>
  <c r="S2593" i="9"/>
  <c r="R2593" i="9"/>
  <c r="N2595" i="9" l="1"/>
  <c r="O2595" i="9" s="1"/>
  <c r="P2595" i="9" s="1"/>
  <c r="R2594" i="9"/>
  <c r="S2594" i="9"/>
  <c r="N2596" i="9" l="1"/>
  <c r="O2596" i="9" s="1"/>
  <c r="P2596" i="9" s="1"/>
  <c r="R2595" i="9"/>
  <c r="S2595" i="9"/>
  <c r="N2597" i="9" l="1"/>
  <c r="O2597" i="9" s="1"/>
  <c r="P2597" i="9" s="1"/>
  <c r="R2596" i="9"/>
  <c r="S2596" i="9"/>
  <c r="N2598" i="9" l="1"/>
  <c r="O2598" i="9" s="1"/>
  <c r="P2598" i="9" s="1"/>
  <c r="R2597" i="9"/>
  <c r="S2597" i="9"/>
  <c r="N2599" i="9" l="1"/>
  <c r="O2599" i="9" s="1"/>
  <c r="P2599" i="9" s="1"/>
  <c r="R2598" i="9"/>
  <c r="S2598" i="9"/>
  <c r="N2600" i="9" l="1"/>
  <c r="O2600" i="9" s="1"/>
  <c r="P2600" i="9" s="1"/>
  <c r="R2599" i="9"/>
  <c r="S2599" i="9"/>
  <c r="N2601" i="9" l="1"/>
  <c r="O2601" i="9" s="1"/>
  <c r="P2601" i="9" s="1"/>
  <c r="R2600" i="9"/>
  <c r="S2600" i="9"/>
  <c r="N2602" i="9" l="1"/>
  <c r="O2602" i="9" s="1"/>
  <c r="P2602" i="9" s="1"/>
  <c r="R2601" i="9"/>
  <c r="S2601" i="9"/>
  <c r="N2603" i="9" l="1"/>
  <c r="O2603" i="9" s="1"/>
  <c r="P2603" i="9" s="1"/>
  <c r="R2602" i="9"/>
  <c r="S2602" i="9"/>
  <c r="N2604" i="9" l="1"/>
  <c r="O2604" i="9" s="1"/>
  <c r="P2604" i="9" s="1"/>
  <c r="R2603" i="9"/>
  <c r="S2603" i="9"/>
  <c r="N2605" i="9" l="1"/>
  <c r="O2605" i="9" s="1"/>
  <c r="P2605" i="9" s="1"/>
  <c r="R2604" i="9"/>
  <c r="S2604" i="9"/>
  <c r="N2606" i="9" l="1"/>
  <c r="O2606" i="9" s="1"/>
  <c r="P2606" i="9" s="1"/>
  <c r="R2605" i="9"/>
  <c r="S2605" i="9"/>
  <c r="N2607" i="9" l="1"/>
  <c r="O2607" i="9" s="1"/>
  <c r="P2607" i="9" s="1"/>
  <c r="R2606" i="9"/>
  <c r="S2606" i="9"/>
  <c r="R2607" i="9" l="1"/>
  <c r="N2608" i="9"/>
  <c r="O2608" i="9" s="1"/>
  <c r="P2608" i="9" s="1"/>
  <c r="S2607" i="9"/>
  <c r="N2609" i="9" l="1"/>
  <c r="O2609" i="9" s="1"/>
  <c r="P2609" i="9" s="1"/>
  <c r="R2608" i="9"/>
  <c r="S2608" i="9"/>
  <c r="N2610" i="9" l="1"/>
  <c r="O2610" i="9" s="1"/>
  <c r="P2610" i="9" s="1"/>
  <c r="R2609" i="9"/>
  <c r="S2609" i="9"/>
  <c r="N2611" i="9" l="1"/>
  <c r="O2611" i="9" s="1"/>
  <c r="P2611" i="9" s="1"/>
  <c r="R2610" i="9"/>
  <c r="S2610" i="9"/>
  <c r="N2612" i="9" l="1"/>
  <c r="O2612" i="9" s="1"/>
  <c r="P2612" i="9" s="1"/>
  <c r="R2611" i="9"/>
  <c r="S2611" i="9"/>
  <c r="N2613" i="9" l="1"/>
  <c r="O2613" i="9" s="1"/>
  <c r="P2613" i="9" s="1"/>
  <c r="R2612" i="9"/>
  <c r="S2612" i="9"/>
  <c r="N2614" i="9" l="1"/>
  <c r="O2614" i="9" s="1"/>
  <c r="P2614" i="9" s="1"/>
  <c r="R2613" i="9"/>
  <c r="S2613" i="9"/>
  <c r="N2615" i="9" l="1"/>
  <c r="O2615" i="9" s="1"/>
  <c r="P2615" i="9" s="1"/>
  <c r="R2614" i="9"/>
  <c r="S2614" i="9"/>
  <c r="N2616" i="9" l="1"/>
  <c r="O2616" i="9" s="1"/>
  <c r="P2616" i="9" s="1"/>
  <c r="R2615" i="9"/>
  <c r="S2615" i="9"/>
  <c r="N2617" i="9" l="1"/>
  <c r="O2617" i="9" s="1"/>
  <c r="P2617" i="9" s="1"/>
  <c r="R2616" i="9"/>
  <c r="S2616" i="9"/>
  <c r="N2618" i="9" l="1"/>
  <c r="O2618" i="9" s="1"/>
  <c r="P2618" i="9" s="1"/>
  <c r="R2617" i="9"/>
  <c r="S2617" i="9"/>
  <c r="N2619" i="9" l="1"/>
  <c r="O2619" i="9" s="1"/>
  <c r="P2619" i="9" s="1"/>
  <c r="R2618" i="9"/>
  <c r="S2618" i="9"/>
  <c r="N2620" i="9" l="1"/>
  <c r="O2620" i="9" s="1"/>
  <c r="P2620" i="9" s="1"/>
  <c r="R2619" i="9"/>
  <c r="S2619" i="9"/>
  <c r="N2621" i="9" l="1"/>
  <c r="O2621" i="9" s="1"/>
  <c r="P2621" i="9" s="1"/>
  <c r="R2620" i="9"/>
  <c r="S2620" i="9"/>
  <c r="N2622" i="9" l="1"/>
  <c r="O2622" i="9" s="1"/>
  <c r="P2622" i="9" s="1"/>
  <c r="R2621" i="9"/>
  <c r="S2621" i="9"/>
  <c r="N2623" i="9" l="1"/>
  <c r="O2623" i="9" s="1"/>
  <c r="P2623" i="9" s="1"/>
  <c r="R2622" i="9"/>
  <c r="S2622" i="9"/>
  <c r="N2624" i="9" l="1"/>
  <c r="O2624" i="9" s="1"/>
  <c r="P2624" i="9" s="1"/>
  <c r="S2623" i="9"/>
  <c r="R2623" i="9"/>
  <c r="S2624" i="9" l="1"/>
  <c r="R2624" i="9"/>
  <c r="N2625" i="9"/>
  <c r="O2625" i="9" s="1"/>
  <c r="P2625" i="9" s="1"/>
  <c r="N2626" i="9" l="1"/>
  <c r="O2626" i="9" s="1"/>
  <c r="P2626" i="9" s="1"/>
  <c r="S2625" i="9"/>
  <c r="R2625" i="9"/>
  <c r="N2627" i="9" l="1"/>
  <c r="O2627" i="9" s="1"/>
  <c r="P2627" i="9" s="1"/>
  <c r="R2626" i="9"/>
  <c r="S2626" i="9"/>
  <c r="N2628" i="9" l="1"/>
  <c r="O2628" i="9" s="1"/>
  <c r="P2628" i="9" s="1"/>
  <c r="S2627" i="9"/>
  <c r="R2627" i="9"/>
  <c r="N2629" i="9" l="1"/>
  <c r="O2629" i="9" s="1"/>
  <c r="P2629" i="9" s="1"/>
  <c r="S2628" i="9"/>
  <c r="R2628" i="9"/>
  <c r="N2630" i="9" l="1"/>
  <c r="O2630" i="9" s="1"/>
  <c r="P2630" i="9" s="1"/>
  <c r="S2629" i="9"/>
  <c r="R2629" i="9"/>
  <c r="N2631" i="9" l="1"/>
  <c r="O2631" i="9" s="1"/>
  <c r="P2631" i="9" s="1"/>
  <c r="R2630" i="9"/>
  <c r="S2630" i="9"/>
  <c r="S2631" i="9" l="1"/>
  <c r="N2632" i="9"/>
  <c r="O2632" i="9" s="1"/>
  <c r="P2632" i="9" s="1"/>
  <c r="R2631" i="9"/>
  <c r="S2632" i="9" l="1"/>
  <c r="R2632" i="9"/>
  <c r="N2633" i="9"/>
  <c r="O2633" i="9" s="1"/>
  <c r="P2633" i="9" s="1"/>
  <c r="N2634" i="9" l="1"/>
  <c r="O2634" i="9" s="1"/>
  <c r="P2634" i="9" s="1"/>
  <c r="S2633" i="9"/>
  <c r="R2633" i="9"/>
  <c r="N2635" i="9" l="1"/>
  <c r="O2635" i="9" s="1"/>
  <c r="P2635" i="9" s="1"/>
  <c r="R2634" i="9"/>
  <c r="S2634" i="9"/>
  <c r="N2636" i="9" l="1"/>
  <c r="O2636" i="9" s="1"/>
  <c r="P2636" i="9" s="1"/>
  <c r="S2635" i="9"/>
  <c r="R2635" i="9"/>
  <c r="N2637" i="9" l="1"/>
  <c r="O2637" i="9" s="1"/>
  <c r="P2637" i="9" s="1"/>
  <c r="S2636" i="9"/>
  <c r="R2636" i="9"/>
  <c r="N2638" i="9" l="1"/>
  <c r="O2638" i="9" s="1"/>
  <c r="P2638" i="9" s="1"/>
  <c r="S2637" i="9"/>
  <c r="R2637" i="9"/>
  <c r="R2638" i="9" l="1"/>
  <c r="N2639" i="9"/>
  <c r="O2639" i="9" s="1"/>
  <c r="P2639" i="9" s="1"/>
  <c r="S2638" i="9"/>
  <c r="S2639" i="9" l="1"/>
  <c r="R2639" i="9"/>
  <c r="N2640" i="9"/>
  <c r="O2640" i="9" s="1"/>
  <c r="P2640" i="9" s="1"/>
  <c r="N2641" i="9" l="1"/>
  <c r="O2641" i="9" s="1"/>
  <c r="P2641" i="9" s="1"/>
  <c r="S2640" i="9"/>
  <c r="R2640" i="9"/>
  <c r="N2642" i="9" l="1"/>
  <c r="O2642" i="9" s="1"/>
  <c r="P2642" i="9" s="1"/>
  <c r="S2641" i="9"/>
  <c r="R2641" i="9"/>
  <c r="N2643" i="9" l="1"/>
  <c r="O2643" i="9" s="1"/>
  <c r="P2643" i="9" s="1"/>
  <c r="R2642" i="9"/>
  <c r="S2642" i="9"/>
  <c r="N2644" i="9" l="1"/>
  <c r="O2644" i="9" s="1"/>
  <c r="P2644" i="9" s="1"/>
  <c r="S2643" i="9"/>
  <c r="R2643" i="9"/>
  <c r="N2645" i="9" l="1"/>
  <c r="O2645" i="9" s="1"/>
  <c r="P2645" i="9" s="1"/>
  <c r="S2644" i="9"/>
  <c r="R2644" i="9"/>
  <c r="N2646" i="9" l="1"/>
  <c r="O2646" i="9" s="1"/>
  <c r="P2646" i="9" s="1"/>
  <c r="S2645" i="9"/>
  <c r="R2645" i="9"/>
  <c r="R2646" i="9" l="1"/>
  <c r="S2646" i="9"/>
  <c r="N2647" i="9"/>
  <c r="O2647" i="9" s="1"/>
  <c r="P2647" i="9" s="1"/>
  <c r="N2648" i="9" l="1"/>
  <c r="O2648" i="9" s="1"/>
  <c r="P2648" i="9" s="1"/>
  <c r="S2647" i="9"/>
  <c r="R2647" i="9"/>
  <c r="N2649" i="9" l="1"/>
  <c r="O2649" i="9" s="1"/>
  <c r="P2649" i="9" s="1"/>
  <c r="S2648" i="9"/>
  <c r="R2648" i="9"/>
  <c r="N2650" i="9" l="1"/>
  <c r="O2650" i="9" s="1"/>
  <c r="P2650" i="9" s="1"/>
  <c r="S2649" i="9"/>
  <c r="R2649" i="9"/>
  <c r="N2651" i="9" l="1"/>
  <c r="O2651" i="9" s="1"/>
  <c r="P2651" i="9" s="1"/>
  <c r="R2650" i="9"/>
  <c r="S2650" i="9"/>
  <c r="N2652" i="9" l="1"/>
  <c r="O2652" i="9" s="1"/>
  <c r="P2652" i="9" s="1"/>
  <c r="S2651" i="9"/>
  <c r="R2651" i="9"/>
  <c r="N2653" i="9" l="1"/>
  <c r="O2653" i="9" s="1"/>
  <c r="P2653" i="9" s="1"/>
  <c r="S2652" i="9"/>
  <c r="R2652" i="9"/>
  <c r="N2654" i="9" l="1"/>
  <c r="O2654" i="9" s="1"/>
  <c r="P2654" i="9" s="1"/>
  <c r="S2653" i="9"/>
  <c r="R2653" i="9"/>
  <c r="N2655" i="9" l="1"/>
  <c r="O2655" i="9" s="1"/>
  <c r="P2655" i="9" s="1"/>
  <c r="R2654" i="9"/>
  <c r="S2654" i="9"/>
  <c r="N2656" i="9" l="1"/>
  <c r="O2656" i="9" s="1"/>
  <c r="P2656" i="9" s="1"/>
  <c r="S2655" i="9"/>
  <c r="R2655" i="9"/>
  <c r="N2657" i="9" l="1"/>
  <c r="O2657" i="9" s="1"/>
  <c r="P2657" i="9" s="1"/>
  <c r="S2656" i="9"/>
  <c r="R2656" i="9"/>
  <c r="N2658" i="9" l="1"/>
  <c r="O2658" i="9" s="1"/>
  <c r="P2658" i="9" s="1"/>
  <c r="S2657" i="9"/>
  <c r="R2657" i="9"/>
  <c r="N2659" i="9" l="1"/>
  <c r="O2659" i="9" s="1"/>
  <c r="P2659" i="9" s="1"/>
  <c r="R2658" i="9"/>
  <c r="S2658" i="9"/>
  <c r="N2660" i="9" l="1"/>
  <c r="O2660" i="9" s="1"/>
  <c r="P2660" i="9" s="1"/>
  <c r="S2659" i="9"/>
  <c r="R2659" i="9"/>
  <c r="N2661" i="9" l="1"/>
  <c r="O2661" i="9" s="1"/>
  <c r="P2661" i="9" s="1"/>
  <c r="S2660" i="9"/>
  <c r="R2660" i="9"/>
  <c r="N2662" i="9" l="1"/>
  <c r="O2662" i="9" s="1"/>
  <c r="P2662" i="9" s="1"/>
  <c r="S2661" i="9"/>
  <c r="R2661" i="9"/>
  <c r="N2663" i="9" l="1"/>
  <c r="O2663" i="9" s="1"/>
  <c r="P2663" i="9" s="1"/>
  <c r="R2662" i="9"/>
  <c r="S2662" i="9"/>
  <c r="N2664" i="9" l="1"/>
  <c r="O2664" i="9" s="1"/>
  <c r="P2664" i="9" s="1"/>
  <c r="S2663" i="9"/>
  <c r="R2663" i="9"/>
  <c r="S2664" i="9" l="1"/>
  <c r="N2665" i="9"/>
  <c r="O2665" i="9" s="1"/>
  <c r="P2665" i="9" s="1"/>
  <c r="R2664" i="9"/>
  <c r="N2666" i="9" l="1"/>
  <c r="O2666" i="9" s="1"/>
  <c r="P2666" i="9" s="1"/>
  <c r="S2665" i="9"/>
  <c r="R2665" i="9"/>
  <c r="N2667" i="9" l="1"/>
  <c r="O2667" i="9" s="1"/>
  <c r="P2667" i="9" s="1"/>
  <c r="R2666" i="9"/>
  <c r="S2666" i="9"/>
  <c r="N2668" i="9" l="1"/>
  <c r="O2668" i="9" s="1"/>
  <c r="P2668" i="9" s="1"/>
  <c r="S2667" i="9"/>
  <c r="R2667" i="9"/>
  <c r="N2669" i="9" l="1"/>
  <c r="O2669" i="9" s="1"/>
  <c r="P2669" i="9" s="1"/>
  <c r="S2668" i="9"/>
  <c r="R2668" i="9"/>
  <c r="N2670" i="9" l="1"/>
  <c r="O2670" i="9" s="1"/>
  <c r="P2670" i="9" s="1"/>
  <c r="S2669" i="9"/>
  <c r="R2669" i="9"/>
  <c r="N2671" i="9" l="1"/>
  <c r="O2671" i="9" s="1"/>
  <c r="P2671" i="9" s="1"/>
  <c r="R2670" i="9"/>
  <c r="S2670" i="9"/>
  <c r="S2671" i="9" l="1"/>
  <c r="N2672" i="9"/>
  <c r="O2672" i="9" s="1"/>
  <c r="P2672" i="9" s="1"/>
  <c r="R2671" i="9"/>
  <c r="N2673" i="9" l="1"/>
  <c r="O2673" i="9" s="1"/>
  <c r="P2673" i="9" s="1"/>
  <c r="S2672" i="9"/>
  <c r="R2672" i="9"/>
  <c r="N2674" i="9" l="1"/>
  <c r="O2674" i="9" s="1"/>
  <c r="P2674" i="9" s="1"/>
  <c r="S2673" i="9"/>
  <c r="R2673" i="9"/>
  <c r="N2675" i="9" l="1"/>
  <c r="O2675" i="9" s="1"/>
  <c r="P2675" i="9" s="1"/>
  <c r="R2674" i="9"/>
  <c r="S2674" i="9"/>
  <c r="N2676" i="9" l="1"/>
  <c r="O2676" i="9" s="1"/>
  <c r="P2676" i="9" s="1"/>
  <c r="S2675" i="9"/>
  <c r="R2675" i="9"/>
  <c r="N2677" i="9" l="1"/>
  <c r="O2677" i="9" s="1"/>
  <c r="P2677" i="9" s="1"/>
  <c r="S2676" i="9"/>
  <c r="R2676" i="9"/>
  <c r="N2678" i="9" l="1"/>
  <c r="O2678" i="9" s="1"/>
  <c r="P2678" i="9" s="1"/>
  <c r="S2677" i="9"/>
  <c r="R2677" i="9"/>
  <c r="N2679" i="9" l="1"/>
  <c r="O2679" i="9" s="1"/>
  <c r="P2679" i="9" s="1"/>
  <c r="R2678" i="9"/>
  <c r="S2678" i="9"/>
  <c r="N2680" i="9" l="1"/>
  <c r="O2680" i="9" s="1"/>
  <c r="P2680" i="9" s="1"/>
  <c r="S2679" i="9"/>
  <c r="R2679" i="9"/>
  <c r="N2681" i="9" l="1"/>
  <c r="O2681" i="9" s="1"/>
  <c r="P2681" i="9" s="1"/>
  <c r="S2680" i="9"/>
  <c r="R2680" i="9"/>
  <c r="N2682" i="9" l="1"/>
  <c r="O2682" i="9" s="1"/>
  <c r="P2682" i="9" s="1"/>
  <c r="S2681" i="9"/>
  <c r="R2681" i="9"/>
  <c r="N2683" i="9" l="1"/>
  <c r="O2683" i="9" s="1"/>
  <c r="P2683" i="9" s="1"/>
  <c r="R2682" i="9"/>
  <c r="S2682" i="9"/>
  <c r="N2684" i="9" l="1"/>
  <c r="O2684" i="9" s="1"/>
  <c r="P2684" i="9" s="1"/>
  <c r="S2683" i="9"/>
  <c r="R2683" i="9"/>
  <c r="N2685" i="9" l="1"/>
  <c r="O2685" i="9" s="1"/>
  <c r="P2685" i="9" s="1"/>
  <c r="S2684" i="9"/>
  <c r="R2684" i="9"/>
  <c r="N2686" i="9" l="1"/>
  <c r="O2686" i="9" s="1"/>
  <c r="P2686" i="9" s="1"/>
  <c r="S2685" i="9"/>
  <c r="R2685" i="9"/>
  <c r="N2687" i="9" l="1"/>
  <c r="O2687" i="9" s="1"/>
  <c r="P2687" i="9" s="1"/>
  <c r="R2686" i="9"/>
  <c r="S2686" i="9"/>
  <c r="N2688" i="9" l="1"/>
  <c r="O2688" i="9" s="1"/>
  <c r="P2688" i="9" s="1"/>
  <c r="S2687" i="9"/>
  <c r="R2687" i="9"/>
  <c r="S2688" i="9" l="1"/>
  <c r="R2688" i="9"/>
  <c r="N2689" i="9"/>
  <c r="O2689" i="9" s="1"/>
  <c r="P2689" i="9" s="1"/>
  <c r="N2690" i="9" l="1"/>
  <c r="O2690" i="9" s="1"/>
  <c r="P2690" i="9" s="1"/>
  <c r="S2689" i="9"/>
  <c r="R2689" i="9"/>
  <c r="N2691" i="9" l="1"/>
  <c r="O2691" i="9" s="1"/>
  <c r="P2691" i="9" s="1"/>
  <c r="R2690" i="9"/>
  <c r="S2690" i="9"/>
  <c r="N2692" i="9" l="1"/>
  <c r="O2692" i="9" s="1"/>
  <c r="P2692" i="9" s="1"/>
  <c r="S2691" i="9"/>
  <c r="R2691" i="9"/>
  <c r="N2693" i="9" l="1"/>
  <c r="O2693" i="9" s="1"/>
  <c r="P2693" i="9" s="1"/>
  <c r="S2692" i="9"/>
  <c r="R2692" i="9"/>
  <c r="N2694" i="9" l="1"/>
  <c r="O2694" i="9" s="1"/>
  <c r="P2694" i="9" s="1"/>
  <c r="S2693" i="9"/>
  <c r="R2693" i="9"/>
  <c r="N2695" i="9" l="1"/>
  <c r="O2695" i="9" s="1"/>
  <c r="P2695" i="9" s="1"/>
  <c r="R2694" i="9"/>
  <c r="S2694" i="9"/>
  <c r="S2695" i="9" l="1"/>
  <c r="N2696" i="9"/>
  <c r="O2696" i="9" s="1"/>
  <c r="P2696" i="9" s="1"/>
  <c r="R2695" i="9"/>
  <c r="S2696" i="9" l="1"/>
  <c r="R2696" i="9"/>
  <c r="N2697" i="9"/>
  <c r="O2697" i="9" s="1"/>
  <c r="P2697" i="9" s="1"/>
  <c r="N2698" i="9" l="1"/>
  <c r="O2698" i="9" s="1"/>
  <c r="P2698" i="9" s="1"/>
  <c r="S2697" i="9"/>
  <c r="R2697" i="9"/>
  <c r="N2699" i="9" l="1"/>
  <c r="O2699" i="9" s="1"/>
  <c r="P2699" i="9" s="1"/>
  <c r="R2698" i="9"/>
  <c r="S2698" i="9"/>
  <c r="N2700" i="9" l="1"/>
  <c r="O2700" i="9" s="1"/>
  <c r="P2700" i="9" s="1"/>
  <c r="S2699" i="9"/>
  <c r="R2699" i="9"/>
  <c r="N2701" i="9" l="1"/>
  <c r="O2701" i="9" s="1"/>
  <c r="P2701" i="9" s="1"/>
  <c r="S2700" i="9"/>
  <c r="R2700" i="9"/>
  <c r="N2702" i="9" l="1"/>
  <c r="O2702" i="9" s="1"/>
  <c r="P2702" i="9" s="1"/>
  <c r="S2701" i="9"/>
  <c r="R2701" i="9"/>
  <c r="R2702" i="9" l="1"/>
  <c r="N2703" i="9"/>
  <c r="O2703" i="9" s="1"/>
  <c r="P2703" i="9" s="1"/>
  <c r="S2702" i="9"/>
  <c r="S2703" i="9" l="1"/>
  <c r="R2703" i="9"/>
  <c r="N2704" i="9"/>
  <c r="O2704" i="9" s="1"/>
  <c r="P2704" i="9" s="1"/>
  <c r="N2705" i="9" l="1"/>
  <c r="O2705" i="9" s="1"/>
  <c r="P2705" i="9" s="1"/>
  <c r="S2704" i="9"/>
  <c r="R2704" i="9"/>
  <c r="N2706" i="9" l="1"/>
  <c r="O2706" i="9" s="1"/>
  <c r="P2706" i="9" s="1"/>
  <c r="S2705" i="9"/>
  <c r="R2705" i="9"/>
  <c r="N2707" i="9" l="1"/>
  <c r="O2707" i="9" s="1"/>
  <c r="P2707" i="9" s="1"/>
  <c r="R2706" i="9"/>
  <c r="S2706" i="9"/>
  <c r="N2708" i="9" l="1"/>
  <c r="O2708" i="9" s="1"/>
  <c r="P2708" i="9" s="1"/>
  <c r="S2707" i="9"/>
  <c r="R2707" i="9"/>
  <c r="N2709" i="9" l="1"/>
  <c r="O2709" i="9" s="1"/>
  <c r="P2709" i="9" s="1"/>
  <c r="S2708" i="9"/>
  <c r="R2708" i="9"/>
  <c r="N2710" i="9" l="1"/>
  <c r="O2710" i="9" s="1"/>
  <c r="P2710" i="9" s="1"/>
  <c r="S2709" i="9"/>
  <c r="R2709" i="9"/>
  <c r="R2710" i="9" l="1"/>
  <c r="S2710" i="9"/>
  <c r="N2711" i="9"/>
  <c r="O2711" i="9" s="1"/>
  <c r="P2711" i="9" s="1"/>
  <c r="N2712" i="9" l="1"/>
  <c r="O2712" i="9" s="1"/>
  <c r="P2712" i="9" s="1"/>
  <c r="S2711" i="9"/>
  <c r="R2711" i="9"/>
  <c r="N2713" i="9" l="1"/>
  <c r="O2713" i="9" s="1"/>
  <c r="P2713" i="9" s="1"/>
  <c r="S2712" i="9"/>
  <c r="R2712" i="9"/>
  <c r="N2714" i="9" l="1"/>
  <c r="O2714" i="9" s="1"/>
  <c r="P2714" i="9" s="1"/>
  <c r="S2713" i="9"/>
  <c r="R2713" i="9"/>
  <c r="N2715" i="9" l="1"/>
  <c r="O2715" i="9" s="1"/>
  <c r="P2715" i="9" s="1"/>
  <c r="R2714" i="9"/>
  <c r="S2714" i="9"/>
  <c r="N2716" i="9" l="1"/>
  <c r="O2716" i="9" s="1"/>
  <c r="P2716" i="9" s="1"/>
  <c r="S2715" i="9"/>
  <c r="R2715" i="9"/>
  <c r="N2717" i="9" l="1"/>
  <c r="O2717" i="9" s="1"/>
  <c r="P2717" i="9" s="1"/>
  <c r="S2716" i="9"/>
  <c r="R2716" i="9"/>
  <c r="N2718" i="9" l="1"/>
  <c r="O2718" i="9" s="1"/>
  <c r="P2718" i="9" s="1"/>
  <c r="S2717" i="9"/>
  <c r="R2717" i="9"/>
  <c r="N2719" i="9" l="1"/>
  <c r="O2719" i="9" s="1"/>
  <c r="P2719" i="9" s="1"/>
  <c r="R2718" i="9"/>
  <c r="S2718" i="9"/>
  <c r="N2720" i="9" l="1"/>
  <c r="O2720" i="9" s="1"/>
  <c r="P2720" i="9" s="1"/>
  <c r="S2719" i="9"/>
  <c r="R2719" i="9"/>
  <c r="N2721" i="9" l="1"/>
  <c r="O2721" i="9" s="1"/>
  <c r="P2721" i="9" s="1"/>
  <c r="S2720" i="9"/>
  <c r="R2720" i="9"/>
  <c r="N2722" i="9" l="1"/>
  <c r="O2722" i="9" s="1"/>
  <c r="P2722" i="9" s="1"/>
  <c r="S2721" i="9"/>
  <c r="R2721" i="9"/>
  <c r="N2723" i="9" l="1"/>
  <c r="O2723" i="9" s="1"/>
  <c r="P2723" i="9" s="1"/>
  <c r="R2722" i="9"/>
  <c r="S2722" i="9"/>
  <c r="N2724" i="9" l="1"/>
  <c r="O2724" i="9" s="1"/>
  <c r="P2724" i="9" s="1"/>
  <c r="S2723" i="9"/>
  <c r="R2723" i="9"/>
  <c r="N2725" i="9" l="1"/>
  <c r="O2725" i="9" s="1"/>
  <c r="P2725" i="9" s="1"/>
  <c r="S2724" i="9"/>
  <c r="R2724" i="9"/>
  <c r="N2726" i="9" l="1"/>
  <c r="O2726" i="9" s="1"/>
  <c r="P2726" i="9" s="1"/>
  <c r="S2725" i="9"/>
  <c r="R2725" i="9"/>
  <c r="N2727" i="9" l="1"/>
  <c r="O2727" i="9" s="1"/>
  <c r="P2727" i="9" s="1"/>
  <c r="R2726" i="9"/>
  <c r="S2726" i="9"/>
  <c r="N2728" i="9" l="1"/>
  <c r="O2728" i="9" s="1"/>
  <c r="P2728" i="9" s="1"/>
  <c r="S2727" i="9"/>
  <c r="R2727" i="9"/>
  <c r="S2728" i="9" l="1"/>
  <c r="N2729" i="9"/>
  <c r="O2729" i="9" s="1"/>
  <c r="P2729" i="9" s="1"/>
  <c r="R2728" i="9"/>
  <c r="N2730" i="9" l="1"/>
  <c r="O2730" i="9" s="1"/>
  <c r="P2730" i="9" s="1"/>
  <c r="S2729" i="9"/>
  <c r="R2729" i="9"/>
  <c r="R2730" i="9" l="1"/>
  <c r="N2731" i="9"/>
  <c r="O2731" i="9" s="1"/>
  <c r="P2731" i="9" s="1"/>
  <c r="S2730" i="9"/>
  <c r="N2732" i="9" l="1"/>
  <c r="O2732" i="9" s="1"/>
  <c r="P2732" i="9" s="1"/>
  <c r="S2731" i="9"/>
  <c r="R2731" i="9"/>
  <c r="N2733" i="9" l="1"/>
  <c r="O2733" i="9" s="1"/>
  <c r="P2733" i="9" s="1"/>
  <c r="S2732" i="9"/>
  <c r="R2732" i="9"/>
  <c r="N2734" i="9" l="1"/>
  <c r="O2734" i="9" s="1"/>
  <c r="P2734" i="9" s="1"/>
  <c r="S2733" i="9"/>
  <c r="R2733" i="9"/>
  <c r="N2735" i="9" l="1"/>
  <c r="O2735" i="9" s="1"/>
  <c r="P2735" i="9" s="1"/>
  <c r="R2734" i="9"/>
  <c r="S2734" i="9"/>
  <c r="N2736" i="9" l="1"/>
  <c r="O2736" i="9" s="1"/>
  <c r="P2736" i="9" s="1"/>
  <c r="S2735" i="9"/>
  <c r="R2735" i="9"/>
  <c r="S2736" i="9" l="1"/>
  <c r="R2736" i="9"/>
  <c r="N2737" i="9"/>
  <c r="O2737" i="9" s="1"/>
  <c r="P2737" i="9" s="1"/>
  <c r="N2738" i="9" l="1"/>
  <c r="O2738" i="9" s="1"/>
  <c r="P2738" i="9" s="1"/>
  <c r="S2737" i="9"/>
  <c r="R2737" i="9"/>
  <c r="N2739" i="9" l="1"/>
  <c r="O2739" i="9" s="1"/>
  <c r="P2739" i="9" s="1"/>
  <c r="R2738" i="9"/>
  <c r="S2738" i="9"/>
  <c r="N2740" i="9" l="1"/>
  <c r="O2740" i="9" s="1"/>
  <c r="P2740" i="9" s="1"/>
  <c r="S2739" i="9"/>
  <c r="R2739" i="9"/>
  <c r="N2741" i="9" l="1"/>
  <c r="O2741" i="9" s="1"/>
  <c r="P2741" i="9" s="1"/>
  <c r="S2740" i="9"/>
  <c r="R2740" i="9"/>
  <c r="N2742" i="9" l="1"/>
  <c r="O2742" i="9" s="1"/>
  <c r="P2742" i="9" s="1"/>
  <c r="S2741" i="9"/>
  <c r="R2741" i="9"/>
  <c r="N2743" i="9" l="1"/>
  <c r="O2743" i="9" s="1"/>
  <c r="P2743" i="9" s="1"/>
  <c r="R2742" i="9"/>
  <c r="S2742" i="9"/>
  <c r="N2744" i="9" l="1"/>
  <c r="O2744" i="9" s="1"/>
  <c r="P2744" i="9" s="1"/>
  <c r="S2743" i="9"/>
  <c r="R2743" i="9"/>
  <c r="S2744" i="9" l="1"/>
  <c r="N2745" i="9"/>
  <c r="O2745" i="9" s="1"/>
  <c r="P2745" i="9" s="1"/>
  <c r="R2744" i="9"/>
  <c r="N2746" i="9" l="1"/>
  <c r="O2746" i="9" s="1"/>
  <c r="P2746" i="9" s="1"/>
  <c r="S2745" i="9"/>
  <c r="R2745" i="9"/>
  <c r="R2746" i="9" l="1"/>
  <c r="N2747" i="9"/>
  <c r="O2747" i="9" s="1"/>
  <c r="P2747" i="9" s="1"/>
  <c r="S2746" i="9"/>
  <c r="N2748" i="9" l="1"/>
  <c r="O2748" i="9" s="1"/>
  <c r="P2748" i="9" s="1"/>
  <c r="S2747" i="9"/>
  <c r="R2747" i="9"/>
  <c r="N2749" i="9" l="1"/>
  <c r="O2749" i="9" s="1"/>
  <c r="P2749" i="9" s="1"/>
  <c r="S2748" i="9"/>
  <c r="R2748" i="9"/>
  <c r="N2750" i="9" l="1"/>
  <c r="O2750" i="9" s="1"/>
  <c r="P2750" i="9" s="1"/>
  <c r="S2749" i="9"/>
  <c r="R2749" i="9"/>
  <c r="N2751" i="9" l="1"/>
  <c r="O2751" i="9" s="1"/>
  <c r="P2751" i="9" s="1"/>
  <c r="R2750" i="9"/>
  <c r="S2750" i="9"/>
  <c r="N2752" i="9" l="1"/>
  <c r="O2752" i="9" s="1"/>
  <c r="P2752" i="9" s="1"/>
  <c r="S2751" i="9"/>
  <c r="R2751" i="9"/>
  <c r="S2752" i="9" l="1"/>
  <c r="R2752" i="9"/>
  <c r="N2753" i="9"/>
  <c r="O2753" i="9" s="1"/>
  <c r="P2753" i="9" s="1"/>
  <c r="N2754" i="9" l="1"/>
  <c r="O2754" i="9" s="1"/>
  <c r="P2754" i="9" s="1"/>
  <c r="S2753" i="9"/>
  <c r="R2753" i="9"/>
  <c r="N2755" i="9" l="1"/>
  <c r="O2755" i="9" s="1"/>
  <c r="P2755" i="9" s="1"/>
  <c r="R2754" i="9"/>
  <c r="S2754" i="9"/>
  <c r="N2756" i="9" l="1"/>
  <c r="O2756" i="9" s="1"/>
  <c r="P2756" i="9" s="1"/>
  <c r="S2755" i="9"/>
  <c r="R2755" i="9"/>
  <c r="N2757" i="9" l="1"/>
  <c r="O2757" i="9" s="1"/>
  <c r="P2757" i="9" s="1"/>
  <c r="S2756" i="9"/>
  <c r="R2756" i="9"/>
  <c r="N2758" i="9" l="1"/>
  <c r="O2758" i="9" s="1"/>
  <c r="P2758" i="9" s="1"/>
  <c r="S2757" i="9"/>
  <c r="R2757" i="9"/>
  <c r="N2759" i="9" l="1"/>
  <c r="O2759" i="9" s="1"/>
  <c r="P2759" i="9" s="1"/>
  <c r="R2758" i="9"/>
  <c r="S2758" i="9"/>
  <c r="N2760" i="9" l="1"/>
  <c r="O2760" i="9" s="1"/>
  <c r="P2760" i="9" s="1"/>
  <c r="S2759" i="9"/>
  <c r="R2759" i="9"/>
  <c r="S2760" i="9" l="1"/>
  <c r="N2761" i="9"/>
  <c r="O2761" i="9" s="1"/>
  <c r="P2761" i="9" s="1"/>
  <c r="R2760" i="9"/>
  <c r="N2762" i="9" l="1"/>
  <c r="O2762" i="9" s="1"/>
  <c r="P2762" i="9" s="1"/>
  <c r="S2761" i="9"/>
  <c r="R2761" i="9"/>
  <c r="R2762" i="9" l="1"/>
  <c r="N2763" i="9"/>
  <c r="O2763" i="9" s="1"/>
  <c r="P2763" i="9" s="1"/>
  <c r="S2762" i="9"/>
  <c r="N2764" i="9" l="1"/>
  <c r="O2764" i="9" s="1"/>
  <c r="P2764" i="9" s="1"/>
  <c r="S2763" i="9"/>
  <c r="R2763" i="9"/>
  <c r="N2765" i="9" l="1"/>
  <c r="O2765" i="9" s="1"/>
  <c r="P2765" i="9" s="1"/>
  <c r="S2764" i="9"/>
  <c r="R2764" i="9"/>
  <c r="N2766" i="9" l="1"/>
  <c r="O2766" i="9" s="1"/>
  <c r="P2766" i="9" s="1"/>
  <c r="S2765" i="9"/>
  <c r="R2765" i="9"/>
  <c r="N2767" i="9" l="1"/>
  <c r="O2767" i="9" s="1"/>
  <c r="P2767" i="9" s="1"/>
  <c r="R2766" i="9"/>
  <c r="S2766" i="9"/>
  <c r="N2768" i="9" l="1"/>
  <c r="O2768" i="9" s="1"/>
  <c r="P2768" i="9" s="1"/>
  <c r="S2767" i="9"/>
  <c r="R2767" i="9"/>
  <c r="S2768" i="9" l="1"/>
  <c r="R2768" i="9"/>
  <c r="N2769" i="9"/>
  <c r="O2769" i="9" s="1"/>
  <c r="P2769" i="9" s="1"/>
  <c r="N2770" i="9" l="1"/>
  <c r="O2770" i="9" s="1"/>
  <c r="P2770" i="9" s="1"/>
  <c r="S2769" i="9"/>
  <c r="R2769" i="9"/>
  <c r="N2771" i="9" l="1"/>
  <c r="O2771" i="9" s="1"/>
  <c r="P2771" i="9" s="1"/>
  <c r="R2770" i="9"/>
  <c r="S2770" i="9"/>
  <c r="N2772" i="9" l="1"/>
  <c r="O2772" i="9" s="1"/>
  <c r="P2772" i="9" s="1"/>
  <c r="S2771" i="9"/>
  <c r="R2771" i="9"/>
  <c r="N2773" i="9" l="1"/>
  <c r="O2773" i="9" s="1"/>
  <c r="P2773" i="9" s="1"/>
  <c r="S2772" i="9"/>
  <c r="R2772" i="9"/>
  <c r="N2774" i="9" l="1"/>
  <c r="O2774" i="9" s="1"/>
  <c r="P2774" i="9" s="1"/>
  <c r="S2773" i="9"/>
  <c r="R2773" i="9"/>
  <c r="N2775" i="9" l="1"/>
  <c r="O2775" i="9" s="1"/>
  <c r="P2775" i="9" s="1"/>
  <c r="R2774" i="9"/>
  <c r="S2774" i="9"/>
  <c r="N2776" i="9" l="1"/>
  <c r="O2776" i="9" s="1"/>
  <c r="P2776" i="9" s="1"/>
  <c r="S2775" i="9"/>
  <c r="R2775" i="9"/>
  <c r="S2776" i="9" l="1"/>
  <c r="N2777" i="9"/>
  <c r="O2777" i="9" s="1"/>
  <c r="P2777" i="9" s="1"/>
  <c r="R2776" i="9"/>
  <c r="N2778" i="9" l="1"/>
  <c r="O2778" i="9" s="1"/>
  <c r="P2778" i="9" s="1"/>
  <c r="S2777" i="9"/>
  <c r="R2777" i="9"/>
  <c r="R2778" i="9" l="1"/>
  <c r="N2779" i="9"/>
  <c r="O2779" i="9" s="1"/>
  <c r="P2779" i="9" s="1"/>
  <c r="S2778" i="9"/>
  <c r="N2780" i="9" l="1"/>
  <c r="O2780" i="9" s="1"/>
  <c r="P2780" i="9" s="1"/>
  <c r="S2779" i="9"/>
  <c r="R2779" i="9"/>
  <c r="N2781" i="9" l="1"/>
  <c r="O2781" i="9" s="1"/>
  <c r="P2781" i="9" s="1"/>
  <c r="S2780" i="9"/>
  <c r="R2780" i="9"/>
  <c r="N2782" i="9" l="1"/>
  <c r="O2782" i="9" s="1"/>
  <c r="P2782" i="9" s="1"/>
  <c r="S2781" i="9"/>
  <c r="R2781" i="9"/>
  <c r="N2783" i="9" l="1"/>
  <c r="O2783" i="9" s="1"/>
  <c r="P2783" i="9" s="1"/>
  <c r="R2782" i="9"/>
  <c r="S2782" i="9"/>
  <c r="N2784" i="9" l="1"/>
  <c r="O2784" i="9" s="1"/>
  <c r="P2784" i="9" s="1"/>
  <c r="S2783" i="9"/>
  <c r="R2783" i="9"/>
  <c r="S2784" i="9" l="1"/>
  <c r="R2784" i="9"/>
  <c r="N2785" i="9"/>
  <c r="O2785" i="9" s="1"/>
  <c r="P2785" i="9" s="1"/>
  <c r="N2786" i="9" l="1"/>
  <c r="O2786" i="9" s="1"/>
  <c r="P2786" i="9" s="1"/>
  <c r="S2785" i="9"/>
  <c r="R2785" i="9"/>
  <c r="N2787" i="9" l="1"/>
  <c r="O2787" i="9" s="1"/>
  <c r="P2787" i="9" s="1"/>
  <c r="R2786" i="9"/>
  <c r="S2786" i="9"/>
  <c r="N2788" i="9" l="1"/>
  <c r="O2788" i="9" s="1"/>
  <c r="P2788" i="9" s="1"/>
  <c r="S2787" i="9"/>
  <c r="R2787" i="9"/>
  <c r="N2789" i="9" l="1"/>
  <c r="O2789" i="9" s="1"/>
  <c r="P2789" i="9" s="1"/>
  <c r="S2788" i="9"/>
  <c r="R2788" i="9"/>
  <c r="N2790" i="9" l="1"/>
  <c r="O2790" i="9" s="1"/>
  <c r="P2790" i="9" s="1"/>
  <c r="S2789" i="9"/>
  <c r="R2789" i="9"/>
  <c r="N2791" i="9" l="1"/>
  <c r="O2791" i="9" s="1"/>
  <c r="P2791" i="9" s="1"/>
  <c r="R2790" i="9"/>
  <c r="S2790" i="9"/>
  <c r="N2792" i="9" l="1"/>
  <c r="O2792" i="9" s="1"/>
  <c r="P2792" i="9" s="1"/>
  <c r="S2791" i="9"/>
  <c r="R2791" i="9"/>
  <c r="S2792" i="9" l="1"/>
  <c r="N2793" i="9"/>
  <c r="O2793" i="9" s="1"/>
  <c r="P2793" i="9" s="1"/>
  <c r="R2792" i="9"/>
  <c r="N2794" i="9" l="1"/>
  <c r="O2794" i="9" s="1"/>
  <c r="P2794" i="9" s="1"/>
  <c r="S2793" i="9"/>
  <c r="R2793" i="9"/>
  <c r="R2794" i="9" l="1"/>
  <c r="N2795" i="9"/>
  <c r="O2795" i="9" s="1"/>
  <c r="P2795" i="9" s="1"/>
  <c r="S2794" i="9"/>
  <c r="N2796" i="9" l="1"/>
  <c r="O2796" i="9" s="1"/>
  <c r="P2796" i="9" s="1"/>
  <c r="S2795" i="9"/>
  <c r="R2795" i="9"/>
  <c r="N2797" i="9" l="1"/>
  <c r="O2797" i="9" s="1"/>
  <c r="P2797" i="9" s="1"/>
  <c r="S2796" i="9"/>
  <c r="R2796" i="9"/>
  <c r="N2798" i="9" l="1"/>
  <c r="O2798" i="9" s="1"/>
  <c r="P2798" i="9" s="1"/>
  <c r="S2797" i="9"/>
  <c r="R2797" i="9"/>
  <c r="N2799" i="9" l="1"/>
  <c r="O2799" i="9" s="1"/>
  <c r="P2799" i="9" s="1"/>
  <c r="R2798" i="9"/>
  <c r="S2798" i="9"/>
  <c r="N2800" i="9" l="1"/>
  <c r="O2800" i="9" s="1"/>
  <c r="P2800" i="9" s="1"/>
  <c r="S2799" i="9"/>
  <c r="R2799" i="9"/>
  <c r="S2800" i="9" l="1"/>
  <c r="R2800" i="9"/>
  <c r="N2801" i="9"/>
  <c r="O2801" i="9" s="1"/>
  <c r="P2801" i="9" s="1"/>
  <c r="N2802" i="9" l="1"/>
  <c r="O2802" i="9" s="1"/>
  <c r="P2802" i="9" s="1"/>
  <c r="S2801" i="9"/>
  <c r="R2801" i="9"/>
  <c r="N2803" i="9" l="1"/>
  <c r="O2803" i="9" s="1"/>
  <c r="P2803" i="9" s="1"/>
  <c r="R2802" i="9"/>
  <c r="S2802" i="9"/>
  <c r="N2804" i="9" l="1"/>
  <c r="O2804" i="9" s="1"/>
  <c r="P2804" i="9" s="1"/>
  <c r="S2803" i="9"/>
  <c r="R2803" i="9"/>
  <c r="N2805" i="9" l="1"/>
  <c r="O2805" i="9" s="1"/>
  <c r="P2805" i="9" s="1"/>
  <c r="S2804" i="9"/>
  <c r="R2804" i="9"/>
  <c r="N2806" i="9" l="1"/>
  <c r="O2806" i="9" s="1"/>
  <c r="P2806" i="9" s="1"/>
  <c r="S2805" i="9"/>
  <c r="R2805" i="9"/>
  <c r="N2807" i="9" l="1"/>
  <c r="O2807" i="9" s="1"/>
  <c r="P2807" i="9" s="1"/>
  <c r="R2806" i="9"/>
  <c r="S2806" i="9"/>
  <c r="N2808" i="9" l="1"/>
  <c r="O2808" i="9" s="1"/>
  <c r="P2808" i="9" s="1"/>
  <c r="S2807" i="9"/>
  <c r="R2807" i="9"/>
  <c r="S2808" i="9" l="1"/>
  <c r="N2809" i="9"/>
  <c r="O2809" i="9" s="1"/>
  <c r="P2809" i="9" s="1"/>
  <c r="R2808" i="9"/>
  <c r="N2810" i="9" l="1"/>
  <c r="O2810" i="9" s="1"/>
  <c r="P2810" i="9" s="1"/>
  <c r="S2809" i="9"/>
  <c r="R2809" i="9"/>
  <c r="R2810" i="9" l="1"/>
  <c r="N2811" i="9"/>
  <c r="O2811" i="9" s="1"/>
  <c r="P2811" i="9" s="1"/>
  <c r="S2810" i="9"/>
  <c r="N2812" i="9" l="1"/>
  <c r="O2812" i="9" s="1"/>
  <c r="P2812" i="9" s="1"/>
  <c r="S2811" i="9"/>
  <c r="R2811" i="9"/>
  <c r="N2813" i="9" l="1"/>
  <c r="O2813" i="9" s="1"/>
  <c r="P2813" i="9" s="1"/>
  <c r="S2812" i="9"/>
  <c r="R2812" i="9"/>
  <c r="N2814" i="9" l="1"/>
  <c r="O2814" i="9" s="1"/>
  <c r="P2814" i="9" s="1"/>
  <c r="S2813" i="9"/>
  <c r="R2813" i="9"/>
  <c r="N2815" i="9" l="1"/>
  <c r="O2815" i="9" s="1"/>
  <c r="P2815" i="9" s="1"/>
  <c r="R2814" i="9"/>
  <c r="S2814" i="9"/>
  <c r="N2816" i="9" l="1"/>
  <c r="O2816" i="9" s="1"/>
  <c r="P2816" i="9" s="1"/>
  <c r="S2815" i="9"/>
  <c r="R2815" i="9"/>
  <c r="S2816" i="9" l="1"/>
  <c r="R2816" i="9"/>
  <c r="N2817" i="9"/>
  <c r="O2817" i="9" s="1"/>
  <c r="P2817" i="9" s="1"/>
  <c r="N2818" i="9" l="1"/>
  <c r="O2818" i="9" s="1"/>
  <c r="P2818" i="9" s="1"/>
  <c r="S2817" i="9"/>
  <c r="R2817" i="9"/>
  <c r="N2819" i="9" l="1"/>
  <c r="O2819" i="9" s="1"/>
  <c r="P2819" i="9" s="1"/>
  <c r="R2818" i="9"/>
  <c r="S2818" i="9"/>
  <c r="N2820" i="9" l="1"/>
  <c r="O2820" i="9" s="1"/>
  <c r="P2820" i="9" s="1"/>
  <c r="S2819" i="9"/>
  <c r="R2819" i="9"/>
  <c r="N2821" i="9" l="1"/>
  <c r="O2821" i="9" s="1"/>
  <c r="P2821" i="9" s="1"/>
  <c r="S2820" i="9"/>
  <c r="R2820" i="9"/>
  <c r="N2822" i="9" l="1"/>
  <c r="O2822" i="9" s="1"/>
  <c r="P2822" i="9" s="1"/>
  <c r="S2821" i="9"/>
  <c r="R2821" i="9"/>
  <c r="N2823" i="9" l="1"/>
  <c r="O2823" i="9" s="1"/>
  <c r="P2823" i="9" s="1"/>
  <c r="R2822" i="9"/>
  <c r="S2822" i="9"/>
  <c r="N2824" i="9" l="1"/>
  <c r="O2824" i="9" s="1"/>
  <c r="P2824" i="9" s="1"/>
  <c r="S2823" i="9"/>
  <c r="R2823" i="9"/>
  <c r="S2824" i="9" l="1"/>
  <c r="N2825" i="9"/>
  <c r="O2825" i="9" s="1"/>
  <c r="P2825" i="9" s="1"/>
  <c r="R2824" i="9"/>
  <c r="N2826" i="9" l="1"/>
  <c r="O2826" i="9" s="1"/>
  <c r="P2826" i="9" s="1"/>
  <c r="S2825" i="9"/>
  <c r="R2825" i="9"/>
  <c r="R2826" i="9" l="1"/>
  <c r="N2827" i="9"/>
  <c r="O2827" i="9" s="1"/>
  <c r="P2827" i="9" s="1"/>
  <c r="S2826" i="9"/>
  <c r="N2828" i="9" l="1"/>
  <c r="O2828" i="9" s="1"/>
  <c r="P2828" i="9" s="1"/>
  <c r="S2827" i="9"/>
  <c r="R2827" i="9"/>
  <c r="N2829" i="9" l="1"/>
  <c r="O2829" i="9" s="1"/>
  <c r="P2829" i="9" s="1"/>
  <c r="S2828" i="9"/>
  <c r="R2828" i="9"/>
  <c r="N2830" i="9" l="1"/>
  <c r="O2830" i="9" s="1"/>
  <c r="P2830" i="9" s="1"/>
  <c r="S2829" i="9"/>
  <c r="R2829" i="9"/>
  <c r="N2831" i="9" l="1"/>
  <c r="O2831" i="9" s="1"/>
  <c r="P2831" i="9" s="1"/>
  <c r="R2830" i="9"/>
  <c r="S2830" i="9"/>
  <c r="N2832" i="9" l="1"/>
  <c r="O2832" i="9" s="1"/>
  <c r="P2832" i="9" s="1"/>
  <c r="S2831" i="9"/>
  <c r="R2831" i="9"/>
  <c r="S2832" i="9" l="1"/>
  <c r="R2832" i="9"/>
  <c r="N2833" i="9"/>
  <c r="O2833" i="9" s="1"/>
  <c r="P2833" i="9" s="1"/>
  <c r="N2834" i="9" l="1"/>
  <c r="O2834" i="9" s="1"/>
  <c r="P2834" i="9" s="1"/>
  <c r="S2833" i="9"/>
  <c r="R2833" i="9"/>
  <c r="N2835" i="9" l="1"/>
  <c r="O2835" i="9" s="1"/>
  <c r="P2835" i="9" s="1"/>
  <c r="R2834" i="9"/>
  <c r="S2834" i="9"/>
  <c r="N2836" i="9" l="1"/>
  <c r="O2836" i="9" s="1"/>
  <c r="P2836" i="9" s="1"/>
  <c r="S2835" i="9"/>
  <c r="R2835" i="9"/>
  <c r="N2837" i="9" l="1"/>
  <c r="O2837" i="9" s="1"/>
  <c r="P2837" i="9" s="1"/>
  <c r="S2836" i="9"/>
  <c r="R2836" i="9"/>
  <c r="N2838" i="9" l="1"/>
  <c r="O2838" i="9" s="1"/>
  <c r="P2838" i="9" s="1"/>
  <c r="S2837" i="9"/>
  <c r="R2837" i="9"/>
  <c r="N2839" i="9" l="1"/>
  <c r="O2839" i="9" s="1"/>
  <c r="P2839" i="9" s="1"/>
  <c r="R2838" i="9"/>
  <c r="S2838" i="9"/>
  <c r="N2840" i="9" l="1"/>
  <c r="O2840" i="9" s="1"/>
  <c r="P2840" i="9" s="1"/>
  <c r="S2839" i="9"/>
  <c r="R2839" i="9"/>
  <c r="S2840" i="9" l="1"/>
  <c r="N2841" i="9"/>
  <c r="O2841" i="9" s="1"/>
  <c r="P2841" i="9" s="1"/>
  <c r="R2840" i="9"/>
  <c r="N2842" i="9" l="1"/>
  <c r="O2842" i="9" s="1"/>
  <c r="P2842" i="9" s="1"/>
  <c r="S2841" i="9"/>
  <c r="R2841" i="9"/>
  <c r="R2842" i="9" l="1"/>
  <c r="N2843" i="9"/>
  <c r="O2843" i="9" s="1"/>
  <c r="P2843" i="9" s="1"/>
  <c r="S2842" i="9"/>
  <c r="N2844" i="9" l="1"/>
  <c r="O2844" i="9" s="1"/>
  <c r="P2844" i="9" s="1"/>
  <c r="S2843" i="9"/>
  <c r="R2843" i="9"/>
  <c r="N2845" i="9" l="1"/>
  <c r="O2845" i="9" s="1"/>
  <c r="P2845" i="9" s="1"/>
  <c r="S2844" i="9"/>
  <c r="R2844" i="9"/>
  <c r="N2846" i="9" l="1"/>
  <c r="O2846" i="9" s="1"/>
  <c r="P2846" i="9" s="1"/>
  <c r="S2845" i="9"/>
  <c r="R2845" i="9"/>
  <c r="N2847" i="9" l="1"/>
  <c r="O2847" i="9" s="1"/>
  <c r="P2847" i="9" s="1"/>
  <c r="R2846" i="9"/>
  <c r="S2846" i="9"/>
  <c r="N2848" i="9" l="1"/>
  <c r="O2848" i="9" s="1"/>
  <c r="P2848" i="9" s="1"/>
  <c r="S2847" i="9"/>
  <c r="R2847" i="9"/>
  <c r="S2848" i="9" l="1"/>
  <c r="R2848" i="9"/>
  <c r="N2849" i="9"/>
  <c r="O2849" i="9" s="1"/>
  <c r="P2849" i="9" s="1"/>
  <c r="N2850" i="9" l="1"/>
  <c r="O2850" i="9" s="1"/>
  <c r="P2850" i="9" s="1"/>
  <c r="S2849" i="9"/>
  <c r="R2849" i="9"/>
  <c r="N2851" i="9" l="1"/>
  <c r="O2851" i="9" s="1"/>
  <c r="P2851" i="9" s="1"/>
  <c r="R2850" i="9"/>
  <c r="S2850" i="9"/>
  <c r="N2852" i="9" l="1"/>
  <c r="O2852" i="9" s="1"/>
  <c r="P2852" i="9" s="1"/>
  <c r="S2851" i="9"/>
  <c r="R2851" i="9"/>
  <c r="N2853" i="9" l="1"/>
  <c r="O2853" i="9" s="1"/>
  <c r="P2853" i="9" s="1"/>
  <c r="S2852" i="9"/>
  <c r="R2852" i="9"/>
  <c r="N2854" i="9" l="1"/>
  <c r="O2854" i="9" s="1"/>
  <c r="P2854" i="9" s="1"/>
  <c r="S2853" i="9"/>
  <c r="R2853" i="9"/>
  <c r="N2855" i="9" l="1"/>
  <c r="O2855" i="9" s="1"/>
  <c r="P2855" i="9" s="1"/>
  <c r="R2854" i="9"/>
  <c r="S2854" i="9"/>
  <c r="N2856" i="9" l="1"/>
  <c r="O2856" i="9" s="1"/>
  <c r="P2856" i="9" s="1"/>
  <c r="S2855" i="9"/>
  <c r="R2855" i="9"/>
  <c r="S2856" i="9" l="1"/>
  <c r="N2857" i="9"/>
  <c r="O2857" i="9" s="1"/>
  <c r="P2857" i="9" s="1"/>
  <c r="R2856" i="9"/>
  <c r="N2858" i="9" l="1"/>
  <c r="O2858" i="9" s="1"/>
  <c r="P2858" i="9" s="1"/>
  <c r="S2857" i="9"/>
  <c r="R2857" i="9"/>
  <c r="N2859" i="9" l="1"/>
  <c r="O2859" i="9" s="1"/>
  <c r="P2859" i="9" s="1"/>
  <c r="R2858" i="9"/>
  <c r="S2858" i="9"/>
  <c r="N2860" i="9" l="1"/>
  <c r="O2860" i="9" s="1"/>
  <c r="P2860" i="9" s="1"/>
  <c r="S2859" i="9"/>
  <c r="R2859" i="9"/>
  <c r="N2861" i="9" l="1"/>
  <c r="O2861" i="9" s="1"/>
  <c r="P2861" i="9" s="1"/>
  <c r="S2860" i="9"/>
  <c r="R2860" i="9"/>
  <c r="N2862" i="9" l="1"/>
  <c r="O2862" i="9" s="1"/>
  <c r="P2862" i="9" s="1"/>
  <c r="S2861" i="9"/>
  <c r="R2861" i="9"/>
  <c r="N2863" i="9" l="1"/>
  <c r="O2863" i="9" s="1"/>
  <c r="P2863" i="9" s="1"/>
  <c r="R2862" i="9"/>
  <c r="S2862" i="9"/>
  <c r="N2864" i="9" l="1"/>
  <c r="O2864" i="9" s="1"/>
  <c r="P2864" i="9" s="1"/>
  <c r="S2863" i="9"/>
  <c r="R2863" i="9"/>
  <c r="S2864" i="9" l="1"/>
  <c r="R2864" i="9"/>
  <c r="N2865" i="9"/>
  <c r="O2865" i="9" s="1"/>
  <c r="P2865" i="9" s="1"/>
  <c r="N2866" i="9" l="1"/>
  <c r="O2866" i="9" s="1"/>
  <c r="P2866" i="9" s="1"/>
  <c r="S2865" i="9"/>
  <c r="R2865" i="9"/>
  <c r="N2867" i="9" l="1"/>
  <c r="O2867" i="9" s="1"/>
  <c r="P2867" i="9" s="1"/>
  <c r="R2866" i="9"/>
  <c r="S2866" i="9"/>
  <c r="N2868" i="9" l="1"/>
  <c r="O2868" i="9" s="1"/>
  <c r="P2868" i="9" s="1"/>
  <c r="S2867" i="9"/>
  <c r="R2867" i="9"/>
  <c r="N2869" i="9" l="1"/>
  <c r="O2869" i="9" s="1"/>
  <c r="P2869" i="9" s="1"/>
  <c r="S2868" i="9"/>
  <c r="R2868" i="9"/>
  <c r="N2870" i="9" l="1"/>
  <c r="O2870" i="9" s="1"/>
  <c r="P2870" i="9" s="1"/>
  <c r="S2869" i="9"/>
  <c r="R2869" i="9"/>
  <c r="N2871" i="9" l="1"/>
  <c r="O2871" i="9" s="1"/>
  <c r="P2871" i="9" s="1"/>
  <c r="R2870" i="9"/>
  <c r="S2870" i="9"/>
  <c r="N2872" i="9" l="1"/>
  <c r="O2872" i="9" s="1"/>
  <c r="P2872" i="9" s="1"/>
  <c r="S2871" i="9"/>
  <c r="R2871" i="9"/>
  <c r="S2872" i="9" l="1"/>
  <c r="N2873" i="9"/>
  <c r="O2873" i="9" s="1"/>
  <c r="P2873" i="9" s="1"/>
  <c r="R2872" i="9"/>
  <c r="N2874" i="9" l="1"/>
  <c r="O2874" i="9" s="1"/>
  <c r="P2874" i="9" s="1"/>
  <c r="S2873" i="9"/>
  <c r="R2873" i="9"/>
  <c r="N2875" i="9" l="1"/>
  <c r="O2875" i="9" s="1"/>
  <c r="P2875" i="9" s="1"/>
  <c r="R2874" i="9"/>
  <c r="S2874" i="9"/>
  <c r="N2876" i="9" l="1"/>
  <c r="O2876" i="9" s="1"/>
  <c r="P2876" i="9" s="1"/>
  <c r="S2875" i="9"/>
  <c r="R2875" i="9"/>
  <c r="N2877" i="9" l="1"/>
  <c r="O2877" i="9" s="1"/>
  <c r="P2877" i="9" s="1"/>
  <c r="S2876" i="9"/>
  <c r="R2876" i="9"/>
  <c r="N2878" i="9" l="1"/>
  <c r="O2878" i="9" s="1"/>
  <c r="P2878" i="9" s="1"/>
  <c r="S2877" i="9"/>
  <c r="R2877" i="9"/>
  <c r="N2879" i="9" l="1"/>
  <c r="O2879" i="9" s="1"/>
  <c r="P2879" i="9" s="1"/>
  <c r="R2878" i="9"/>
  <c r="S2878" i="9"/>
  <c r="N2880" i="9" l="1"/>
  <c r="O2880" i="9" s="1"/>
  <c r="P2880" i="9" s="1"/>
  <c r="S2879" i="9"/>
  <c r="R2879" i="9"/>
  <c r="S2880" i="9" l="1"/>
  <c r="R2880" i="9"/>
  <c r="N2881" i="9"/>
  <c r="O2881" i="9" s="1"/>
  <c r="P2881" i="9" s="1"/>
  <c r="N2882" i="9" l="1"/>
  <c r="O2882" i="9" s="1"/>
  <c r="P2882" i="9" s="1"/>
  <c r="S2881" i="9"/>
  <c r="R2881" i="9"/>
  <c r="N2883" i="9" l="1"/>
  <c r="O2883" i="9" s="1"/>
  <c r="P2883" i="9" s="1"/>
  <c r="R2882" i="9"/>
  <c r="S2882" i="9"/>
  <c r="N2884" i="9" l="1"/>
  <c r="O2884" i="9" s="1"/>
  <c r="P2884" i="9" s="1"/>
  <c r="S2883" i="9"/>
  <c r="R2883" i="9"/>
  <c r="N2885" i="9" l="1"/>
  <c r="O2885" i="9" s="1"/>
  <c r="P2885" i="9" s="1"/>
  <c r="S2884" i="9"/>
  <c r="R2884" i="9"/>
  <c r="N2886" i="9" l="1"/>
  <c r="O2886" i="9" s="1"/>
  <c r="P2886" i="9" s="1"/>
  <c r="S2885" i="9"/>
  <c r="R2885" i="9"/>
  <c r="N2887" i="9" l="1"/>
  <c r="O2887" i="9" s="1"/>
  <c r="P2887" i="9" s="1"/>
  <c r="R2886" i="9"/>
  <c r="S2886" i="9"/>
  <c r="N2888" i="9" l="1"/>
  <c r="O2888" i="9" s="1"/>
  <c r="P2888" i="9" s="1"/>
  <c r="S2887" i="9"/>
  <c r="R2887" i="9"/>
  <c r="S2888" i="9" l="1"/>
  <c r="N2889" i="9"/>
  <c r="O2889" i="9" s="1"/>
  <c r="P2889" i="9" s="1"/>
  <c r="R2888" i="9"/>
  <c r="N2890" i="9" l="1"/>
  <c r="O2890" i="9" s="1"/>
  <c r="P2890" i="9" s="1"/>
  <c r="S2889" i="9"/>
  <c r="R2889" i="9"/>
  <c r="R2890" i="9" l="1"/>
  <c r="N2891" i="9"/>
  <c r="O2891" i="9" s="1"/>
  <c r="P2891" i="9" s="1"/>
  <c r="S2890" i="9"/>
  <c r="N2892" i="9" l="1"/>
  <c r="O2892" i="9" s="1"/>
  <c r="P2892" i="9" s="1"/>
  <c r="S2891" i="9"/>
  <c r="R2891" i="9"/>
  <c r="N2893" i="9" l="1"/>
  <c r="O2893" i="9" s="1"/>
  <c r="P2893" i="9" s="1"/>
  <c r="S2892" i="9"/>
  <c r="R2892" i="9"/>
  <c r="N2894" i="9" l="1"/>
  <c r="O2894" i="9" s="1"/>
  <c r="P2894" i="9" s="1"/>
  <c r="S2893" i="9"/>
  <c r="R2893" i="9"/>
  <c r="N2895" i="9" l="1"/>
  <c r="O2895" i="9" s="1"/>
  <c r="P2895" i="9" s="1"/>
  <c r="R2894" i="9"/>
  <c r="S2894" i="9"/>
  <c r="N2896" i="9" l="1"/>
  <c r="O2896" i="9" s="1"/>
  <c r="P2896" i="9" s="1"/>
  <c r="S2895" i="9"/>
  <c r="R2895" i="9"/>
  <c r="S2896" i="9" l="1"/>
  <c r="R2896" i="9"/>
  <c r="N2897" i="9"/>
  <c r="O2897" i="9" s="1"/>
  <c r="P2897" i="9" s="1"/>
  <c r="N2898" i="9" l="1"/>
  <c r="O2898" i="9" s="1"/>
  <c r="P2898" i="9" s="1"/>
  <c r="S2897" i="9"/>
  <c r="R2897" i="9"/>
  <c r="N2899" i="9" l="1"/>
  <c r="O2899" i="9" s="1"/>
  <c r="P2899" i="9" s="1"/>
  <c r="R2898" i="9"/>
  <c r="S2898" i="9"/>
  <c r="N2900" i="9" l="1"/>
  <c r="O2900" i="9" s="1"/>
  <c r="P2900" i="9" s="1"/>
  <c r="S2899" i="9"/>
  <c r="R2899" i="9"/>
  <c r="N2901" i="9" l="1"/>
  <c r="O2901" i="9" s="1"/>
  <c r="P2901" i="9" s="1"/>
  <c r="S2900" i="9"/>
  <c r="R2900" i="9"/>
  <c r="N2902" i="9" l="1"/>
  <c r="O2902" i="9" s="1"/>
  <c r="P2902" i="9" s="1"/>
  <c r="S2901" i="9"/>
  <c r="R2901" i="9"/>
  <c r="N2903" i="9" l="1"/>
  <c r="O2903" i="9" s="1"/>
  <c r="P2903" i="9" s="1"/>
  <c r="R2902" i="9"/>
  <c r="S2902" i="9"/>
  <c r="N2904" i="9" l="1"/>
  <c r="O2904" i="9" s="1"/>
  <c r="P2904" i="9" s="1"/>
  <c r="S2903" i="9"/>
  <c r="R2903" i="9"/>
  <c r="S2904" i="9" l="1"/>
  <c r="N2905" i="9"/>
  <c r="O2905" i="9" s="1"/>
  <c r="P2905" i="9" s="1"/>
  <c r="R2904" i="9"/>
  <c r="N2906" i="9" l="1"/>
  <c r="O2906" i="9" s="1"/>
  <c r="P2906" i="9" s="1"/>
  <c r="S2905" i="9"/>
  <c r="R2905" i="9"/>
  <c r="N2907" i="9" l="1"/>
  <c r="O2907" i="9" s="1"/>
  <c r="P2907" i="9" s="1"/>
  <c r="R2906" i="9"/>
  <c r="S2906" i="9"/>
  <c r="N2908" i="9" l="1"/>
  <c r="O2908" i="9" s="1"/>
  <c r="P2908" i="9" s="1"/>
  <c r="S2907" i="9"/>
  <c r="R2907" i="9"/>
  <c r="N2909" i="9" l="1"/>
  <c r="O2909" i="9" s="1"/>
  <c r="P2909" i="9" s="1"/>
  <c r="S2908" i="9"/>
  <c r="R2908" i="9"/>
  <c r="N2910" i="9" l="1"/>
  <c r="O2910" i="9" s="1"/>
  <c r="P2910" i="9" s="1"/>
  <c r="S2909" i="9"/>
  <c r="R2909" i="9"/>
  <c r="N2911" i="9" l="1"/>
  <c r="O2911" i="9" s="1"/>
  <c r="P2911" i="9" s="1"/>
  <c r="R2910" i="9"/>
  <c r="S2910" i="9"/>
  <c r="N2912" i="9" l="1"/>
  <c r="O2912" i="9" s="1"/>
  <c r="P2912" i="9" s="1"/>
  <c r="S2911" i="9"/>
  <c r="R2911" i="9"/>
  <c r="S2912" i="9" l="1"/>
  <c r="R2912" i="9"/>
  <c r="N2913" i="9"/>
  <c r="O2913" i="9" s="1"/>
  <c r="P2913" i="9" s="1"/>
  <c r="N2914" i="9" l="1"/>
  <c r="O2914" i="9" s="1"/>
  <c r="P2914" i="9" s="1"/>
  <c r="S2913" i="9"/>
  <c r="R2913" i="9"/>
  <c r="N2915" i="9" l="1"/>
  <c r="O2915" i="9" s="1"/>
  <c r="P2915" i="9" s="1"/>
  <c r="R2914" i="9"/>
  <c r="S2914" i="9"/>
  <c r="N2916" i="9" l="1"/>
  <c r="O2916" i="9" s="1"/>
  <c r="P2916" i="9" s="1"/>
  <c r="S2915" i="9"/>
  <c r="R2915" i="9"/>
  <c r="N2917" i="9" l="1"/>
  <c r="O2917" i="9" s="1"/>
  <c r="P2917" i="9" s="1"/>
  <c r="R2916" i="9"/>
  <c r="S2916" i="9"/>
  <c r="N2918" i="9" l="1"/>
  <c r="O2918" i="9" s="1"/>
  <c r="P2918" i="9" s="1"/>
  <c r="S2917" i="9"/>
  <c r="R2917" i="9"/>
  <c r="N2919" i="9" l="1"/>
  <c r="O2919" i="9" s="1"/>
  <c r="P2919" i="9" s="1"/>
  <c r="R2918" i="9"/>
  <c r="S2918" i="9"/>
  <c r="N2920" i="9" l="1"/>
  <c r="O2920" i="9" s="1"/>
  <c r="P2920" i="9" s="1"/>
  <c r="S2919" i="9"/>
  <c r="R2919" i="9"/>
  <c r="N2921" i="9" l="1"/>
  <c r="O2921" i="9" s="1"/>
  <c r="P2921" i="9" s="1"/>
  <c r="R2920" i="9"/>
  <c r="S2920" i="9"/>
  <c r="N2922" i="9" l="1"/>
  <c r="O2922" i="9" s="1"/>
  <c r="P2922" i="9" s="1"/>
  <c r="S2921" i="9"/>
  <c r="R2921" i="9"/>
  <c r="R2922" i="9" l="1"/>
  <c r="N2923" i="9"/>
  <c r="O2923" i="9" s="1"/>
  <c r="P2923" i="9" s="1"/>
  <c r="S2922" i="9"/>
  <c r="N2924" i="9" l="1"/>
  <c r="O2924" i="9" s="1"/>
  <c r="P2924" i="9" s="1"/>
  <c r="S2923" i="9"/>
  <c r="R2923" i="9"/>
  <c r="N2925" i="9" l="1"/>
  <c r="O2925" i="9" s="1"/>
  <c r="P2925" i="9" s="1"/>
  <c r="R2924" i="9"/>
  <c r="S2924" i="9"/>
  <c r="N2926" i="9" l="1"/>
  <c r="O2926" i="9" s="1"/>
  <c r="P2926" i="9" s="1"/>
  <c r="S2925" i="9"/>
  <c r="R2925" i="9"/>
  <c r="N2927" i="9" l="1"/>
  <c r="O2927" i="9" s="1"/>
  <c r="P2927" i="9" s="1"/>
  <c r="S2926" i="9"/>
  <c r="R2926" i="9"/>
  <c r="N2928" i="9" l="1"/>
  <c r="O2928" i="9" s="1"/>
  <c r="P2928" i="9" s="1"/>
  <c r="S2927" i="9"/>
  <c r="R2927" i="9"/>
  <c r="R2928" i="9" l="1"/>
  <c r="S2928" i="9"/>
  <c r="N2929" i="9"/>
  <c r="O2929" i="9" s="1"/>
  <c r="P2929" i="9" s="1"/>
  <c r="N2930" i="9" l="1"/>
  <c r="O2930" i="9" s="1"/>
  <c r="P2930" i="9" s="1"/>
  <c r="S2929" i="9"/>
  <c r="R2929" i="9"/>
  <c r="N2931" i="9" l="1"/>
  <c r="O2931" i="9" s="1"/>
  <c r="P2931" i="9" s="1"/>
  <c r="R2930" i="9"/>
  <c r="S2930" i="9"/>
  <c r="N2932" i="9" l="1"/>
  <c r="O2932" i="9" s="1"/>
  <c r="P2932" i="9" s="1"/>
  <c r="S2931" i="9"/>
  <c r="R2931" i="9"/>
  <c r="N2933" i="9" l="1"/>
  <c r="O2933" i="9" s="1"/>
  <c r="P2933" i="9" s="1"/>
  <c r="S2932" i="9"/>
  <c r="R2932" i="9"/>
  <c r="N2934" i="9" l="1"/>
  <c r="O2934" i="9" s="1"/>
  <c r="P2934" i="9" s="1"/>
  <c r="S2933" i="9"/>
  <c r="R2933" i="9"/>
  <c r="N2935" i="9" l="1"/>
  <c r="O2935" i="9" s="1"/>
  <c r="P2935" i="9" s="1"/>
  <c r="R2934" i="9"/>
  <c r="S2934" i="9"/>
  <c r="N2936" i="9" l="1"/>
  <c r="O2936" i="9" s="1"/>
  <c r="P2936" i="9" s="1"/>
  <c r="S2935" i="9"/>
  <c r="R2935" i="9"/>
  <c r="S2936" i="9" l="1"/>
  <c r="N2937" i="9"/>
  <c r="O2937" i="9" s="1"/>
  <c r="P2937" i="9" s="1"/>
  <c r="R2936" i="9"/>
  <c r="N2938" i="9" l="1"/>
  <c r="O2938" i="9" s="1"/>
  <c r="P2938" i="9" s="1"/>
  <c r="S2937" i="9"/>
  <c r="R2937" i="9"/>
  <c r="N2939" i="9" l="1"/>
  <c r="O2939" i="9" s="1"/>
  <c r="P2939" i="9" s="1"/>
  <c r="R2938" i="9"/>
  <c r="S2938" i="9"/>
  <c r="N2940" i="9" l="1"/>
  <c r="O2940" i="9" s="1"/>
  <c r="P2940" i="9" s="1"/>
  <c r="S2939" i="9"/>
  <c r="R2939" i="9"/>
  <c r="N2941" i="9" l="1"/>
  <c r="O2941" i="9" s="1"/>
  <c r="P2941" i="9" s="1"/>
  <c r="S2940" i="9"/>
  <c r="R2940" i="9"/>
  <c r="N2942" i="9" l="1"/>
  <c r="O2942" i="9" s="1"/>
  <c r="P2942" i="9" s="1"/>
  <c r="S2941" i="9"/>
  <c r="R2941" i="9"/>
  <c r="N2943" i="9" l="1"/>
  <c r="O2943" i="9" s="1"/>
  <c r="P2943" i="9" s="1"/>
  <c r="R2942" i="9"/>
  <c r="S2942" i="9"/>
  <c r="N2944" i="9" l="1"/>
  <c r="O2944" i="9" s="1"/>
  <c r="P2944" i="9" s="1"/>
  <c r="S2943" i="9"/>
  <c r="R2943" i="9"/>
  <c r="S2944" i="9" l="1"/>
  <c r="R2944" i="9"/>
  <c r="N2945" i="9"/>
  <c r="O2945" i="9" s="1"/>
  <c r="P2945" i="9" s="1"/>
  <c r="N2946" i="9" l="1"/>
  <c r="O2946" i="9" s="1"/>
  <c r="P2946" i="9" s="1"/>
  <c r="S2945" i="9"/>
  <c r="R2945" i="9"/>
  <c r="N2947" i="9" l="1"/>
  <c r="O2947" i="9" s="1"/>
  <c r="P2947" i="9" s="1"/>
  <c r="R2946" i="9"/>
  <c r="S2946" i="9"/>
  <c r="N2948" i="9" l="1"/>
  <c r="O2948" i="9" s="1"/>
  <c r="P2948" i="9" s="1"/>
  <c r="S2947" i="9"/>
  <c r="R2947" i="9"/>
  <c r="N2949" i="9" l="1"/>
  <c r="O2949" i="9" s="1"/>
  <c r="P2949" i="9" s="1"/>
  <c r="S2948" i="9"/>
  <c r="R2948" i="9"/>
  <c r="N2950" i="9" l="1"/>
  <c r="O2950" i="9" s="1"/>
  <c r="P2950" i="9" s="1"/>
  <c r="S2949" i="9"/>
  <c r="R2949" i="9"/>
  <c r="N2951" i="9" l="1"/>
  <c r="O2951" i="9" s="1"/>
  <c r="P2951" i="9" s="1"/>
  <c r="R2950" i="9"/>
  <c r="S2950" i="9"/>
  <c r="N2952" i="9" l="1"/>
  <c r="O2952" i="9" s="1"/>
  <c r="P2952" i="9" s="1"/>
  <c r="S2951" i="9"/>
  <c r="R2951" i="9"/>
  <c r="S2952" i="9" l="1"/>
  <c r="N2953" i="9"/>
  <c r="O2953" i="9" s="1"/>
  <c r="P2953" i="9" s="1"/>
  <c r="R2952" i="9"/>
  <c r="N2954" i="9" l="1"/>
  <c r="O2954" i="9" s="1"/>
  <c r="P2954" i="9" s="1"/>
  <c r="S2953" i="9"/>
  <c r="R2953" i="9"/>
  <c r="R2954" i="9" l="1"/>
  <c r="N2955" i="9"/>
  <c r="O2955" i="9" s="1"/>
  <c r="P2955" i="9" s="1"/>
  <c r="S2954" i="9"/>
  <c r="N2956" i="9" l="1"/>
  <c r="O2956" i="9" s="1"/>
  <c r="P2956" i="9" s="1"/>
  <c r="S2955" i="9"/>
  <c r="R2955" i="9"/>
  <c r="N2957" i="9" l="1"/>
  <c r="O2957" i="9" s="1"/>
  <c r="P2957" i="9" s="1"/>
  <c r="S2956" i="9"/>
  <c r="R2956" i="9"/>
  <c r="N2958" i="9" l="1"/>
  <c r="O2958" i="9" s="1"/>
  <c r="P2958" i="9" s="1"/>
  <c r="S2957" i="9"/>
  <c r="R2957" i="9"/>
  <c r="N2959" i="9" l="1"/>
  <c r="O2959" i="9" s="1"/>
  <c r="P2959" i="9" s="1"/>
  <c r="R2958" i="9"/>
  <c r="S2958" i="9"/>
  <c r="N2960" i="9" l="1"/>
  <c r="O2960" i="9" s="1"/>
  <c r="P2960" i="9" s="1"/>
  <c r="S2959" i="9"/>
  <c r="R2959" i="9"/>
  <c r="S2960" i="9" l="1"/>
  <c r="R2960" i="9"/>
  <c r="N2961" i="9"/>
  <c r="O2961" i="9" s="1"/>
  <c r="P2961" i="9" s="1"/>
  <c r="N2962" i="9" l="1"/>
  <c r="O2962" i="9" s="1"/>
  <c r="P2962" i="9" s="1"/>
  <c r="S2961" i="9"/>
  <c r="R2961" i="9"/>
  <c r="N2963" i="9" l="1"/>
  <c r="O2963" i="9" s="1"/>
  <c r="P2963" i="9" s="1"/>
  <c r="R2962" i="9"/>
  <c r="S2962" i="9"/>
  <c r="N2964" i="9" l="1"/>
  <c r="O2964" i="9" s="1"/>
  <c r="P2964" i="9" s="1"/>
  <c r="S2963" i="9"/>
  <c r="R2963" i="9"/>
  <c r="N2965" i="9" l="1"/>
  <c r="O2965" i="9" s="1"/>
  <c r="P2965" i="9" s="1"/>
  <c r="S2964" i="9"/>
  <c r="R2964" i="9"/>
  <c r="N2966" i="9" l="1"/>
  <c r="O2966" i="9" s="1"/>
  <c r="P2966" i="9" s="1"/>
  <c r="S2965" i="9"/>
  <c r="R2965" i="9"/>
  <c r="N2967" i="9" l="1"/>
  <c r="O2967" i="9" s="1"/>
  <c r="P2967" i="9" s="1"/>
  <c r="R2966" i="9"/>
  <c r="S2966" i="9"/>
  <c r="N2968" i="9" l="1"/>
  <c r="O2968" i="9" s="1"/>
  <c r="P2968" i="9" s="1"/>
  <c r="S2967" i="9"/>
  <c r="R2967" i="9"/>
  <c r="S2968" i="9" l="1"/>
  <c r="N2969" i="9"/>
  <c r="O2969" i="9" s="1"/>
  <c r="P2969" i="9" s="1"/>
  <c r="R2968" i="9"/>
  <c r="N2970" i="9" l="1"/>
  <c r="O2970" i="9" s="1"/>
  <c r="P2970" i="9" s="1"/>
  <c r="S2969" i="9"/>
  <c r="R2969" i="9"/>
  <c r="N2971" i="9" l="1"/>
  <c r="O2971" i="9" s="1"/>
  <c r="P2971" i="9" s="1"/>
  <c r="R2970" i="9"/>
  <c r="S2970" i="9"/>
  <c r="N2972" i="9" l="1"/>
  <c r="O2972" i="9" s="1"/>
  <c r="P2972" i="9" s="1"/>
  <c r="S2971" i="9"/>
  <c r="R2971" i="9"/>
  <c r="N2973" i="9" l="1"/>
  <c r="O2973" i="9" s="1"/>
  <c r="P2973" i="9" s="1"/>
  <c r="S2972" i="9"/>
  <c r="R2972" i="9"/>
  <c r="N2974" i="9" l="1"/>
  <c r="O2974" i="9" s="1"/>
  <c r="P2974" i="9" s="1"/>
  <c r="S2973" i="9"/>
  <c r="R2973" i="9"/>
  <c r="N2975" i="9" l="1"/>
  <c r="O2975" i="9" s="1"/>
  <c r="P2975" i="9" s="1"/>
  <c r="R2974" i="9"/>
  <c r="S2974" i="9"/>
  <c r="N2976" i="9" l="1"/>
  <c r="O2976" i="9" s="1"/>
  <c r="P2976" i="9" s="1"/>
  <c r="S2975" i="9"/>
  <c r="R2975" i="9"/>
  <c r="S2976" i="9" l="1"/>
  <c r="R2976" i="9"/>
  <c r="N2977" i="9"/>
  <c r="O2977" i="9" s="1"/>
  <c r="P2977" i="9" s="1"/>
  <c r="N2978" i="9" l="1"/>
  <c r="O2978" i="9" s="1"/>
  <c r="P2978" i="9" s="1"/>
  <c r="S2977" i="9"/>
  <c r="R2977" i="9"/>
  <c r="N2979" i="9" l="1"/>
  <c r="O2979" i="9" s="1"/>
  <c r="P2979" i="9" s="1"/>
  <c r="R2978" i="9"/>
  <c r="S2978" i="9"/>
  <c r="N2980" i="9" l="1"/>
  <c r="O2980" i="9" s="1"/>
  <c r="P2980" i="9" s="1"/>
  <c r="S2979" i="9"/>
  <c r="R2979" i="9"/>
  <c r="N2981" i="9" l="1"/>
  <c r="O2981" i="9" s="1"/>
  <c r="P2981" i="9" s="1"/>
  <c r="S2980" i="9"/>
  <c r="R2980" i="9"/>
  <c r="N2982" i="9" l="1"/>
  <c r="O2982" i="9" s="1"/>
  <c r="P2982" i="9" s="1"/>
  <c r="S2981" i="9"/>
  <c r="R2981" i="9"/>
  <c r="N2983" i="9" l="1"/>
  <c r="O2983" i="9" s="1"/>
  <c r="P2983" i="9" s="1"/>
  <c r="R2982" i="9"/>
  <c r="S2982" i="9"/>
  <c r="N2984" i="9" l="1"/>
  <c r="O2984" i="9" s="1"/>
  <c r="P2984" i="9" s="1"/>
  <c r="S2983" i="9"/>
  <c r="R2983" i="9"/>
  <c r="S2984" i="9" l="1"/>
  <c r="N2985" i="9"/>
  <c r="O2985" i="9" s="1"/>
  <c r="P2985" i="9" s="1"/>
  <c r="R2984" i="9"/>
  <c r="N2986" i="9" l="1"/>
  <c r="O2986" i="9" s="1"/>
  <c r="P2986" i="9" s="1"/>
  <c r="S2985" i="9"/>
  <c r="R2985" i="9"/>
  <c r="R2986" i="9" l="1"/>
  <c r="N2987" i="9"/>
  <c r="O2987" i="9" s="1"/>
  <c r="P2987" i="9" s="1"/>
  <c r="S2986" i="9"/>
  <c r="N2988" i="9" l="1"/>
  <c r="O2988" i="9" s="1"/>
  <c r="P2988" i="9" s="1"/>
  <c r="S2987" i="9"/>
  <c r="R2987" i="9"/>
  <c r="N2989" i="9" l="1"/>
  <c r="O2989" i="9" s="1"/>
  <c r="P2989" i="9" s="1"/>
  <c r="S2988" i="9"/>
  <c r="R2988" i="9"/>
  <c r="N2990" i="9" l="1"/>
  <c r="O2990" i="9" s="1"/>
  <c r="P2990" i="9" s="1"/>
  <c r="S2989" i="9"/>
  <c r="R2989" i="9"/>
  <c r="N2991" i="9" l="1"/>
  <c r="O2991" i="9" s="1"/>
  <c r="P2991" i="9" s="1"/>
  <c r="R2990" i="9"/>
  <c r="S2990" i="9"/>
  <c r="N2992" i="9" l="1"/>
  <c r="O2992" i="9" s="1"/>
  <c r="P2992" i="9" s="1"/>
  <c r="S2991" i="9"/>
  <c r="R2991" i="9"/>
  <c r="S2992" i="9" l="1"/>
  <c r="R2992" i="9"/>
  <c r="N2993" i="9"/>
  <c r="O2993" i="9" s="1"/>
  <c r="P2993" i="9" s="1"/>
  <c r="N2994" i="9" l="1"/>
  <c r="O2994" i="9" s="1"/>
  <c r="P2994" i="9" s="1"/>
  <c r="S2993" i="9"/>
  <c r="R2993" i="9"/>
  <c r="N2995" i="9" l="1"/>
  <c r="O2995" i="9" s="1"/>
  <c r="P2995" i="9" s="1"/>
  <c r="R2994" i="9"/>
  <c r="S2994" i="9"/>
  <c r="N2996" i="9" l="1"/>
  <c r="O2996" i="9" s="1"/>
  <c r="P2996" i="9" s="1"/>
  <c r="S2995" i="9"/>
  <c r="R2995" i="9"/>
  <c r="N2997" i="9" l="1"/>
  <c r="O2997" i="9" s="1"/>
  <c r="P2997" i="9" s="1"/>
  <c r="S2996" i="9"/>
  <c r="R2996" i="9"/>
  <c r="N2998" i="9" l="1"/>
  <c r="O2998" i="9" s="1"/>
  <c r="P2998" i="9" s="1"/>
  <c r="S2997" i="9"/>
  <c r="R2997" i="9"/>
  <c r="N2999" i="9" l="1"/>
  <c r="O2999" i="9" s="1"/>
  <c r="P2999" i="9" s="1"/>
  <c r="R2998" i="9"/>
  <c r="S2998" i="9"/>
  <c r="N3000" i="9" l="1"/>
  <c r="O3000" i="9" s="1"/>
  <c r="P3000" i="9" s="1"/>
  <c r="S2999" i="9"/>
  <c r="R2999" i="9"/>
  <c r="S3000" i="9" l="1"/>
  <c r="N3001" i="9"/>
  <c r="O3001" i="9" s="1"/>
  <c r="P3001" i="9" s="1"/>
  <c r="R3000" i="9"/>
  <c r="N3002" i="9" l="1"/>
  <c r="O3002" i="9" s="1"/>
  <c r="P3002" i="9" s="1"/>
  <c r="S3001" i="9"/>
  <c r="R3001" i="9"/>
  <c r="N3003" i="9" l="1"/>
  <c r="O3003" i="9" s="1"/>
  <c r="P3003" i="9" s="1"/>
  <c r="R3002" i="9"/>
  <c r="S3002" i="9"/>
  <c r="N3004" i="9" l="1"/>
  <c r="O3004" i="9" s="1"/>
  <c r="P3004" i="9" s="1"/>
  <c r="S3003" i="9"/>
  <c r="R3003" i="9"/>
  <c r="N3005" i="9" l="1"/>
  <c r="O3005" i="9" s="1"/>
  <c r="P3005" i="9" s="1"/>
  <c r="S3004" i="9"/>
  <c r="R3004" i="9"/>
  <c r="N3006" i="9" l="1"/>
  <c r="O3006" i="9" s="1"/>
  <c r="P3006" i="9" s="1"/>
  <c r="S3005" i="9"/>
  <c r="R3005" i="9"/>
  <c r="N3007" i="9" l="1"/>
  <c r="O3007" i="9" s="1"/>
  <c r="P3007" i="9" s="1"/>
  <c r="R3006" i="9"/>
  <c r="S3006" i="9"/>
  <c r="N3008" i="9" l="1"/>
  <c r="O3008" i="9" s="1"/>
  <c r="P3008" i="9" s="1"/>
  <c r="S3007" i="9"/>
  <c r="R3007" i="9"/>
  <c r="S3008" i="9" l="1"/>
  <c r="R3008" i="9"/>
  <c r="N3009" i="9"/>
  <c r="O3009" i="9" s="1"/>
  <c r="P3009" i="9" s="1"/>
  <c r="N3010" i="9" l="1"/>
  <c r="O3010" i="9" s="1"/>
  <c r="P3010" i="9" s="1"/>
  <c r="S3009" i="9"/>
  <c r="R3009" i="9"/>
  <c r="N3011" i="9" l="1"/>
  <c r="O3011" i="9" s="1"/>
  <c r="P3011" i="9" s="1"/>
  <c r="R3010" i="9"/>
  <c r="S3010" i="9"/>
  <c r="N3012" i="9" l="1"/>
  <c r="O3012" i="9" s="1"/>
  <c r="P3012" i="9" s="1"/>
  <c r="S3011" i="9"/>
  <c r="R3011" i="9"/>
  <c r="N3013" i="9" l="1"/>
  <c r="O3013" i="9" s="1"/>
  <c r="P3013" i="9" s="1"/>
  <c r="S3012" i="9"/>
  <c r="R3012" i="9"/>
  <c r="N3014" i="9" l="1"/>
  <c r="O3014" i="9" s="1"/>
  <c r="P3014" i="9" s="1"/>
  <c r="S3013" i="9"/>
  <c r="R3013" i="9"/>
  <c r="N3015" i="9" l="1"/>
  <c r="O3015" i="9" s="1"/>
  <c r="P3015" i="9" s="1"/>
  <c r="R3014" i="9"/>
  <c r="S3014" i="9"/>
  <c r="N3016" i="9" l="1"/>
  <c r="O3016" i="9" s="1"/>
  <c r="P3016" i="9" s="1"/>
  <c r="S3015" i="9"/>
  <c r="R3015" i="9"/>
  <c r="S3016" i="9" l="1"/>
  <c r="N3017" i="9"/>
  <c r="O3017" i="9" s="1"/>
  <c r="P3017" i="9" s="1"/>
  <c r="R3016" i="9"/>
  <c r="N3018" i="9" l="1"/>
  <c r="O3018" i="9" s="1"/>
  <c r="P3018" i="9" s="1"/>
  <c r="S3017" i="9"/>
  <c r="R3017" i="9"/>
  <c r="R3018" i="9" l="1"/>
  <c r="N3019" i="9"/>
  <c r="O3019" i="9" s="1"/>
  <c r="P3019" i="9" s="1"/>
  <c r="S3018" i="9"/>
  <c r="N3020" i="9" l="1"/>
  <c r="O3020" i="9" s="1"/>
  <c r="P3020" i="9" s="1"/>
  <c r="S3019" i="9"/>
  <c r="R3019" i="9"/>
  <c r="N3021" i="9" l="1"/>
  <c r="O3021" i="9" s="1"/>
  <c r="P3021" i="9" s="1"/>
  <c r="S3020" i="9"/>
  <c r="R3020" i="9"/>
  <c r="N3022" i="9" l="1"/>
  <c r="O3022" i="9" s="1"/>
  <c r="P3022" i="9" s="1"/>
  <c r="S3021" i="9"/>
  <c r="R3021" i="9"/>
  <c r="N3023" i="9" l="1"/>
  <c r="O3023" i="9" s="1"/>
  <c r="P3023" i="9" s="1"/>
  <c r="R3022" i="9"/>
  <c r="S3022" i="9"/>
  <c r="N3024" i="9" l="1"/>
  <c r="O3024" i="9" s="1"/>
  <c r="P3024" i="9" s="1"/>
  <c r="S3023" i="9"/>
  <c r="R3023" i="9"/>
  <c r="S3024" i="9" l="1"/>
  <c r="R3024" i="9"/>
</calcChain>
</file>

<file path=xl/comments1.xml><?xml version="1.0" encoding="utf-8"?>
<comments xmlns="http://schemas.openxmlformats.org/spreadsheetml/2006/main">
  <authors>
    <author>Gerry</author>
  </authors>
  <commentList>
    <comment ref="O2" authorId="0" shapeId="0">
      <text>
        <r>
          <rPr>
            <b/>
            <sz val="16"/>
            <color indexed="81"/>
            <rFont val="Tahoma"/>
            <family val="2"/>
          </rPr>
          <t>=B6/B3</t>
        </r>
      </text>
    </comment>
    <comment ref="P2" authorId="0" shapeId="0">
      <text>
        <r>
          <rPr>
            <b/>
            <sz val="12"/>
            <color indexed="81"/>
            <rFont val="Tahoma"/>
            <family val="2"/>
          </rPr>
          <t>=RADIANS(B5)</t>
        </r>
      </text>
    </comment>
    <comment ref="R2" authorId="0" shapeId="0">
      <text>
        <r>
          <rPr>
            <b/>
            <sz val="12"/>
            <color indexed="81"/>
            <rFont val="Tahoma"/>
            <family val="2"/>
          </rPr>
          <t>=$B$3*COS(P2)</t>
        </r>
      </text>
    </comment>
    <comment ref="S2" authorId="0" shapeId="0">
      <text>
        <r>
          <rPr>
            <b/>
            <sz val="12"/>
            <color indexed="81"/>
            <rFont val="Tahoma"/>
            <family val="2"/>
          </rPr>
          <t>=$B$3*SIN(P2)</t>
        </r>
      </text>
    </comment>
    <comment ref="U2" authorId="0" shapeId="0">
      <text>
        <r>
          <rPr>
            <b/>
            <sz val="11"/>
            <color indexed="81"/>
            <rFont val="Tahoma"/>
            <family val="2"/>
          </rPr>
          <t>=OFFSET(R2,B16,0)</t>
        </r>
      </text>
    </comment>
    <comment ref="V2" authorId="0" shapeId="0">
      <text>
        <r>
          <rPr>
            <b/>
            <sz val="11"/>
            <color indexed="81"/>
            <rFont val="Tahoma"/>
            <family val="2"/>
          </rPr>
          <t>=OFFSET(S2,B16,0)</t>
        </r>
      </text>
    </comment>
    <comment ref="Y2" authorId="0" shapeId="0">
      <text>
        <r>
          <rPr>
            <b/>
            <sz val="12"/>
            <color indexed="81"/>
            <rFont val="Tahoma"/>
            <family val="2"/>
          </rPr>
          <t>=OFFSET($R$2,MAX($B$16-$X2*$B$11,0),0)</t>
        </r>
      </text>
    </comment>
    <comment ref="Z2" authorId="0" shapeId="0">
      <text>
        <r>
          <rPr>
            <b/>
            <sz val="12"/>
            <color indexed="81"/>
            <rFont val="Tahoma"/>
            <family val="2"/>
          </rPr>
          <t>=OFFSET($S$2,MAX($B$16-$X2*$B$11,0),0)</t>
        </r>
      </text>
    </comment>
    <comment ref="M3" authorId="0" shapeId="0">
      <text>
        <r>
          <rPr>
            <b/>
            <sz val="14"/>
            <color indexed="81"/>
            <rFont val="Tahoma"/>
            <family val="2"/>
          </rPr>
          <t>=M2+B$13</t>
        </r>
      </text>
    </comment>
    <comment ref="N3" authorId="0" shapeId="0">
      <text>
        <r>
          <rPr>
            <b/>
            <sz val="14"/>
            <color indexed="81"/>
            <rFont val="Tahoma"/>
            <family val="2"/>
          </rPr>
          <t>=-$B$12*$B$3*COS(P2)-B$10*O2</t>
        </r>
      </text>
    </comment>
    <comment ref="O3" authorId="0" shapeId="0">
      <text>
        <r>
          <rPr>
            <b/>
            <sz val="12"/>
            <color indexed="81"/>
            <rFont val="Tahoma"/>
            <family val="2"/>
          </rPr>
          <t>=N3*$B$13+O2</t>
        </r>
      </text>
    </comment>
    <comment ref="P3" authorId="0" shapeId="0">
      <text>
        <r>
          <rPr>
            <b/>
            <sz val="12"/>
            <color indexed="81"/>
            <rFont val="Tahoma"/>
            <family val="2"/>
          </rPr>
          <t>=O3*$B$13+P2</t>
        </r>
      </text>
    </comment>
    <comment ref="V9" authorId="0" shapeId="0">
      <text>
        <r>
          <rPr>
            <b/>
            <sz val="11"/>
            <color indexed="81"/>
            <rFont val="Tahoma"/>
            <family val="2"/>
          </rPr>
          <t>=1.11+B16/2000</t>
        </r>
      </text>
    </comment>
  </commentList>
</comments>
</file>

<file path=xl/sharedStrings.xml><?xml version="1.0" encoding="utf-8"?>
<sst xmlns="http://schemas.openxmlformats.org/spreadsheetml/2006/main" count="20" uniqueCount="20">
  <si>
    <t>g</t>
  </si>
  <si>
    <t>Delta t</t>
  </si>
  <si>
    <t>theta1'</t>
  </si>
  <si>
    <t>theta1</t>
  </si>
  <si>
    <t>theta1"</t>
  </si>
  <si>
    <t>X</t>
  </si>
  <si>
    <t>Y</t>
  </si>
  <si>
    <t>Increment</t>
  </si>
  <si>
    <t>Trail length</t>
  </si>
  <si>
    <t>m1</t>
  </si>
  <si>
    <t>theta_1</t>
  </si>
  <si>
    <t>Damping</t>
  </si>
  <si>
    <t>time</t>
  </si>
  <si>
    <t>v1- init</t>
  </si>
  <si>
    <t>time [s]</t>
  </si>
  <si>
    <t>R1</t>
  </si>
  <si>
    <t>name</t>
  </si>
  <si>
    <t>RESET</t>
  </si>
  <si>
    <t>copy down to row 42</t>
  </si>
  <si>
    <t>copy down to row 3024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</si>
</sst>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</font>
    <font>
      <sz val="10"/>
      <color indexed="9"/>
      <name val="Arial"/>
      <family val="2"/>
    </font>
    <font>
      <sz val="10"/>
      <color indexed="40"/>
      <name val="Arial"/>
      <family val="2"/>
    </font>
    <font>
      <sz val="14"/>
      <color indexed="40"/>
      <name val="Arial"/>
      <family val="2"/>
    </font>
    <font>
      <sz val="14"/>
      <color indexed="9"/>
      <name val="Arial"/>
      <family val="2"/>
    </font>
    <font>
      <sz val="10"/>
      <color indexed="40"/>
      <name val="Arial"/>
      <family val="2"/>
    </font>
    <font>
      <i/>
      <sz val="14"/>
      <color indexed="40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16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2" borderId="2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right"/>
    </xf>
    <xf numFmtId="0" fontId="6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10" fillId="0" borderId="1" xfId="0" applyFont="1" applyFill="1" applyBorder="1" applyAlignment="1">
      <alignment horizontal="right"/>
    </xf>
    <xf numFmtId="0" fontId="10" fillId="0" borderId="1" xfId="0" applyFont="1" applyFill="1" applyBorder="1" applyAlignment="1">
      <alignment horizontal="center"/>
    </xf>
    <xf numFmtId="0" fontId="10" fillId="0" borderId="0" xfId="0" applyFont="1" applyFill="1"/>
    <xf numFmtId="0" fontId="11" fillId="0" borderId="0" xfId="0" applyFont="1"/>
    <xf numFmtId="0" fontId="10" fillId="0" borderId="0" xfId="0" applyFont="1" applyFill="1" applyAlignment="1">
      <alignment horizontal="right"/>
    </xf>
    <xf numFmtId="0" fontId="9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3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625E-2"/>
          <c:y val="1.8148820326678767E-2"/>
          <c:w val="0.970703125"/>
          <c:h val="0.90199637023593471"/>
        </c:manualLayout>
      </c:layout>
      <c:scatterChart>
        <c:scatterStyle val="smooth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3"/>
            <c:spPr>
              <a:noFill/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Simple!$Y$2:$Y$52</c:f>
              <c:numCache>
                <c:formatCode>General</c:formatCode>
                <c:ptCount val="51"/>
                <c:pt idx="0">
                  <c:v>0.51303021498850321</c:v>
                </c:pt>
                <c:pt idx="1">
                  <c:v>0.51303021498850321</c:v>
                </c:pt>
                <c:pt idx="2">
                  <c:v>0.51303021498850321</c:v>
                </c:pt>
                <c:pt idx="3">
                  <c:v>0.51303021498850321</c:v>
                </c:pt>
                <c:pt idx="4">
                  <c:v>0.51303021498850321</c:v>
                </c:pt>
                <c:pt idx="5">
                  <c:v>0.51303021498850321</c:v>
                </c:pt>
                <c:pt idx="6">
                  <c:v>0.51303021498850321</c:v>
                </c:pt>
                <c:pt idx="7">
                  <c:v>0.51303021498850321</c:v>
                </c:pt>
                <c:pt idx="8">
                  <c:v>0.51303021498850321</c:v>
                </c:pt>
                <c:pt idx="9">
                  <c:v>0.51303021498850321</c:v>
                </c:pt>
                <c:pt idx="10">
                  <c:v>0.51303021498850321</c:v>
                </c:pt>
                <c:pt idx="11">
                  <c:v>0.51303021498850321</c:v>
                </c:pt>
                <c:pt idx="12">
                  <c:v>0.51303021498850321</c:v>
                </c:pt>
                <c:pt idx="13">
                  <c:v>0.51303021498850321</c:v>
                </c:pt>
                <c:pt idx="14">
                  <c:v>0.51303021498850321</c:v>
                </c:pt>
                <c:pt idx="15">
                  <c:v>0.51303021498850321</c:v>
                </c:pt>
                <c:pt idx="16">
                  <c:v>0.51303021498850321</c:v>
                </c:pt>
                <c:pt idx="17">
                  <c:v>0.51303021498850321</c:v>
                </c:pt>
                <c:pt idx="18">
                  <c:v>0.51303021498850321</c:v>
                </c:pt>
                <c:pt idx="19">
                  <c:v>0.51303021498850321</c:v>
                </c:pt>
                <c:pt idx="20">
                  <c:v>0.51303021498850321</c:v>
                </c:pt>
                <c:pt idx="21">
                  <c:v>0.51303021498850321</c:v>
                </c:pt>
                <c:pt idx="22">
                  <c:v>0.51303021498850321</c:v>
                </c:pt>
                <c:pt idx="23">
                  <c:v>0.51303021498850321</c:v>
                </c:pt>
                <c:pt idx="24">
                  <c:v>0.51303021498850321</c:v>
                </c:pt>
                <c:pt idx="25">
                  <c:v>0.51303021498850321</c:v>
                </c:pt>
                <c:pt idx="26">
                  <c:v>0.51303021498850321</c:v>
                </c:pt>
                <c:pt idx="27">
                  <c:v>0.51303021498850321</c:v>
                </c:pt>
                <c:pt idx="28">
                  <c:v>0.51303021498850321</c:v>
                </c:pt>
                <c:pt idx="29">
                  <c:v>0.51303021498850321</c:v>
                </c:pt>
                <c:pt idx="30">
                  <c:v>0.51303021498850321</c:v>
                </c:pt>
                <c:pt idx="31">
                  <c:v>0.51303021498850321</c:v>
                </c:pt>
                <c:pt idx="32">
                  <c:v>0.51303021498850321</c:v>
                </c:pt>
                <c:pt idx="33">
                  <c:v>0.51303021498850321</c:v>
                </c:pt>
                <c:pt idx="34">
                  <c:v>0.51303021498850321</c:v>
                </c:pt>
                <c:pt idx="35">
                  <c:v>0.51303021498850321</c:v>
                </c:pt>
                <c:pt idx="36">
                  <c:v>0.51303021498850321</c:v>
                </c:pt>
                <c:pt idx="37">
                  <c:v>0.51303021498850321</c:v>
                </c:pt>
                <c:pt idx="38">
                  <c:v>0.51303021498850321</c:v>
                </c:pt>
                <c:pt idx="39">
                  <c:v>0.51303021498850321</c:v>
                </c:pt>
                <c:pt idx="40">
                  <c:v>0.51303021498850321</c:v>
                </c:pt>
              </c:numCache>
            </c:numRef>
          </c:xVal>
          <c:yVal>
            <c:numRef>
              <c:f>Simple!$Z$2:$Z$52</c:f>
              <c:numCache>
                <c:formatCode>General</c:formatCode>
                <c:ptCount val="51"/>
                <c:pt idx="0">
                  <c:v>1.4095389311788624</c:v>
                </c:pt>
                <c:pt idx="1">
                  <c:v>1.4095389311788624</c:v>
                </c:pt>
                <c:pt idx="2">
                  <c:v>1.4095389311788624</c:v>
                </c:pt>
                <c:pt idx="3">
                  <c:v>1.4095389311788624</c:v>
                </c:pt>
                <c:pt idx="4">
                  <c:v>1.4095389311788624</c:v>
                </c:pt>
                <c:pt idx="5">
                  <c:v>1.4095389311788624</c:v>
                </c:pt>
                <c:pt idx="6">
                  <c:v>1.4095389311788624</c:v>
                </c:pt>
                <c:pt idx="7">
                  <c:v>1.4095389311788624</c:v>
                </c:pt>
                <c:pt idx="8">
                  <c:v>1.4095389311788624</c:v>
                </c:pt>
                <c:pt idx="9">
                  <c:v>1.4095389311788624</c:v>
                </c:pt>
                <c:pt idx="10">
                  <c:v>1.4095389311788624</c:v>
                </c:pt>
                <c:pt idx="11">
                  <c:v>1.4095389311788624</c:v>
                </c:pt>
                <c:pt idx="12">
                  <c:v>1.4095389311788624</c:v>
                </c:pt>
                <c:pt idx="13">
                  <c:v>1.4095389311788624</c:v>
                </c:pt>
                <c:pt idx="14">
                  <c:v>1.4095389311788624</c:v>
                </c:pt>
                <c:pt idx="15">
                  <c:v>1.4095389311788624</c:v>
                </c:pt>
                <c:pt idx="16">
                  <c:v>1.4095389311788624</c:v>
                </c:pt>
                <c:pt idx="17">
                  <c:v>1.4095389311788624</c:v>
                </c:pt>
                <c:pt idx="18">
                  <c:v>1.4095389311788624</c:v>
                </c:pt>
                <c:pt idx="19">
                  <c:v>1.4095389311788624</c:v>
                </c:pt>
                <c:pt idx="20">
                  <c:v>1.4095389311788624</c:v>
                </c:pt>
                <c:pt idx="21">
                  <c:v>1.4095389311788624</c:v>
                </c:pt>
                <c:pt idx="22">
                  <c:v>1.4095389311788624</c:v>
                </c:pt>
                <c:pt idx="23">
                  <c:v>1.4095389311788624</c:v>
                </c:pt>
                <c:pt idx="24">
                  <c:v>1.4095389311788624</c:v>
                </c:pt>
                <c:pt idx="25">
                  <c:v>1.4095389311788624</c:v>
                </c:pt>
                <c:pt idx="26">
                  <c:v>1.4095389311788624</c:v>
                </c:pt>
                <c:pt idx="27">
                  <c:v>1.4095389311788624</c:v>
                </c:pt>
                <c:pt idx="28">
                  <c:v>1.4095389311788624</c:v>
                </c:pt>
                <c:pt idx="29">
                  <c:v>1.4095389311788624</c:v>
                </c:pt>
                <c:pt idx="30">
                  <c:v>1.4095389311788624</c:v>
                </c:pt>
                <c:pt idx="31">
                  <c:v>1.4095389311788624</c:v>
                </c:pt>
                <c:pt idx="32">
                  <c:v>1.4095389311788624</c:v>
                </c:pt>
                <c:pt idx="33">
                  <c:v>1.4095389311788624</c:v>
                </c:pt>
                <c:pt idx="34">
                  <c:v>1.4095389311788624</c:v>
                </c:pt>
                <c:pt idx="35">
                  <c:v>1.4095389311788624</c:v>
                </c:pt>
                <c:pt idx="36">
                  <c:v>1.4095389311788624</c:v>
                </c:pt>
                <c:pt idx="37">
                  <c:v>1.4095389311788624</c:v>
                </c:pt>
                <c:pt idx="38">
                  <c:v>1.4095389311788624</c:v>
                </c:pt>
                <c:pt idx="39">
                  <c:v>1.4095389311788624</c:v>
                </c:pt>
                <c:pt idx="40">
                  <c:v>1.4095389311788624</c:v>
                </c:pt>
              </c:numCache>
            </c:numRef>
          </c:yVal>
          <c:smooth val="1"/>
        </c:ser>
        <c:ser>
          <c:idx val="0"/>
          <c:order val="1"/>
          <c:spPr>
            <a:ln w="38100">
              <a:solidFill>
                <a:srgbClr val="00FF00"/>
              </a:solidFill>
              <a:prstDash val="solid"/>
            </a:ln>
          </c:spPr>
          <c:marker>
            <c:symbol val="circle"/>
            <c:size val="14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18"/>
              <c:spPr>
                <a:solidFill>
                  <a:srgbClr val="00FFFF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</c:dPt>
          <c:dPt>
            <c:idx val="1"/>
            <c:marker>
              <c:symbol val="circle"/>
              <c:size val="24"/>
              <c:spPr>
                <a:solidFill>
                  <a:srgbClr val="00FF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xVal>
            <c:numRef>
              <c:f>Simple!$Y$1:$Y$2</c:f>
              <c:numCache>
                <c:formatCode>General</c:formatCode>
                <c:ptCount val="2"/>
                <c:pt idx="0">
                  <c:v>0</c:v>
                </c:pt>
                <c:pt idx="1">
                  <c:v>0.51303021498850321</c:v>
                </c:pt>
              </c:numCache>
            </c:numRef>
          </c:xVal>
          <c:yVal>
            <c:numRef>
              <c:f>Simple!$Z$1:$Z$2</c:f>
              <c:numCache>
                <c:formatCode>General</c:formatCode>
                <c:ptCount val="2"/>
                <c:pt idx="0">
                  <c:v>0</c:v>
                </c:pt>
                <c:pt idx="1">
                  <c:v>1.4095389311788624</c:v>
                </c:pt>
              </c:numCache>
            </c:numRef>
          </c:yVal>
          <c:smooth val="0"/>
        </c:ser>
        <c:ser>
          <c:idx val="1"/>
          <c:order val="2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0"/>
            <c:marker>
              <c:symbol val="picture"/>
              <c:spPr>
                <a:blipFill dpi="0" rotWithShape="0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  <a:ln w="6350">
                  <a:noFill/>
                </a:ln>
              </c:spPr>
            </c:marker>
            <c:bubble3D val="0"/>
          </c:dPt>
          <c:xVal>
            <c:numRef>
              <c:f>Simple!$U$9</c:f>
              <c:numCache>
                <c:formatCode>General</c:formatCode>
                <c:ptCount val="1"/>
                <c:pt idx="0">
                  <c:v>-0.52</c:v>
                </c:pt>
              </c:numCache>
            </c:numRef>
          </c:xVal>
          <c:yVal>
            <c:numRef>
              <c:f>Simple!$V$9</c:f>
              <c:numCache>
                <c:formatCode>General</c:formatCode>
                <c:ptCount val="1"/>
                <c:pt idx="0">
                  <c:v>1.1100000000000001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011696"/>
        <c:axId val="293012256"/>
      </c:scatterChart>
      <c:valAx>
        <c:axId val="293011696"/>
        <c:scaling>
          <c:orientation val="minMax"/>
          <c:max val="1.2"/>
          <c:min val="-1.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3012256"/>
        <c:crosses val="autoZero"/>
        <c:crossBetween val="midCat"/>
        <c:majorUnit val="0.6"/>
      </c:valAx>
      <c:valAx>
        <c:axId val="293012256"/>
        <c:scaling>
          <c:orientation val="minMax"/>
          <c:max val="1.2"/>
          <c:min val="-1.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3011696"/>
        <c:crosses val="autoZero"/>
        <c:crossBetween val="midCat"/>
        <c:majorUnit val="0.6"/>
      </c:valAx>
      <c:spPr>
        <a:solidFill>
          <a:srgbClr val="00008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333300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20</xdr:row>
          <xdr:rowOff>19050</xdr:rowOff>
        </xdr:from>
        <xdr:to>
          <xdr:col>0</xdr:col>
          <xdr:colOff>1133475</xdr:colOff>
          <xdr:row>21</xdr:row>
          <xdr:rowOff>28575</xdr:rowOff>
        </xdr:to>
        <xdr:sp macro="" textlink="">
          <xdr:nvSpPr>
            <xdr:cNvPr id="66570" name="Release_" hidden="1">
              <a:extLst>
                <a:ext uri="{63B3BB69-23CF-44E3-9099-C40C66FF867C}">
                  <a14:compatExt spid="_x0000_s6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514350</xdr:colOff>
      <xdr:row>0</xdr:row>
      <xdr:rowOff>19050</xdr:rowOff>
    </xdr:from>
    <xdr:to>
      <xdr:col>10</xdr:col>
      <xdr:colOff>104775</xdr:colOff>
      <xdr:row>24</xdr:row>
      <xdr:rowOff>28575</xdr:rowOff>
    </xdr:to>
    <xdr:graphicFrame macro="[0]!ThisWorkbook.u_g">
      <xdr:nvGraphicFramePr>
        <xdr:cNvPr id="66572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123825</xdr:rowOff>
        </xdr:from>
        <xdr:to>
          <xdr:col>0</xdr:col>
          <xdr:colOff>895350</xdr:colOff>
          <xdr:row>22</xdr:row>
          <xdr:rowOff>200025</xdr:rowOff>
        </xdr:to>
        <xdr:sp macro="" textlink="">
          <xdr:nvSpPr>
            <xdr:cNvPr id="66573" name="Reset_" hidden="1">
              <a:extLst>
                <a:ext uri="{63B3BB69-23CF-44E3-9099-C40C66FF867C}">
                  <a14:compatExt spid="_x0000_s6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0.21614</cdr:x>
      <cdr:y>0.91853</cdr:y>
    </cdr:from>
    <cdr:to>
      <cdr:x>0.80714</cdr:x>
      <cdr:y>0.99094</cdr:y>
    </cdr:to>
    <cdr:sp macro="" textlink="">
      <cdr:nvSpPr>
        <cdr:cNvPr id="675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59321" y="4832612"/>
          <a:ext cx="2887821" cy="3807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800" b="0" i="0" u="none" strike="noStrike" baseline="0">
              <a:solidFill>
                <a:srgbClr val="FFFF00"/>
              </a:solidFill>
              <a:latin typeface="Arial"/>
              <a:cs typeface="Arial"/>
            </a:rPr>
            <a:t>Rigid Pendulum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V3050"/>
  <sheetViews>
    <sheetView tabSelected="1" zoomScale="80" zoomScaleNormal="80" workbookViewId="0"/>
  </sheetViews>
  <sheetFormatPr defaultRowHeight="12.75" x14ac:dyDescent="0.2"/>
  <cols>
    <col min="1" max="1" width="17.140625" style="29" customWidth="1"/>
    <col min="2" max="2" width="10.140625" style="29" customWidth="1"/>
    <col min="5" max="5" width="13" customWidth="1"/>
    <col min="6" max="6" width="11.140625" style="4" customWidth="1"/>
    <col min="7" max="8" width="9.140625" style="4"/>
    <col min="10" max="10" width="9.42578125" customWidth="1"/>
    <col min="11" max="11" width="7.42578125" customWidth="1"/>
    <col min="12" max="12" width="15.42578125" customWidth="1"/>
    <col min="13" max="13" width="8.42578125" customWidth="1"/>
  </cols>
  <sheetData>
    <row r="1" spans="1:100" x14ac:dyDescent="0.2">
      <c r="A1" s="25"/>
      <c r="B1" s="25"/>
      <c r="C1" s="9"/>
      <c r="D1" s="9"/>
      <c r="E1" s="9"/>
      <c r="F1" s="10"/>
      <c r="G1" s="10"/>
      <c r="H1" s="10"/>
      <c r="I1" s="9"/>
      <c r="J1" s="9"/>
      <c r="K1" s="9"/>
      <c r="L1" s="9"/>
      <c r="M1" s="1" t="s">
        <v>12</v>
      </c>
      <c r="N1" s="2" t="s">
        <v>4</v>
      </c>
      <c r="O1" s="2" t="s">
        <v>2</v>
      </c>
      <c r="P1" s="5" t="s">
        <v>3</v>
      </c>
      <c r="Q1" s="9"/>
      <c r="R1" s="3" t="s">
        <v>5</v>
      </c>
      <c r="S1" s="3" t="s">
        <v>6</v>
      </c>
      <c r="T1" s="3"/>
      <c r="U1" s="3"/>
      <c r="V1" s="3"/>
      <c r="W1" s="3"/>
      <c r="X1" s="3"/>
      <c r="Y1" s="3">
        <v>0</v>
      </c>
      <c r="Z1" s="3">
        <v>0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x14ac:dyDescent="0.2">
      <c r="A2" s="25"/>
      <c r="B2" s="25"/>
      <c r="C2" s="9"/>
      <c r="D2" s="9"/>
      <c r="E2" s="9"/>
      <c r="F2" s="10"/>
      <c r="G2" s="10"/>
      <c r="H2" s="10"/>
      <c r="I2" s="9"/>
      <c r="J2" s="9"/>
      <c r="K2" s="9"/>
      <c r="L2" s="9"/>
      <c r="M2" s="1">
        <v>0</v>
      </c>
      <c r="N2" s="1"/>
      <c r="O2" s="1">
        <f>B6/B3</f>
        <v>1.7333333333333334</v>
      </c>
      <c r="P2" s="1">
        <f>RADIANS(B5)</f>
        <v>1.2217304763960306</v>
      </c>
      <c r="Q2" s="9"/>
      <c r="R2" s="3">
        <f t="shared" ref="R2:R65" si="0">$B$3*COS(P2)</f>
        <v>0.51303021498850321</v>
      </c>
      <c r="S2" s="3">
        <f t="shared" ref="S2:S65" si="1">$B$3*SIN(P2)</f>
        <v>1.4095389311788624</v>
      </c>
      <c r="T2" s="3"/>
      <c r="U2" s="3">
        <f ca="1">OFFSET(R2,B16,0)</f>
        <v>0.51303021498850321</v>
      </c>
      <c r="V2" s="3">
        <f ca="1">OFFSET(S2,B16,0)</f>
        <v>1.4095389311788624</v>
      </c>
      <c r="W2" s="3"/>
      <c r="X2" s="3">
        <v>0</v>
      </c>
      <c r="Y2" s="3">
        <f t="shared" ref="Y2:Y42" ca="1" si="2">OFFSET($R$2,MAX($B$16-$X2*$B$11,0),0)</f>
        <v>0.51303021498850321</v>
      </c>
      <c r="Z2" s="3">
        <f t="shared" ref="Z2:Z42" ca="1" si="3">OFFSET($S$2,MAX($B$16-$X2*$B$11,0),0)</f>
        <v>1.4095389311788624</v>
      </c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ht="18" x14ac:dyDescent="0.25">
      <c r="A3" s="26" t="s">
        <v>15</v>
      </c>
      <c r="B3" s="27">
        <v>1.5</v>
      </c>
      <c r="C3" s="9"/>
      <c r="D3" s="9"/>
      <c r="E3" s="9"/>
      <c r="F3" s="10"/>
      <c r="G3" s="10"/>
      <c r="H3" s="10"/>
      <c r="I3" s="9"/>
      <c r="J3" s="9"/>
      <c r="K3" s="9"/>
      <c r="L3" s="9"/>
      <c r="M3" s="1">
        <f t="shared" ref="M3:M66" si="4">M2+B$13</f>
        <v>0.03</v>
      </c>
      <c r="N3" s="1">
        <f t="shared" ref="N3:N66" si="5">-$B$12*$B$3*COS(P2)-B$10*O2</f>
        <v>-5.2863021498850324</v>
      </c>
      <c r="O3" s="1">
        <f t="shared" ref="O3:O66" si="6">N3*$B$13+O2</f>
        <v>1.5747442688367825</v>
      </c>
      <c r="P3" s="1">
        <f t="shared" ref="P3:P66" si="7">O3*$B$13+P2</f>
        <v>1.2689728044611341</v>
      </c>
      <c r="Q3" s="9"/>
      <c r="R3" s="3">
        <f t="shared" si="0"/>
        <v>0.44589268767496526</v>
      </c>
      <c r="S3" s="3">
        <f t="shared" si="1"/>
        <v>1.4321940200538459</v>
      </c>
      <c r="T3" s="3"/>
      <c r="U3" s="3">
        <v>0</v>
      </c>
      <c r="V3" s="3">
        <v>0</v>
      </c>
      <c r="W3" s="3"/>
      <c r="X3" s="3">
        <f t="shared" ref="X3:X42" si="8">X2+1</f>
        <v>1</v>
      </c>
      <c r="Y3" s="3">
        <f t="shared" ca="1" si="2"/>
        <v>0.51303021498850321</v>
      </c>
      <c r="Z3" s="3">
        <f t="shared" ca="1" si="3"/>
        <v>1.4095389311788624</v>
      </c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</row>
    <row r="4" spans="1:100" ht="18" x14ac:dyDescent="0.25">
      <c r="A4" s="26" t="s">
        <v>9</v>
      </c>
      <c r="B4" s="27">
        <v>0.7</v>
      </c>
      <c r="C4" s="9"/>
      <c r="D4" s="9"/>
      <c r="E4" s="9"/>
      <c r="F4" s="10"/>
      <c r="G4" s="10"/>
      <c r="H4" s="10"/>
      <c r="I4" s="9"/>
      <c r="J4" s="9"/>
      <c r="K4" s="9"/>
      <c r="L4" s="9"/>
      <c r="M4" s="1">
        <f t="shared" si="4"/>
        <v>0.06</v>
      </c>
      <c r="N4" s="1">
        <f t="shared" si="5"/>
        <v>-4.6006538609449636</v>
      </c>
      <c r="O4" s="1">
        <f t="shared" si="6"/>
        <v>1.4367246530084337</v>
      </c>
      <c r="P4" s="1">
        <f t="shared" si="7"/>
        <v>1.3120745440513872</v>
      </c>
      <c r="Q4" s="9"/>
      <c r="R4" s="3">
        <f t="shared" si="0"/>
        <v>0.38376762880175919</v>
      </c>
      <c r="S4" s="3">
        <f t="shared" si="1"/>
        <v>1.4500766900698303</v>
      </c>
      <c r="T4" s="3"/>
      <c r="U4" s="3"/>
      <c r="V4" s="3"/>
      <c r="W4" s="3"/>
      <c r="X4" s="3">
        <f t="shared" si="8"/>
        <v>2</v>
      </c>
      <c r="Y4" s="3">
        <f t="shared" ca="1" si="2"/>
        <v>0.51303021498850321</v>
      </c>
      <c r="Z4" s="3">
        <f t="shared" ca="1" si="3"/>
        <v>1.4095389311788624</v>
      </c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</row>
    <row r="5" spans="1:100" ht="18" x14ac:dyDescent="0.25">
      <c r="A5" s="26" t="s">
        <v>10</v>
      </c>
      <c r="B5" s="27">
        <v>70</v>
      </c>
      <c r="C5" s="9"/>
      <c r="D5" s="9"/>
      <c r="E5" s="9"/>
      <c r="F5" s="10"/>
      <c r="G5" s="10"/>
      <c r="H5" s="10"/>
      <c r="I5" s="9"/>
      <c r="J5" s="9"/>
      <c r="K5" s="9"/>
      <c r="L5" s="9"/>
      <c r="M5" s="1">
        <f t="shared" si="4"/>
        <v>0.09</v>
      </c>
      <c r="N5" s="1">
        <f t="shared" si="5"/>
        <v>-3.9669815067883505</v>
      </c>
      <c r="O5" s="1">
        <f t="shared" si="6"/>
        <v>1.3177152078047831</v>
      </c>
      <c r="P5" s="1">
        <f t="shared" si="7"/>
        <v>1.3516060002855308</v>
      </c>
      <c r="Q5" s="9"/>
      <c r="R5" s="3">
        <f t="shared" si="0"/>
        <v>0.32615909001057475</v>
      </c>
      <c r="S5" s="3">
        <f t="shared" si="1"/>
        <v>1.4641107362503267</v>
      </c>
      <c r="T5" s="3"/>
      <c r="U5" s="3"/>
      <c r="V5" s="3"/>
      <c r="W5" s="3"/>
      <c r="X5" s="3">
        <f t="shared" si="8"/>
        <v>3</v>
      </c>
      <c r="Y5" s="3">
        <f t="shared" ca="1" si="2"/>
        <v>0.51303021498850321</v>
      </c>
      <c r="Z5" s="3">
        <f t="shared" ca="1" si="3"/>
        <v>1.4095389311788624</v>
      </c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</row>
    <row r="6" spans="1:100" ht="18" x14ac:dyDescent="0.25">
      <c r="A6" s="26" t="s">
        <v>13</v>
      </c>
      <c r="B6" s="27">
        <v>2.6</v>
      </c>
      <c r="C6" s="9"/>
      <c r="D6" s="9"/>
      <c r="E6" s="9"/>
      <c r="F6" s="10"/>
      <c r="G6" s="10"/>
      <c r="H6" s="10"/>
      <c r="I6" s="9"/>
      <c r="J6" s="9"/>
      <c r="K6" s="9"/>
      <c r="L6" s="9"/>
      <c r="M6" s="1">
        <f t="shared" si="4"/>
        <v>0.12</v>
      </c>
      <c r="N6" s="1">
        <f t="shared" si="5"/>
        <v>-3.3801852688081779</v>
      </c>
      <c r="O6" s="1">
        <f t="shared" si="6"/>
        <v>1.2163096497405377</v>
      </c>
      <c r="P6" s="1">
        <f t="shared" si="7"/>
        <v>1.388095289777747</v>
      </c>
      <c r="Q6" s="9"/>
      <c r="R6" s="3">
        <f t="shared" si="0"/>
        <v>0.27252947304622233</v>
      </c>
      <c r="S6" s="3">
        <f t="shared" si="1"/>
        <v>1.4750348085117002</v>
      </c>
      <c r="T6" s="3"/>
      <c r="U6" s="3"/>
      <c r="V6" s="3"/>
      <c r="W6" s="3"/>
      <c r="X6" s="3">
        <f t="shared" si="8"/>
        <v>4</v>
      </c>
      <c r="Y6" s="3">
        <f t="shared" ca="1" si="2"/>
        <v>0.51303021498850321</v>
      </c>
      <c r="Z6" s="3">
        <f t="shared" ca="1" si="3"/>
        <v>1.4095389311788624</v>
      </c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</row>
    <row r="7" spans="1:100" ht="18" x14ac:dyDescent="0.25">
      <c r="A7" s="28"/>
      <c r="B7" s="28"/>
      <c r="C7" s="9"/>
      <c r="D7" s="9"/>
      <c r="E7" s="9"/>
      <c r="F7" s="10"/>
      <c r="G7" s="10"/>
      <c r="H7" s="10"/>
      <c r="I7" s="9"/>
      <c r="J7" s="9"/>
      <c r="K7" s="9"/>
      <c r="L7" s="9"/>
      <c r="M7" s="1">
        <f t="shared" si="4"/>
        <v>0.15</v>
      </c>
      <c r="N7" s="1">
        <f t="shared" si="5"/>
        <v>-2.8347625989388714</v>
      </c>
      <c r="O7" s="1">
        <f t="shared" si="6"/>
        <v>1.1312667717723714</v>
      </c>
      <c r="P7" s="1">
        <f t="shared" si="7"/>
        <v>1.4220332929309181</v>
      </c>
      <c r="Q7" s="9"/>
      <c r="R7" s="3">
        <f t="shared" si="0"/>
        <v>0.22232241317893842</v>
      </c>
      <c r="S7" s="3">
        <f t="shared" si="1"/>
        <v>1.4834327570194388</v>
      </c>
      <c r="T7" s="3"/>
      <c r="U7" s="3"/>
      <c r="V7" s="3"/>
      <c r="W7" s="3"/>
      <c r="X7" s="3">
        <f t="shared" si="8"/>
        <v>5</v>
      </c>
      <c r="Y7" s="3">
        <f t="shared" ca="1" si="2"/>
        <v>0.51303021498850321</v>
      </c>
      <c r="Z7" s="3">
        <f t="shared" ca="1" si="3"/>
        <v>1.4095389311788624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</row>
    <row r="8" spans="1:100" ht="18" x14ac:dyDescent="0.25">
      <c r="A8" s="28"/>
      <c r="B8" s="28"/>
      <c r="C8" s="9"/>
      <c r="D8" s="9"/>
      <c r="E8" s="9"/>
      <c r="F8" s="10"/>
      <c r="G8" s="10"/>
      <c r="H8" s="10"/>
      <c r="I8" s="9"/>
      <c r="J8" s="9"/>
      <c r="K8" s="9"/>
      <c r="L8" s="9"/>
      <c r="M8" s="1">
        <f t="shared" si="4"/>
        <v>0.18</v>
      </c>
      <c r="N8" s="1">
        <f t="shared" si="5"/>
        <v>-2.3250381412488976</v>
      </c>
      <c r="O8" s="1">
        <f t="shared" si="6"/>
        <v>1.0615156275349045</v>
      </c>
      <c r="P8" s="1">
        <f t="shared" si="7"/>
        <v>1.4538787617569653</v>
      </c>
      <c r="Q8" s="9"/>
      <c r="R8" s="3">
        <f t="shared" si="0"/>
        <v>0.17497706305291311</v>
      </c>
      <c r="S8" s="3">
        <f t="shared" si="1"/>
        <v>1.4897593857416629</v>
      </c>
      <c r="T8" s="1"/>
      <c r="U8" s="1" t="s">
        <v>16</v>
      </c>
      <c r="V8" s="1"/>
      <c r="W8" s="1"/>
      <c r="X8" s="3">
        <f t="shared" si="8"/>
        <v>6</v>
      </c>
      <c r="Y8" s="3">
        <f t="shared" ca="1" si="2"/>
        <v>0.51303021498850321</v>
      </c>
      <c r="Z8" s="3">
        <f t="shared" ca="1" si="3"/>
        <v>1.4095389311788624</v>
      </c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18" x14ac:dyDescent="0.25">
      <c r="A9" s="28"/>
      <c r="B9" s="28"/>
      <c r="C9" s="15"/>
      <c r="D9" s="9"/>
      <c r="E9" s="9"/>
      <c r="F9" s="10"/>
      <c r="G9" s="10"/>
      <c r="H9" s="10"/>
      <c r="I9" s="9"/>
      <c r="J9" s="9"/>
      <c r="K9" s="9"/>
      <c r="L9" s="9"/>
      <c r="M9" s="1">
        <f t="shared" si="4"/>
        <v>0.21</v>
      </c>
      <c r="N9" s="1">
        <f t="shared" si="5"/>
        <v>-1.8453070370072726</v>
      </c>
      <c r="O9" s="1">
        <f t="shared" si="6"/>
        <v>1.0061564164246863</v>
      </c>
      <c r="P9" s="1">
        <f t="shared" si="7"/>
        <v>1.484063454249706</v>
      </c>
      <c r="Q9" s="9"/>
      <c r="R9" s="3">
        <f t="shared" si="0"/>
        <v>0.129936256173285</v>
      </c>
      <c r="S9" s="3">
        <f t="shared" si="1"/>
        <v>1.4943615925644202</v>
      </c>
      <c r="T9" s="1"/>
      <c r="U9" s="1">
        <v>-0.52</v>
      </c>
      <c r="V9" s="1">
        <f>1.11+B16/2000</f>
        <v>1.1100000000000001</v>
      </c>
      <c r="W9" s="1"/>
      <c r="X9" s="3">
        <f t="shared" si="8"/>
        <v>7</v>
      </c>
      <c r="Y9" s="3">
        <f t="shared" ca="1" si="2"/>
        <v>0.51303021498850321</v>
      </c>
      <c r="Z9" s="3">
        <f t="shared" ca="1" si="3"/>
        <v>1.4095389311788624</v>
      </c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</row>
    <row r="10" spans="1:100" ht="18.75" thickBot="1" x14ac:dyDescent="0.3">
      <c r="A10" s="26" t="s">
        <v>11</v>
      </c>
      <c r="B10" s="27">
        <v>0.09</v>
      </c>
      <c r="C10" s="15"/>
      <c r="D10" s="9"/>
      <c r="E10" s="9"/>
      <c r="F10" s="10"/>
      <c r="G10" s="10"/>
      <c r="H10" s="10"/>
      <c r="I10" s="9"/>
      <c r="J10" s="9"/>
      <c r="K10" s="9"/>
      <c r="L10" s="9"/>
      <c r="M10" s="1">
        <f t="shared" si="4"/>
        <v>0.24</v>
      </c>
      <c r="N10" s="1">
        <f t="shared" si="5"/>
        <v>-1.3899166392110718</v>
      </c>
      <c r="O10" s="1">
        <f t="shared" si="6"/>
        <v>0.9644589172483542</v>
      </c>
      <c r="P10" s="1">
        <f t="shared" si="7"/>
        <v>1.5129972217671566</v>
      </c>
      <c r="Q10" s="9"/>
      <c r="R10" s="3">
        <f t="shared" si="0"/>
        <v>8.6650392708754673E-2</v>
      </c>
      <c r="S10" s="3">
        <f t="shared" si="1"/>
        <v>1.4974951450483633</v>
      </c>
      <c r="T10" s="1"/>
      <c r="U10" s="1"/>
      <c r="V10" s="1"/>
      <c r="W10" s="1"/>
      <c r="X10" s="3">
        <f t="shared" si="8"/>
        <v>8</v>
      </c>
      <c r="Y10" s="3">
        <f t="shared" ca="1" si="2"/>
        <v>0.51303021498850321</v>
      </c>
      <c r="Z10" s="3">
        <f t="shared" ca="1" si="3"/>
        <v>1.4095389311788624</v>
      </c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</row>
    <row r="11" spans="1:100" ht="18" x14ac:dyDescent="0.25">
      <c r="A11" s="26" t="s">
        <v>8</v>
      </c>
      <c r="B11" s="27">
        <v>0</v>
      </c>
      <c r="C11" s="15"/>
      <c r="D11" s="9"/>
      <c r="E11" s="9"/>
      <c r="F11" s="10"/>
      <c r="G11" s="10"/>
      <c r="H11" s="10"/>
      <c r="I11" s="9"/>
      <c r="J11" s="9"/>
      <c r="K11" s="9"/>
      <c r="L11" s="36" t="s">
        <v>19</v>
      </c>
      <c r="M11" s="1">
        <f t="shared" si="4"/>
        <v>0.27</v>
      </c>
      <c r="N11" s="1">
        <f t="shared" si="5"/>
        <v>-0.95330522963989861</v>
      </c>
      <c r="O11" s="1">
        <f t="shared" si="6"/>
        <v>0.93585976035915719</v>
      </c>
      <c r="P11" s="1">
        <f t="shared" si="7"/>
        <v>1.5410730145779312</v>
      </c>
      <c r="Q11" s="9"/>
      <c r="R11" s="3">
        <f t="shared" si="0"/>
        <v>4.4578403662476854E-2</v>
      </c>
      <c r="S11" s="3">
        <f t="shared" si="1"/>
        <v>1.4993374423147396</v>
      </c>
      <c r="T11" s="1"/>
      <c r="U11" s="1"/>
      <c r="V11" s="1"/>
      <c r="W11" s="33" t="s">
        <v>18</v>
      </c>
      <c r="X11" s="3">
        <f t="shared" si="8"/>
        <v>9</v>
      </c>
      <c r="Y11" s="3">
        <f t="shared" ca="1" si="2"/>
        <v>0.51303021498850321</v>
      </c>
      <c r="Z11" s="3">
        <f t="shared" ca="1" si="3"/>
        <v>1.4095389311788624</v>
      </c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</row>
    <row r="12" spans="1:100" ht="18" x14ac:dyDescent="0.25">
      <c r="A12" s="26" t="s">
        <v>0</v>
      </c>
      <c r="B12" s="27">
        <v>10</v>
      </c>
      <c r="C12" s="15"/>
      <c r="D12" s="9"/>
      <c r="E12" s="9"/>
      <c r="F12" s="10"/>
      <c r="G12" s="10"/>
      <c r="H12" s="10"/>
      <c r="I12" s="9"/>
      <c r="J12" s="9"/>
      <c r="K12" s="9"/>
      <c r="L12" s="37"/>
      <c r="M12" s="1">
        <f t="shared" si="4"/>
        <v>0.30000000000000004</v>
      </c>
      <c r="N12" s="1">
        <f t="shared" si="5"/>
        <v>-0.53001141505709271</v>
      </c>
      <c r="O12" s="1">
        <f t="shared" si="6"/>
        <v>0.9199594179074444</v>
      </c>
      <c r="P12" s="1">
        <f t="shared" si="7"/>
        <v>1.5686717971151545</v>
      </c>
      <c r="Q12" s="9"/>
      <c r="R12" s="3">
        <f t="shared" si="0"/>
        <v>3.1867921222804643E-3</v>
      </c>
      <c r="S12" s="3">
        <f t="shared" si="1"/>
        <v>1.4999966147815031</v>
      </c>
      <c r="T12" s="1"/>
      <c r="U12" s="1"/>
      <c r="V12" s="1"/>
      <c r="W12" s="34"/>
      <c r="X12" s="3">
        <f t="shared" si="8"/>
        <v>10</v>
      </c>
      <c r="Y12" s="3">
        <f t="shared" ca="1" si="2"/>
        <v>0.51303021498850321</v>
      </c>
      <c r="Z12" s="3">
        <f t="shared" ca="1" si="3"/>
        <v>1.4095389311788624</v>
      </c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</row>
    <row r="13" spans="1:100" ht="18" x14ac:dyDescent="0.25">
      <c r="A13" s="26" t="s">
        <v>1</v>
      </c>
      <c r="B13" s="27">
        <v>0.03</v>
      </c>
      <c r="C13" s="15"/>
      <c r="D13" s="9"/>
      <c r="E13" s="9"/>
      <c r="F13" s="10"/>
      <c r="G13" s="10"/>
      <c r="H13" s="10"/>
      <c r="I13" s="9"/>
      <c r="J13" s="9"/>
      <c r="K13" s="9"/>
      <c r="L13" s="37"/>
      <c r="M13" s="1">
        <f t="shared" si="4"/>
        <v>0.33000000000000007</v>
      </c>
      <c r="N13" s="1">
        <f t="shared" si="5"/>
        <v>-0.11466426883447464</v>
      </c>
      <c r="O13" s="1">
        <f t="shared" si="6"/>
        <v>0.91651948984241016</v>
      </c>
      <c r="P13" s="1">
        <f t="shared" si="7"/>
        <v>1.5961673818104267</v>
      </c>
      <c r="Q13" s="9"/>
      <c r="R13" s="3">
        <f t="shared" si="0"/>
        <v>-3.8052499878350722E-2</v>
      </c>
      <c r="S13" s="3">
        <f t="shared" si="1"/>
        <v>1.4995172580710794</v>
      </c>
      <c r="T13" s="1"/>
      <c r="U13" s="1"/>
      <c r="V13" s="1"/>
      <c r="W13" s="34"/>
      <c r="X13" s="3">
        <f t="shared" si="8"/>
        <v>11</v>
      </c>
      <c r="Y13" s="3">
        <f t="shared" ca="1" si="2"/>
        <v>0.51303021498850321</v>
      </c>
      <c r="Z13" s="3">
        <f t="shared" ca="1" si="3"/>
        <v>1.4095389311788624</v>
      </c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</row>
    <row r="14" spans="1:100" ht="18" x14ac:dyDescent="0.25">
      <c r="C14" s="15"/>
      <c r="D14" s="9"/>
      <c r="E14" s="9"/>
      <c r="F14" s="10"/>
      <c r="G14" s="10"/>
      <c r="H14" s="10"/>
      <c r="I14" s="9"/>
      <c r="J14" s="9"/>
      <c r="K14" s="9"/>
      <c r="L14" s="37"/>
      <c r="M14" s="1">
        <f t="shared" si="4"/>
        <v>0.3600000000000001</v>
      </c>
      <c r="N14" s="1">
        <f t="shared" si="5"/>
        <v>0.2980382446976903</v>
      </c>
      <c r="O14" s="1">
        <f t="shared" si="6"/>
        <v>0.92546063718334082</v>
      </c>
      <c r="P14" s="1">
        <f t="shared" si="7"/>
        <v>1.623931200925927</v>
      </c>
      <c r="Q14" s="9"/>
      <c r="R14" s="3">
        <f t="shared" si="0"/>
        <v>-7.9664812370704219E-2</v>
      </c>
      <c r="S14" s="3">
        <f t="shared" si="1"/>
        <v>1.4978830120105977</v>
      </c>
      <c r="T14" s="1"/>
      <c r="U14" s="1"/>
      <c r="V14" s="1"/>
      <c r="W14" s="34"/>
      <c r="X14" s="3">
        <f t="shared" si="8"/>
        <v>12</v>
      </c>
      <c r="Y14" s="3">
        <f t="shared" ca="1" si="2"/>
        <v>0.51303021498850321</v>
      </c>
      <c r="Z14" s="3">
        <f t="shared" ca="1" si="3"/>
        <v>1.4095389311788624</v>
      </c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</row>
    <row r="15" spans="1:100" ht="18.75" thickBot="1" x14ac:dyDescent="0.3">
      <c r="C15" s="15"/>
      <c r="D15" s="9"/>
      <c r="E15" s="9"/>
      <c r="F15" s="10"/>
      <c r="G15" s="10"/>
      <c r="H15" s="10"/>
      <c r="I15" s="9"/>
      <c r="J15" s="9"/>
      <c r="K15" s="9"/>
      <c r="L15" s="38"/>
      <c r="M15" s="1">
        <f t="shared" si="4"/>
        <v>0.39000000000000012</v>
      </c>
      <c r="N15" s="1">
        <f t="shared" si="5"/>
        <v>0.71335666636054151</v>
      </c>
      <c r="O15" s="1">
        <f t="shared" si="6"/>
        <v>0.9468613371741571</v>
      </c>
      <c r="P15" s="1">
        <f t="shared" si="7"/>
        <v>1.6523370410411518</v>
      </c>
      <c r="Q15" s="9"/>
      <c r="R15" s="3">
        <f t="shared" si="0"/>
        <v>-0.12217557765061368</v>
      </c>
      <c r="S15" s="3">
        <f t="shared" si="1"/>
        <v>1.4950160963099157</v>
      </c>
      <c r="T15" s="1"/>
      <c r="U15" s="1"/>
      <c r="V15" s="1"/>
      <c r="W15" s="35"/>
      <c r="X15" s="3">
        <f t="shared" si="8"/>
        <v>13</v>
      </c>
      <c r="Y15" s="3">
        <f t="shared" ca="1" si="2"/>
        <v>0.51303021498850321</v>
      </c>
      <c r="Z15" s="3">
        <f t="shared" ca="1" si="3"/>
        <v>1.4095389311788624</v>
      </c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</row>
    <row r="16" spans="1:100" ht="18" x14ac:dyDescent="0.25">
      <c r="A16" s="27" t="s">
        <v>7</v>
      </c>
      <c r="B16" s="27">
        <v>0</v>
      </c>
      <c r="C16" s="15"/>
      <c r="D16" s="9"/>
      <c r="E16" s="9"/>
      <c r="F16" s="10"/>
      <c r="G16" s="10"/>
      <c r="H16" s="10"/>
      <c r="I16" s="9"/>
      <c r="J16" s="9"/>
      <c r="K16" s="9"/>
      <c r="L16" s="9"/>
      <c r="M16" s="1">
        <f t="shared" si="4"/>
        <v>0.42000000000000015</v>
      </c>
      <c r="N16" s="1">
        <f t="shared" si="5"/>
        <v>1.1365382561604627</v>
      </c>
      <c r="O16" s="1">
        <f t="shared" si="6"/>
        <v>0.98095748485897094</v>
      </c>
      <c r="P16" s="1">
        <f t="shared" si="7"/>
        <v>1.6817657655869209</v>
      </c>
      <c r="Q16" s="9"/>
      <c r="R16" s="3">
        <f t="shared" si="0"/>
        <v>-0.16611274304957691</v>
      </c>
      <c r="S16" s="3">
        <f t="shared" si="1"/>
        <v>1.4907738113464917</v>
      </c>
      <c r="T16" s="1"/>
      <c r="U16" s="1"/>
      <c r="V16" s="1"/>
      <c r="W16" s="1"/>
      <c r="X16" s="3">
        <f t="shared" si="8"/>
        <v>14</v>
      </c>
      <c r="Y16" s="3">
        <f t="shared" ca="1" si="2"/>
        <v>0.51303021498850321</v>
      </c>
      <c r="Z16" s="3">
        <f t="shared" ca="1" si="3"/>
        <v>1.4095389311788624</v>
      </c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</row>
    <row r="17" spans="1:100" s="7" customFormat="1" ht="16.5" customHeight="1" x14ac:dyDescent="0.25">
      <c r="A17" s="31"/>
      <c r="B17" s="31"/>
      <c r="C17" s="15"/>
      <c r="D17" s="13"/>
      <c r="E17" s="13"/>
      <c r="F17" s="14"/>
      <c r="G17" s="14"/>
      <c r="H17" s="14"/>
      <c r="I17" s="13"/>
      <c r="J17" s="13"/>
      <c r="K17" s="13"/>
      <c r="L17" s="12"/>
      <c r="M17" s="1">
        <f t="shared" si="4"/>
        <v>0.45000000000000018</v>
      </c>
      <c r="N17" s="1">
        <f t="shared" si="5"/>
        <v>1.5728412568584618</v>
      </c>
      <c r="O17" s="1">
        <f t="shared" si="6"/>
        <v>1.0281427225647248</v>
      </c>
      <c r="P17" s="1">
        <f t="shared" si="7"/>
        <v>1.7126100472638626</v>
      </c>
      <c r="Q17" s="13"/>
      <c r="R17" s="3">
        <f t="shared" si="0"/>
        <v>-0.21200828874210786</v>
      </c>
      <c r="S17" s="3">
        <f t="shared" si="1"/>
        <v>1.4849419131752739</v>
      </c>
      <c r="T17" s="1"/>
      <c r="U17" s="1"/>
      <c r="V17" s="1"/>
      <c r="W17" s="1"/>
      <c r="X17" s="3">
        <f t="shared" si="8"/>
        <v>15</v>
      </c>
      <c r="Y17" s="3">
        <f t="shared" ca="1" si="2"/>
        <v>0.51303021498850321</v>
      </c>
      <c r="Z17" s="3">
        <f t="shared" ca="1" si="3"/>
        <v>1.4095389311788624</v>
      </c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</row>
    <row r="18" spans="1:100" s="7" customFormat="1" ht="15.75" customHeight="1" x14ac:dyDescent="0.25">
      <c r="A18" s="27" t="s">
        <v>14</v>
      </c>
      <c r="B18" s="27">
        <f>ROUND(B16*B13,0)</f>
        <v>0</v>
      </c>
      <c r="C18" s="15"/>
      <c r="D18" s="13"/>
      <c r="E18" s="13"/>
      <c r="F18" s="14"/>
      <c r="G18" s="14"/>
      <c r="H18" s="14"/>
      <c r="I18" s="13"/>
      <c r="J18" s="13"/>
      <c r="K18" s="13"/>
      <c r="L18" s="12"/>
      <c r="M18" s="1">
        <f t="shared" si="4"/>
        <v>0.4800000000000002</v>
      </c>
      <c r="N18" s="1">
        <f t="shared" si="5"/>
        <v>2.0275500423902533</v>
      </c>
      <c r="O18" s="1">
        <f t="shared" si="6"/>
        <v>1.0889692238364324</v>
      </c>
      <c r="P18" s="1">
        <f t="shared" si="7"/>
        <v>1.7452791239789556</v>
      </c>
      <c r="Q18" s="13"/>
      <c r="R18" s="3">
        <f t="shared" si="0"/>
        <v>-0.26039821648589168</v>
      </c>
      <c r="S18" s="3">
        <f t="shared" si="1"/>
        <v>1.4772246846201043</v>
      </c>
      <c r="T18" s="1"/>
      <c r="U18" s="1"/>
      <c r="V18" s="1"/>
      <c r="W18" s="1"/>
      <c r="X18" s="3">
        <f t="shared" si="8"/>
        <v>16</v>
      </c>
      <c r="Y18" s="3">
        <f t="shared" ca="1" si="2"/>
        <v>0.51303021498850321</v>
      </c>
      <c r="Z18" s="3">
        <f t="shared" ca="1" si="3"/>
        <v>1.4095389311788624</v>
      </c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</row>
    <row r="19" spans="1:100" ht="23.25" x14ac:dyDescent="0.35">
      <c r="C19" s="23"/>
      <c r="D19" s="9"/>
      <c r="E19" s="9"/>
      <c r="F19" s="10"/>
      <c r="G19" s="10"/>
      <c r="H19" s="10"/>
      <c r="I19" s="9"/>
      <c r="J19" s="9"/>
      <c r="K19" s="9"/>
      <c r="L19" s="8"/>
      <c r="M19" s="1">
        <f t="shared" si="4"/>
        <v>0.51000000000000023</v>
      </c>
      <c r="N19" s="1">
        <f t="shared" si="5"/>
        <v>2.5059749347136382</v>
      </c>
      <c r="O19" s="1">
        <f t="shared" si="6"/>
        <v>1.1641484718778414</v>
      </c>
      <c r="P19" s="1">
        <f t="shared" si="7"/>
        <v>1.7802035781352907</v>
      </c>
      <c r="Q19" s="9"/>
      <c r="R19" s="3">
        <f t="shared" si="0"/>
        <v>-0.31182020511749753</v>
      </c>
      <c r="S19" s="3">
        <f t="shared" si="1"/>
        <v>1.4672314608406138</v>
      </c>
      <c r="T19" s="1"/>
      <c r="U19" s="1"/>
      <c r="V19" s="1"/>
      <c r="W19" s="1"/>
      <c r="X19" s="3">
        <f t="shared" si="8"/>
        <v>17</v>
      </c>
      <c r="Y19" s="3">
        <f t="shared" ca="1" si="2"/>
        <v>0.51303021498850321</v>
      </c>
      <c r="Z19" s="3">
        <f t="shared" ca="1" si="3"/>
        <v>1.4095389311788624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</row>
    <row r="20" spans="1:100" ht="17.25" customHeight="1" x14ac:dyDescent="0.35">
      <c r="C20" s="23"/>
      <c r="D20" s="9"/>
      <c r="E20" s="9"/>
      <c r="F20" s="10"/>
      <c r="G20" s="10"/>
      <c r="H20" s="10"/>
      <c r="I20" s="9"/>
      <c r="J20" s="9"/>
      <c r="K20" s="16"/>
      <c r="L20" s="17"/>
      <c r="M20" s="1">
        <f t="shared" si="4"/>
        <v>0.54000000000000026</v>
      </c>
      <c r="N20" s="1">
        <f t="shared" si="5"/>
        <v>3.0134286887059694</v>
      </c>
      <c r="O20" s="1">
        <f t="shared" si="6"/>
        <v>1.2545513325390205</v>
      </c>
      <c r="P20" s="1">
        <f t="shared" si="7"/>
        <v>1.8178401181114614</v>
      </c>
      <c r="Q20" s="9"/>
      <c r="R20" s="3">
        <f t="shared" si="0"/>
        <v>-0.36680786259015258</v>
      </c>
      <c r="S20" s="3">
        <f t="shared" si="1"/>
        <v>1.4544593469540645</v>
      </c>
      <c r="T20" s="1"/>
      <c r="U20" s="1"/>
      <c r="V20" s="1"/>
      <c r="W20" s="1"/>
      <c r="X20" s="3">
        <f t="shared" si="8"/>
        <v>18</v>
      </c>
      <c r="Y20" s="3">
        <f t="shared" ca="1" si="2"/>
        <v>0.51303021498850321</v>
      </c>
      <c r="Z20" s="3">
        <f t="shared" ca="1" si="3"/>
        <v>1.4095389311788624</v>
      </c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</row>
    <row r="21" spans="1:100" ht="23.25" x14ac:dyDescent="0.35">
      <c r="A21" s="28"/>
      <c r="B21" s="28"/>
      <c r="C21" s="23"/>
      <c r="D21" s="9"/>
      <c r="E21" s="9"/>
      <c r="F21" s="10"/>
      <c r="G21" s="10"/>
      <c r="H21" s="10"/>
      <c r="I21" s="9"/>
      <c r="J21" s="9"/>
      <c r="K21" s="18"/>
      <c r="L21" s="19"/>
      <c r="M21" s="1">
        <f t="shared" si="4"/>
        <v>0.57000000000000028</v>
      </c>
      <c r="N21" s="1">
        <f t="shared" si="5"/>
        <v>3.5551690059730139</v>
      </c>
      <c r="O21" s="1">
        <f t="shared" si="6"/>
        <v>1.3612064027182109</v>
      </c>
      <c r="P21" s="1">
        <f t="shared" si="7"/>
        <v>1.8586763101930077</v>
      </c>
      <c r="Q21" s="9"/>
      <c r="R21" s="3">
        <f t="shared" si="0"/>
        <v>-0.42588013665026014</v>
      </c>
      <c r="S21" s="3">
        <f t="shared" si="1"/>
        <v>1.438271917686901</v>
      </c>
      <c r="T21" s="1"/>
      <c r="U21" s="1"/>
      <c r="V21" s="1"/>
      <c r="W21" s="1"/>
      <c r="X21" s="3">
        <f t="shared" si="8"/>
        <v>19</v>
      </c>
      <c r="Y21" s="3">
        <f t="shared" ca="1" si="2"/>
        <v>0.51303021498850321</v>
      </c>
      <c r="Z21" s="3">
        <f t="shared" ca="1" si="3"/>
        <v>1.4095389311788624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</row>
    <row r="22" spans="1:100" ht="18" customHeight="1" x14ac:dyDescent="0.35">
      <c r="A22" s="28"/>
      <c r="B22" s="27" t="s">
        <v>17</v>
      </c>
      <c r="C22" s="23"/>
      <c r="D22" s="9"/>
      <c r="E22" s="9"/>
      <c r="F22" s="10"/>
      <c r="G22" s="10"/>
      <c r="H22" s="10"/>
      <c r="I22" s="9"/>
      <c r="J22" s="9"/>
      <c r="K22" s="18"/>
      <c r="L22" s="20"/>
      <c r="M22" s="1">
        <f t="shared" si="4"/>
        <v>0.60000000000000031</v>
      </c>
      <c r="N22" s="1">
        <f t="shared" si="5"/>
        <v>4.1362927902579614</v>
      </c>
      <c r="O22" s="1">
        <f t="shared" si="6"/>
        <v>1.4852951864259498</v>
      </c>
      <c r="P22" s="1">
        <f t="shared" si="7"/>
        <v>1.9032351657857862</v>
      </c>
      <c r="Q22" s="9"/>
      <c r="R22" s="3">
        <f t="shared" si="0"/>
        <v>-0.48952396105352419</v>
      </c>
      <c r="S22" s="3">
        <f t="shared" si="1"/>
        <v>1.4178738630620382</v>
      </c>
      <c r="T22" s="1"/>
      <c r="U22" s="1"/>
      <c r="V22" s="1"/>
      <c r="W22" s="1"/>
      <c r="X22" s="3">
        <f t="shared" si="8"/>
        <v>20</v>
      </c>
      <c r="Y22" s="3">
        <f t="shared" ca="1" si="2"/>
        <v>0.51303021498850321</v>
      </c>
      <c r="Z22" s="3">
        <f t="shared" ca="1" si="3"/>
        <v>1.4095389311788624</v>
      </c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</row>
    <row r="23" spans="1:100" ht="17.25" customHeight="1" x14ac:dyDescent="0.35">
      <c r="A23" s="30"/>
      <c r="B23" s="28"/>
      <c r="C23" s="23"/>
      <c r="D23" s="8"/>
      <c r="E23" s="9"/>
      <c r="F23" s="10"/>
      <c r="G23" s="10"/>
      <c r="H23" s="10"/>
      <c r="I23" s="9"/>
      <c r="J23" s="9"/>
      <c r="K23" s="21"/>
      <c r="L23" s="20"/>
      <c r="M23" s="1">
        <f t="shared" si="4"/>
        <v>0.63000000000000034</v>
      </c>
      <c r="N23" s="1">
        <f t="shared" si="5"/>
        <v>4.7615630437569063</v>
      </c>
      <c r="O23" s="1">
        <f t="shared" si="6"/>
        <v>1.628142077738657</v>
      </c>
      <c r="P23" s="1">
        <f t="shared" si="7"/>
        <v>1.9520794281179459</v>
      </c>
      <c r="Q23" s="10"/>
      <c r="R23" s="3">
        <f t="shared" si="0"/>
        <v>-0.55816760186455805</v>
      </c>
      <c r="S23" s="3">
        <f t="shared" si="1"/>
        <v>1.3922819140636598</v>
      </c>
      <c r="T23" s="1"/>
      <c r="U23" s="1"/>
      <c r="V23" s="1"/>
      <c r="W23" s="1"/>
      <c r="X23" s="3">
        <f t="shared" si="8"/>
        <v>21</v>
      </c>
      <c r="Y23" s="3">
        <f t="shared" ca="1" si="2"/>
        <v>0.51303021498850321</v>
      </c>
      <c r="Z23" s="3">
        <f t="shared" ca="1" si="3"/>
        <v>1.4095389311788624</v>
      </c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</row>
    <row r="24" spans="1:100" ht="23.25" x14ac:dyDescent="0.35">
      <c r="C24" s="24"/>
      <c r="D24" s="9"/>
      <c r="E24" s="8"/>
      <c r="F24" s="22"/>
      <c r="G24" s="10"/>
      <c r="H24" s="10"/>
      <c r="I24" s="9"/>
      <c r="J24" s="9"/>
      <c r="K24" s="10"/>
      <c r="M24" s="1">
        <f t="shared" si="4"/>
        <v>0.66000000000000036</v>
      </c>
      <c r="N24" s="1">
        <f t="shared" si="5"/>
        <v>5.4351432316491017</v>
      </c>
      <c r="O24" s="1">
        <f t="shared" si="6"/>
        <v>1.7911963746881301</v>
      </c>
      <c r="P24" s="1">
        <f t="shared" si="7"/>
        <v>2.0058153193585899</v>
      </c>
      <c r="Q24" s="10"/>
      <c r="R24" s="3">
        <f t="shared" si="0"/>
        <v>-0.63214143761652286</v>
      </c>
      <c r="S24" s="3">
        <f t="shared" si="1"/>
        <v>1.3602930577078292</v>
      </c>
      <c r="T24" s="1"/>
      <c r="U24" s="1"/>
      <c r="V24" s="1"/>
      <c r="W24" s="1"/>
      <c r="X24" s="3">
        <f t="shared" si="8"/>
        <v>22</v>
      </c>
      <c r="Y24" s="3">
        <f t="shared" ca="1" si="2"/>
        <v>0.51303021498850321</v>
      </c>
      <c r="Z24" s="3">
        <f t="shared" ca="1" si="3"/>
        <v>1.4095389311788624</v>
      </c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</row>
    <row r="25" spans="1:100" x14ac:dyDescent="0.2">
      <c r="C25" s="9"/>
      <c r="D25" s="9"/>
      <c r="E25" s="9"/>
      <c r="F25" s="10"/>
      <c r="G25" s="10"/>
      <c r="H25" s="10"/>
      <c r="I25" s="9"/>
      <c r="J25" s="9"/>
      <c r="K25" s="10"/>
      <c r="L25" s="10"/>
      <c r="M25" s="1">
        <f t="shared" si="4"/>
        <v>0.69000000000000039</v>
      </c>
      <c r="N25" s="1">
        <f t="shared" si="5"/>
        <v>6.1602067024432969</v>
      </c>
      <c r="O25" s="1">
        <f t="shared" si="6"/>
        <v>1.976002575761429</v>
      </c>
      <c r="P25" s="1">
        <f t="shared" si="7"/>
        <v>2.0650953966314329</v>
      </c>
      <c r="Q25" s="10"/>
      <c r="R25" s="3">
        <f t="shared" si="0"/>
        <v>-0.71162210702635931</v>
      </c>
      <c r="S25" s="3">
        <f t="shared" si="1"/>
        <v>1.3204521864843743</v>
      </c>
      <c r="T25" s="1"/>
      <c r="U25" s="1"/>
      <c r="V25" s="1"/>
      <c r="W25" s="1"/>
      <c r="X25" s="3">
        <f t="shared" si="8"/>
        <v>23</v>
      </c>
      <c r="Y25" s="3">
        <f t="shared" ca="1" si="2"/>
        <v>0.51303021498850321</v>
      </c>
      <c r="Z25" s="3">
        <f t="shared" ca="1" si="3"/>
        <v>1.4095389311788624</v>
      </c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</row>
    <row r="26" spans="1:100" x14ac:dyDescent="0.2">
      <c r="C26" s="8"/>
      <c r="D26" s="8"/>
      <c r="E26" s="8"/>
      <c r="F26" s="22"/>
      <c r="G26" s="22"/>
      <c r="H26" s="22"/>
      <c r="I26" s="8"/>
      <c r="J26" s="8"/>
      <c r="K26" s="8"/>
      <c r="L26" s="8"/>
      <c r="M26" s="1">
        <f t="shared" si="4"/>
        <v>0.72000000000000042</v>
      </c>
      <c r="N26" s="1">
        <f t="shared" si="5"/>
        <v>6.938380838445064</v>
      </c>
      <c r="O26" s="1">
        <f t="shared" si="6"/>
        <v>2.1841540009147811</v>
      </c>
      <c r="P26" s="1">
        <f t="shared" si="7"/>
        <v>2.1306200166588765</v>
      </c>
      <c r="Q26" s="8"/>
      <c r="R26" s="3">
        <f t="shared" si="0"/>
        <v>-0.79655521500263871</v>
      </c>
      <c r="S26" s="3">
        <f t="shared" si="1"/>
        <v>1.2710231270327459</v>
      </c>
      <c r="T26" s="1"/>
      <c r="U26" s="1"/>
      <c r="V26" s="1"/>
      <c r="W26" s="1"/>
      <c r="X26" s="3">
        <f t="shared" si="8"/>
        <v>24</v>
      </c>
      <c r="Y26" s="3">
        <f t="shared" ca="1" si="2"/>
        <v>0.51303021498850321</v>
      </c>
      <c r="Z26" s="3">
        <f t="shared" ca="1" si="3"/>
        <v>1.4095389311788624</v>
      </c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</row>
    <row r="27" spans="1:100" x14ac:dyDescent="0.2">
      <c r="A27" s="32"/>
      <c r="F27" s="3"/>
      <c r="G27" s="3"/>
      <c r="H27" s="3"/>
      <c r="I27" s="3"/>
      <c r="J27" s="3"/>
      <c r="K27" s="4"/>
      <c r="M27" s="1">
        <f t="shared" si="4"/>
        <v>0.75000000000000044</v>
      </c>
      <c r="N27" s="1">
        <f t="shared" si="5"/>
        <v>7.7689782899440569</v>
      </c>
      <c r="O27" s="1">
        <f t="shared" si="6"/>
        <v>2.4172233496131028</v>
      </c>
      <c r="P27" s="1">
        <f t="shared" si="7"/>
        <v>2.2031367171472693</v>
      </c>
      <c r="R27" s="3">
        <f t="shared" si="0"/>
        <v>-0.88655136375422394</v>
      </c>
      <c r="S27" s="3">
        <f t="shared" si="1"/>
        <v>1.2099697018626232</v>
      </c>
      <c r="T27" s="1"/>
      <c r="U27" s="1"/>
      <c r="V27" s="1"/>
      <c r="W27" s="1"/>
      <c r="X27" s="3">
        <f t="shared" si="8"/>
        <v>25</v>
      </c>
      <c r="Y27" s="3">
        <f t="shared" ca="1" si="2"/>
        <v>0.51303021498850321</v>
      </c>
      <c r="Z27" s="3">
        <f t="shared" ca="1" si="3"/>
        <v>1.4095389311788624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x14ac:dyDescent="0.2">
      <c r="A28" s="32"/>
      <c r="F28" s="3"/>
      <c r="G28" s="3"/>
      <c r="H28" s="3"/>
      <c r="I28" s="3"/>
      <c r="J28" s="3"/>
      <c r="K28" s="4"/>
      <c r="M28" s="1">
        <f t="shared" si="4"/>
        <v>0.78000000000000047</v>
      </c>
      <c r="N28" s="1">
        <f t="shared" si="5"/>
        <v>8.6479635360770608</v>
      </c>
      <c r="O28" s="1">
        <f t="shared" si="6"/>
        <v>2.6766622556954145</v>
      </c>
      <c r="P28" s="1">
        <f t="shared" si="7"/>
        <v>2.2834365848181317</v>
      </c>
      <c r="R28" s="3">
        <f t="shared" si="0"/>
        <v>-0.98075065165470021</v>
      </c>
      <c r="S28" s="3">
        <f t="shared" si="1"/>
        <v>1.1349573380875955</v>
      </c>
      <c r="T28" s="1"/>
      <c r="U28" s="1"/>
      <c r="V28" s="1"/>
      <c r="W28" s="1"/>
      <c r="X28" s="3">
        <f t="shared" si="8"/>
        <v>26</v>
      </c>
      <c r="Y28" s="3">
        <f t="shared" ca="1" si="2"/>
        <v>0.51303021498850321</v>
      </c>
      <c r="Z28" s="3">
        <f t="shared" ca="1" si="3"/>
        <v>1.4095389311788624</v>
      </c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</row>
    <row r="29" spans="1:100" x14ac:dyDescent="0.2">
      <c r="A29" s="32"/>
      <c r="F29" s="3"/>
      <c r="G29" s="3"/>
      <c r="H29" s="3"/>
      <c r="I29" s="3"/>
      <c r="J29" s="3"/>
      <c r="K29" s="4"/>
      <c r="M29" s="1">
        <f t="shared" si="4"/>
        <v>0.8100000000000005</v>
      </c>
      <c r="N29" s="1">
        <f t="shared" si="5"/>
        <v>9.5666069135344145</v>
      </c>
      <c r="O29" s="1">
        <f t="shared" si="6"/>
        <v>2.9636604631014469</v>
      </c>
      <c r="P29" s="1">
        <f t="shared" si="7"/>
        <v>2.372346398711175</v>
      </c>
      <c r="R29" s="3">
        <f t="shared" si="0"/>
        <v>-1.0776527612509486</v>
      </c>
      <c r="S29" s="3">
        <f t="shared" si="1"/>
        <v>1.0433908788983188</v>
      </c>
      <c r="T29" s="1"/>
      <c r="U29" s="1"/>
      <c r="V29" s="1"/>
      <c r="W29" s="1"/>
      <c r="X29" s="3">
        <f t="shared" si="8"/>
        <v>27</v>
      </c>
      <c r="Y29" s="3">
        <f t="shared" ca="1" si="2"/>
        <v>0.51303021498850321</v>
      </c>
      <c r="Z29" s="3">
        <f t="shared" ca="1" si="3"/>
        <v>1.4095389311788624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">
      <c r="A30" s="32"/>
      <c r="F30" s="3"/>
      <c r="G30" s="3"/>
      <c r="H30" s="3"/>
      <c r="I30" s="4"/>
      <c r="J30" s="4"/>
      <c r="K30" s="4"/>
      <c r="M30" s="1">
        <f t="shared" si="4"/>
        <v>0.84000000000000052</v>
      </c>
      <c r="N30" s="1">
        <f t="shared" si="5"/>
        <v>10.509798170830354</v>
      </c>
      <c r="O30" s="1">
        <f t="shared" si="6"/>
        <v>3.2789544082263573</v>
      </c>
      <c r="P30" s="1">
        <f t="shared" si="7"/>
        <v>2.4707150309579657</v>
      </c>
      <c r="R30" s="3">
        <f t="shared" si="0"/>
        <v>-1.1749145591046226</v>
      </c>
      <c r="S30" s="3">
        <f t="shared" si="1"/>
        <v>0.93251047114978314</v>
      </c>
      <c r="T30" s="1"/>
      <c r="U30" s="1"/>
      <c r="V30" s="1"/>
      <c r="W30" s="1"/>
      <c r="X30" s="3">
        <f t="shared" si="8"/>
        <v>28</v>
      </c>
      <c r="Y30" s="3">
        <f t="shared" ca="1" si="2"/>
        <v>0.51303021498850321</v>
      </c>
      <c r="Z30" s="3">
        <f t="shared" ca="1" si="3"/>
        <v>1.4095389311788624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x14ac:dyDescent="0.2">
      <c r="A31" s="32"/>
      <c r="F31" s="3"/>
      <c r="G31" s="3"/>
      <c r="H31" s="3"/>
      <c r="I31" s="4"/>
      <c r="J31" s="4"/>
      <c r="K31" s="4"/>
      <c r="M31" s="1">
        <f t="shared" si="4"/>
        <v>0.87000000000000055</v>
      </c>
      <c r="N31" s="1">
        <f t="shared" si="5"/>
        <v>11.454039694305854</v>
      </c>
      <c r="O31" s="1">
        <f t="shared" si="6"/>
        <v>3.6225755990555331</v>
      </c>
      <c r="P31" s="1">
        <f t="shared" si="7"/>
        <v>2.5793922989296316</v>
      </c>
      <c r="R31" s="3">
        <f t="shared" si="0"/>
        <v>-1.2691263943693114</v>
      </c>
      <c r="S31" s="3">
        <f t="shared" si="1"/>
        <v>0.79957375839577849</v>
      </c>
      <c r="T31" s="1"/>
      <c r="U31" s="1"/>
      <c r="V31" s="1"/>
      <c r="W31" s="1"/>
      <c r="X31" s="3">
        <f t="shared" si="8"/>
        <v>29</v>
      </c>
      <c r="Y31" s="3">
        <f t="shared" ca="1" si="2"/>
        <v>0.51303021498850321</v>
      </c>
      <c r="Z31" s="3">
        <f t="shared" ca="1" si="3"/>
        <v>1.4095389311788624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</row>
    <row r="32" spans="1:100" x14ac:dyDescent="0.2">
      <c r="A32" s="32"/>
      <c r="F32" s="3"/>
      <c r="G32" s="3"/>
      <c r="H32" s="3"/>
      <c r="M32" s="1">
        <f t="shared" si="4"/>
        <v>0.90000000000000058</v>
      </c>
      <c r="N32" s="1">
        <f t="shared" si="5"/>
        <v>12.365232139778117</v>
      </c>
      <c r="O32" s="1">
        <f t="shared" si="6"/>
        <v>3.9935325632488765</v>
      </c>
      <c r="P32" s="1">
        <f t="shared" si="7"/>
        <v>2.699198275827098</v>
      </c>
      <c r="R32" s="3">
        <f t="shared" si="0"/>
        <v>-1.3555938160820051</v>
      </c>
      <c r="S32" s="3">
        <f t="shared" si="1"/>
        <v>0.64215683894219089</v>
      </c>
      <c r="T32" s="1"/>
      <c r="U32" s="1"/>
      <c r="V32" s="1"/>
      <c r="W32" s="1"/>
      <c r="X32" s="3">
        <f t="shared" si="8"/>
        <v>30</v>
      </c>
      <c r="Y32" s="3">
        <f t="shared" ca="1" si="2"/>
        <v>0.51303021498850321</v>
      </c>
      <c r="Z32" s="3">
        <f t="shared" ca="1" si="3"/>
        <v>1.4095389311788624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x14ac:dyDescent="0.2">
      <c r="A33" s="32"/>
      <c r="F33" s="3"/>
      <c r="G33" s="3"/>
      <c r="H33" s="3"/>
      <c r="M33" s="1">
        <f t="shared" si="4"/>
        <v>0.9300000000000006</v>
      </c>
      <c r="N33" s="1">
        <f t="shared" si="5"/>
        <v>13.196520230127652</v>
      </c>
      <c r="O33" s="1">
        <f t="shared" si="6"/>
        <v>4.3894281701527058</v>
      </c>
      <c r="P33" s="1">
        <f t="shared" si="7"/>
        <v>2.8308811209316791</v>
      </c>
      <c r="R33" s="3">
        <f t="shared" si="0"/>
        <v>-1.4281744044726865</v>
      </c>
      <c r="S33" s="3">
        <f t="shared" si="1"/>
        <v>0.45860426340046978</v>
      </c>
      <c r="T33" s="1"/>
      <c r="U33" s="1"/>
      <c r="V33" s="1"/>
      <c r="W33" s="1"/>
      <c r="X33" s="3">
        <f t="shared" si="8"/>
        <v>31</v>
      </c>
      <c r="Y33" s="3">
        <f t="shared" ca="1" si="2"/>
        <v>0.51303021498850321</v>
      </c>
      <c r="Z33" s="3">
        <f t="shared" ca="1" si="3"/>
        <v>1.4095389311788624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</row>
    <row r="34" spans="1:100" x14ac:dyDescent="0.2">
      <c r="A34" s="32"/>
      <c r="F34" s="3"/>
      <c r="G34" s="3"/>
      <c r="H34" s="3"/>
      <c r="M34" s="1">
        <f t="shared" si="4"/>
        <v>0.96000000000000063</v>
      </c>
      <c r="N34" s="1">
        <f t="shared" si="5"/>
        <v>13.886695509413121</v>
      </c>
      <c r="O34" s="1">
        <f t="shared" si="6"/>
        <v>4.806029035435099</v>
      </c>
      <c r="P34" s="1">
        <f t="shared" si="7"/>
        <v>2.9750619919947319</v>
      </c>
      <c r="R34" s="3">
        <f t="shared" si="0"/>
        <v>-1.479248677736593</v>
      </c>
      <c r="S34" s="3">
        <f t="shared" si="1"/>
        <v>0.24864301601802727</v>
      </c>
      <c r="T34" s="1"/>
      <c r="U34" s="1"/>
      <c r="V34" s="1"/>
      <c r="W34" s="1"/>
      <c r="X34" s="3">
        <f t="shared" si="8"/>
        <v>32</v>
      </c>
      <c r="Y34" s="3">
        <f t="shared" ca="1" si="2"/>
        <v>0.51303021498850321</v>
      </c>
      <c r="Z34" s="3">
        <f t="shared" ca="1" si="3"/>
        <v>1.4095389311788624</v>
      </c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</row>
    <row r="35" spans="1:100" x14ac:dyDescent="0.2">
      <c r="A35" s="32"/>
      <c r="F35" s="3"/>
      <c r="G35" s="3"/>
      <c r="H35" s="3"/>
      <c r="M35" s="1">
        <f t="shared" si="4"/>
        <v>0.99000000000000066</v>
      </c>
      <c r="N35" s="1">
        <f t="shared" si="5"/>
        <v>14.35994416417677</v>
      </c>
      <c r="O35" s="1">
        <f t="shared" si="6"/>
        <v>5.2368273603604019</v>
      </c>
      <c r="P35" s="1">
        <f t="shared" si="7"/>
        <v>3.132166812805544</v>
      </c>
      <c r="R35" s="3">
        <f t="shared" si="0"/>
        <v>-1.4999333656374871</v>
      </c>
      <c r="S35" s="3">
        <f t="shared" si="1"/>
        <v>1.4138551814123237E-2</v>
      </c>
      <c r="T35" s="1"/>
      <c r="U35" s="1"/>
      <c r="V35" s="1"/>
      <c r="W35" s="1"/>
      <c r="X35" s="3">
        <f t="shared" si="8"/>
        <v>33</v>
      </c>
      <c r="Y35" s="3">
        <f t="shared" ca="1" si="2"/>
        <v>0.51303021498850321</v>
      </c>
      <c r="Z35" s="3">
        <f t="shared" ca="1" si="3"/>
        <v>1.4095389311788624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</row>
    <row r="36" spans="1:100" x14ac:dyDescent="0.2">
      <c r="A36" s="32"/>
      <c r="F36" s="3"/>
      <c r="G36" s="3"/>
      <c r="H36" s="3"/>
      <c r="M36" s="1">
        <f t="shared" si="4"/>
        <v>1.0200000000000007</v>
      </c>
      <c r="N36" s="1">
        <f t="shared" si="5"/>
        <v>14.528019193942434</v>
      </c>
      <c r="O36" s="1">
        <f t="shared" si="6"/>
        <v>5.6726679361786747</v>
      </c>
      <c r="P36" s="1">
        <f t="shared" si="7"/>
        <v>3.3023468508909044</v>
      </c>
      <c r="R36" s="3">
        <f t="shared" si="0"/>
        <v>-1.4806602678771719</v>
      </c>
      <c r="S36" s="3">
        <f t="shared" si="1"/>
        <v>-0.24009408807778215</v>
      </c>
      <c r="T36" s="1"/>
      <c r="U36" s="1"/>
      <c r="V36" s="1"/>
      <c r="W36" s="1"/>
      <c r="X36" s="3">
        <f t="shared" si="8"/>
        <v>34</v>
      </c>
      <c r="Y36" s="3">
        <f t="shared" ca="1" si="2"/>
        <v>0.51303021498850321</v>
      </c>
      <c r="Z36" s="3">
        <f t="shared" ca="1" si="3"/>
        <v>1.4095389311788624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</row>
    <row r="37" spans="1:100" x14ac:dyDescent="0.2">
      <c r="A37" s="32"/>
      <c r="F37" s="3"/>
      <c r="G37" s="3"/>
      <c r="H37" s="3"/>
      <c r="M37" s="1">
        <f t="shared" si="4"/>
        <v>1.0500000000000007</v>
      </c>
      <c r="N37" s="1">
        <f t="shared" si="5"/>
        <v>14.296062564515637</v>
      </c>
      <c r="O37" s="1">
        <f t="shared" si="6"/>
        <v>6.1015498131141435</v>
      </c>
      <c r="P37" s="1">
        <f t="shared" si="7"/>
        <v>3.4853933452843289</v>
      </c>
      <c r="R37" s="3">
        <f t="shared" si="0"/>
        <v>-1.4122205666997578</v>
      </c>
      <c r="S37" s="3">
        <f t="shared" si="1"/>
        <v>-0.50560169203654226</v>
      </c>
      <c r="T37" s="1"/>
      <c r="U37" s="1"/>
      <c r="V37" s="1"/>
      <c r="W37" s="1"/>
      <c r="X37" s="3">
        <f t="shared" si="8"/>
        <v>35</v>
      </c>
      <c r="Y37" s="3">
        <f t="shared" ca="1" si="2"/>
        <v>0.51303021498850321</v>
      </c>
      <c r="Z37" s="3">
        <f t="shared" ca="1" si="3"/>
        <v>1.4095389311788624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</row>
    <row r="38" spans="1:100" x14ac:dyDescent="0.2">
      <c r="A38" s="32"/>
      <c r="F38" s="3"/>
      <c r="G38" s="3"/>
      <c r="H38" s="3"/>
      <c r="M38" s="1">
        <f t="shared" si="4"/>
        <v>1.0800000000000007</v>
      </c>
      <c r="N38" s="1">
        <f t="shared" si="5"/>
        <v>13.573066183817307</v>
      </c>
      <c r="O38" s="1">
        <f t="shared" si="6"/>
        <v>6.5087417986286624</v>
      </c>
      <c r="P38" s="1">
        <f t="shared" si="7"/>
        <v>3.6806555992431886</v>
      </c>
      <c r="R38" s="3">
        <f t="shared" si="0"/>
        <v>-1.2872851171418642</v>
      </c>
      <c r="S38" s="3">
        <f t="shared" si="1"/>
        <v>-0.76999806959826667</v>
      </c>
      <c r="T38" s="1"/>
      <c r="U38" s="1"/>
      <c r="V38" s="1"/>
      <c r="W38" s="1"/>
      <c r="X38" s="3">
        <f t="shared" si="8"/>
        <v>36</v>
      </c>
      <c r="Y38" s="3">
        <f t="shared" ca="1" si="2"/>
        <v>0.51303021498850321</v>
      </c>
      <c r="Z38" s="3">
        <f t="shared" ca="1" si="3"/>
        <v>1.4095389311788624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</row>
    <row r="39" spans="1:100" x14ac:dyDescent="0.2">
      <c r="A39" s="32"/>
      <c r="F39" s="3"/>
      <c r="G39" s="3"/>
      <c r="H39" s="3"/>
      <c r="M39" s="1">
        <f t="shared" si="4"/>
        <v>1.1100000000000008</v>
      </c>
      <c r="N39" s="1">
        <f t="shared" si="5"/>
        <v>12.287064409542062</v>
      </c>
      <c r="O39" s="1">
        <f t="shared" si="6"/>
        <v>6.8773537309149244</v>
      </c>
      <c r="P39" s="1">
        <f t="shared" si="7"/>
        <v>3.8869762111706363</v>
      </c>
      <c r="R39" s="3">
        <f t="shared" si="0"/>
        <v>-1.1022417106327054</v>
      </c>
      <c r="S39" s="3">
        <f t="shared" si="1"/>
        <v>-1.0173805636739317</v>
      </c>
      <c r="T39" s="1"/>
      <c r="U39" s="1"/>
      <c r="V39" s="1"/>
      <c r="W39" s="1"/>
      <c r="X39" s="3">
        <f t="shared" si="8"/>
        <v>37</v>
      </c>
      <c r="Y39" s="3">
        <f t="shared" ca="1" si="2"/>
        <v>0.51303021498850321</v>
      </c>
      <c r="Z39" s="3">
        <f t="shared" ca="1" si="3"/>
        <v>1.4095389311788624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</row>
    <row r="40" spans="1:100" x14ac:dyDescent="0.2">
      <c r="A40" s="32"/>
      <c r="F40" s="3"/>
      <c r="G40" s="3"/>
      <c r="H40" s="3"/>
      <c r="M40" s="1">
        <f t="shared" si="4"/>
        <v>1.1400000000000008</v>
      </c>
      <c r="N40" s="1">
        <f t="shared" si="5"/>
        <v>10.403455270544711</v>
      </c>
      <c r="O40" s="1">
        <f t="shared" si="6"/>
        <v>7.1894573890312659</v>
      </c>
      <c r="P40" s="1">
        <f t="shared" si="7"/>
        <v>4.1026599328415738</v>
      </c>
      <c r="R40" s="3">
        <f t="shared" si="0"/>
        <v>-0.85896803014557643</v>
      </c>
      <c r="S40" s="3">
        <f t="shared" si="1"/>
        <v>-1.2297048114030571</v>
      </c>
      <c r="T40" s="1"/>
      <c r="U40" s="1"/>
      <c r="V40" s="1"/>
      <c r="W40" s="1"/>
      <c r="X40" s="3">
        <f t="shared" si="8"/>
        <v>38</v>
      </c>
      <c r="Y40" s="3">
        <f t="shared" ca="1" si="2"/>
        <v>0.51303021498850321</v>
      </c>
      <c r="Z40" s="3">
        <f t="shared" ca="1" si="3"/>
        <v>1.4095389311788624</v>
      </c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</row>
    <row r="41" spans="1:100" x14ac:dyDescent="0.2">
      <c r="A41" s="32"/>
      <c r="F41" s="3"/>
      <c r="G41" s="3"/>
      <c r="H41" s="3"/>
      <c r="M41" s="1">
        <f t="shared" si="4"/>
        <v>1.1700000000000008</v>
      </c>
      <c r="N41" s="1">
        <f t="shared" si="5"/>
        <v>7.9426291364429495</v>
      </c>
      <c r="O41" s="1">
        <f t="shared" si="6"/>
        <v>7.4277362631245545</v>
      </c>
      <c r="P41" s="1">
        <f t="shared" si="7"/>
        <v>4.32549202073531</v>
      </c>
      <c r="R41" s="3">
        <f t="shared" si="0"/>
        <v>-0.56597483881003297</v>
      </c>
      <c r="S41" s="3">
        <f t="shared" si="1"/>
        <v>-1.3891265175764076</v>
      </c>
      <c r="T41" s="1"/>
      <c r="U41" s="1"/>
      <c r="V41" s="1"/>
      <c r="W41" s="1"/>
      <c r="X41" s="3">
        <f t="shared" si="8"/>
        <v>39</v>
      </c>
      <c r="Y41" s="3">
        <f t="shared" ca="1" si="2"/>
        <v>0.51303021498850321</v>
      </c>
      <c r="Z41" s="3">
        <f t="shared" ca="1" si="3"/>
        <v>1.4095389311788624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</row>
    <row r="42" spans="1:100" x14ac:dyDescent="0.2">
      <c r="A42" s="32"/>
      <c r="F42" s="3"/>
      <c r="G42" s="3"/>
      <c r="H42" s="3"/>
      <c r="M42" s="1">
        <f t="shared" si="4"/>
        <v>1.2000000000000008</v>
      </c>
      <c r="N42" s="1">
        <f t="shared" si="5"/>
        <v>4.9912521244191197</v>
      </c>
      <c r="O42" s="1">
        <f t="shared" si="6"/>
        <v>7.577473826857128</v>
      </c>
      <c r="P42" s="1">
        <f t="shared" si="7"/>
        <v>4.552816235541024</v>
      </c>
      <c r="R42" s="3">
        <f t="shared" si="0"/>
        <v>-0.23834459120738305</v>
      </c>
      <c r="S42" s="3">
        <f t="shared" si="1"/>
        <v>-1.4809428941867357</v>
      </c>
      <c r="T42" s="1"/>
      <c r="U42" s="1"/>
      <c r="V42" s="1"/>
      <c r="W42" s="1"/>
      <c r="X42" s="3">
        <f t="shared" si="8"/>
        <v>40</v>
      </c>
      <c r="Y42" s="3">
        <f t="shared" ca="1" si="2"/>
        <v>0.51303021498850321</v>
      </c>
      <c r="Z42" s="3">
        <f t="shared" ca="1" si="3"/>
        <v>1.4095389311788624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</row>
    <row r="43" spans="1:100" x14ac:dyDescent="0.2">
      <c r="A43" s="32"/>
      <c r="F43" s="3"/>
      <c r="G43" s="3"/>
      <c r="H43" s="3"/>
      <c r="M43" s="1">
        <f t="shared" si="4"/>
        <v>1.2300000000000009</v>
      </c>
      <c r="N43" s="1">
        <f t="shared" si="5"/>
        <v>1.7014732676566893</v>
      </c>
      <c r="O43" s="1">
        <f t="shared" si="6"/>
        <v>7.6285180248868283</v>
      </c>
      <c r="P43" s="1">
        <f t="shared" si="7"/>
        <v>4.7816717762876291</v>
      </c>
      <c r="R43" s="3">
        <f t="shared" si="0"/>
        <v>0.10384107261869907</v>
      </c>
      <c r="S43" s="3">
        <f t="shared" si="1"/>
        <v>-1.4964013604769937</v>
      </c>
      <c r="T43" s="1"/>
      <c r="U43" s="1"/>
      <c r="V43" s="1"/>
      <c r="W43" s="1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</row>
    <row r="44" spans="1:100" x14ac:dyDescent="0.2">
      <c r="A44" s="32"/>
      <c r="F44" s="3"/>
      <c r="G44" s="3"/>
      <c r="H44" s="3"/>
      <c r="M44" s="1">
        <f t="shared" si="4"/>
        <v>1.2600000000000009</v>
      </c>
      <c r="N44" s="1">
        <f t="shared" si="5"/>
        <v>-1.7249773484268054</v>
      </c>
      <c r="O44" s="1">
        <f t="shared" si="6"/>
        <v>7.5767687044340244</v>
      </c>
      <c r="P44" s="1">
        <f t="shared" si="7"/>
        <v>5.0089748374206495</v>
      </c>
      <c r="R44" s="3">
        <f t="shared" si="0"/>
        <v>0.43838525295018538</v>
      </c>
      <c r="S44" s="3">
        <f t="shared" si="1"/>
        <v>-1.4345098012895563</v>
      </c>
      <c r="T44" s="1"/>
      <c r="U44" s="1"/>
      <c r="V44" s="1"/>
      <c r="W44" s="1"/>
      <c r="X44" s="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</row>
    <row r="45" spans="1:100" x14ac:dyDescent="0.2">
      <c r="A45" s="32"/>
      <c r="F45" s="3"/>
      <c r="G45" s="3"/>
      <c r="H45" s="3"/>
      <c r="M45" s="1">
        <f t="shared" si="4"/>
        <v>1.2900000000000009</v>
      </c>
      <c r="N45" s="1">
        <f t="shared" si="5"/>
        <v>-5.0657617129009163</v>
      </c>
      <c r="O45" s="1">
        <f t="shared" si="6"/>
        <v>7.4247958530469971</v>
      </c>
      <c r="P45" s="1">
        <f t="shared" si="7"/>
        <v>5.231718713012059</v>
      </c>
      <c r="R45" s="3">
        <f t="shared" si="0"/>
        <v>0.74444753308805622</v>
      </c>
      <c r="S45" s="3">
        <f t="shared" si="1"/>
        <v>-1.3022280408895777</v>
      </c>
      <c r="T45" s="1"/>
      <c r="U45" s="1"/>
      <c r="V45" s="1"/>
      <c r="W45" s="1"/>
      <c r="X45" s="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</row>
    <row r="46" spans="1:100" x14ac:dyDescent="0.2">
      <c r="A46" s="32"/>
      <c r="F46" s="3"/>
      <c r="G46" s="3"/>
      <c r="H46" s="3"/>
      <c r="M46" s="1">
        <f t="shared" si="4"/>
        <v>1.320000000000001</v>
      </c>
      <c r="N46" s="1">
        <f t="shared" si="5"/>
        <v>-8.1127069576547921</v>
      </c>
      <c r="O46" s="1">
        <f t="shared" si="6"/>
        <v>7.1814146443173534</v>
      </c>
      <c r="P46" s="1">
        <f t="shared" si="7"/>
        <v>5.4471611523415797</v>
      </c>
      <c r="R46" s="3">
        <f t="shared" si="0"/>
        <v>1.0056271925803189</v>
      </c>
      <c r="S46" s="3">
        <f t="shared" si="1"/>
        <v>-1.1129752690617283</v>
      </c>
      <c r="T46" s="1"/>
      <c r="U46" s="1"/>
      <c r="V46" s="1"/>
      <c r="W46" s="1"/>
      <c r="X46" s="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</row>
    <row r="47" spans="1:100" x14ac:dyDescent="0.2">
      <c r="A47" s="32"/>
      <c r="F47" s="3"/>
      <c r="G47" s="3"/>
      <c r="H47" s="3"/>
      <c r="M47" s="1">
        <f t="shared" si="4"/>
        <v>1.350000000000001</v>
      </c>
      <c r="N47" s="1">
        <f t="shared" si="5"/>
        <v>-10.702599243791749</v>
      </c>
      <c r="O47" s="1">
        <f t="shared" si="6"/>
        <v>6.860336667003601</v>
      </c>
      <c r="P47" s="1">
        <f t="shared" si="7"/>
        <v>5.652971252351688</v>
      </c>
      <c r="R47" s="3">
        <f t="shared" si="0"/>
        <v>1.2118520707824758</v>
      </c>
      <c r="S47" s="3">
        <f t="shared" si="1"/>
        <v>-0.8839765599495415</v>
      </c>
      <c r="T47" s="1"/>
      <c r="U47" s="1"/>
      <c r="V47" s="1"/>
      <c r="W47" s="1"/>
      <c r="X47" s="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</row>
    <row r="48" spans="1:100" x14ac:dyDescent="0.2">
      <c r="A48" s="32"/>
      <c r="F48" s="3"/>
      <c r="G48" s="3"/>
      <c r="H48" s="3"/>
      <c r="M48" s="1">
        <f t="shared" si="4"/>
        <v>1.380000000000001</v>
      </c>
      <c r="N48" s="1">
        <f t="shared" si="5"/>
        <v>-12.735951007855082</v>
      </c>
      <c r="O48" s="1">
        <f t="shared" si="6"/>
        <v>6.4782581367679484</v>
      </c>
      <c r="P48" s="1">
        <f t="shared" si="7"/>
        <v>5.8473189964547263</v>
      </c>
      <c r="R48" s="3">
        <f t="shared" si="0"/>
        <v>1.3597569445415467</v>
      </c>
      <c r="S48" s="3">
        <f t="shared" si="1"/>
        <v>-0.63329381156856213</v>
      </c>
      <c r="T48" s="1"/>
      <c r="U48" s="1"/>
      <c r="V48" s="1"/>
      <c r="W48" s="1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</row>
    <row r="49" spans="1:100" x14ac:dyDescent="0.2">
      <c r="A49" s="32"/>
      <c r="F49" s="3"/>
      <c r="G49" s="3"/>
      <c r="H49" s="3"/>
      <c r="M49" s="1">
        <f t="shared" si="4"/>
        <v>1.410000000000001</v>
      </c>
      <c r="N49" s="1">
        <f t="shared" si="5"/>
        <v>-14.180612677724582</v>
      </c>
      <c r="O49" s="1">
        <f t="shared" si="6"/>
        <v>6.0528397564362111</v>
      </c>
      <c r="P49" s="1">
        <f t="shared" si="7"/>
        <v>6.0289041891478128</v>
      </c>
      <c r="R49" s="3">
        <f t="shared" si="0"/>
        <v>1.4517665704632363</v>
      </c>
      <c r="S49" s="3">
        <f t="shared" si="1"/>
        <v>-0.37732456173089701</v>
      </c>
      <c r="T49" s="1"/>
      <c r="U49" s="1"/>
      <c r="V49" s="1"/>
      <c r="W49" s="1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</row>
    <row r="50" spans="1:100" x14ac:dyDescent="0.2">
      <c r="A50" s="32"/>
      <c r="F50" s="3"/>
      <c r="G50" s="3"/>
      <c r="H50" s="3"/>
      <c r="M50" s="1">
        <f t="shared" si="4"/>
        <v>1.4400000000000011</v>
      </c>
      <c r="N50" s="1">
        <f t="shared" si="5"/>
        <v>-15.062421282711622</v>
      </c>
      <c r="O50" s="1">
        <f t="shared" si="6"/>
        <v>5.6009671179548626</v>
      </c>
      <c r="P50" s="1">
        <f t="shared" si="7"/>
        <v>6.1969332026864583</v>
      </c>
      <c r="R50" s="3">
        <f t="shared" si="0"/>
        <v>1.4944238890609749</v>
      </c>
      <c r="S50" s="3">
        <f t="shared" si="1"/>
        <v>-0.12921779987242965</v>
      </c>
      <c r="T50" s="1"/>
      <c r="U50" s="1"/>
      <c r="V50" s="1"/>
      <c r="W50" s="1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</row>
    <row r="51" spans="1:100" x14ac:dyDescent="0.2">
      <c r="A51" s="32"/>
      <c r="F51" s="3"/>
      <c r="G51" s="3"/>
      <c r="H51" s="3"/>
      <c r="M51" s="1">
        <f t="shared" si="4"/>
        <v>1.4700000000000011</v>
      </c>
      <c r="N51" s="1">
        <f t="shared" si="5"/>
        <v>-15.448325931225686</v>
      </c>
      <c r="O51" s="1">
        <f t="shared" si="6"/>
        <v>5.1375173400180918</v>
      </c>
      <c r="P51" s="1">
        <f t="shared" si="7"/>
        <v>6.351058722887001</v>
      </c>
      <c r="R51" s="3">
        <f t="shared" si="0"/>
        <v>1.4965462257897015</v>
      </c>
      <c r="S51" s="3">
        <f t="shared" si="1"/>
        <v>0.10173197174241708</v>
      </c>
      <c r="T51" s="1"/>
      <c r="U51" s="1"/>
      <c r="V51" s="1"/>
      <c r="W51" s="1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</row>
    <row r="52" spans="1:100" x14ac:dyDescent="0.2">
      <c r="A52" s="32"/>
      <c r="F52" s="3"/>
      <c r="G52" s="3"/>
      <c r="H52" s="3"/>
      <c r="M52" s="1">
        <f t="shared" si="4"/>
        <v>1.5000000000000011</v>
      </c>
      <c r="N52" s="1">
        <f t="shared" si="5"/>
        <v>-15.427838818498643</v>
      </c>
      <c r="O52" s="1">
        <f t="shared" si="6"/>
        <v>4.6746821754631327</v>
      </c>
      <c r="P52" s="1">
        <f t="shared" si="7"/>
        <v>6.4912991881508946</v>
      </c>
      <c r="R52" s="3">
        <f t="shared" si="0"/>
        <v>1.4676335325446617</v>
      </c>
      <c r="S52" s="3">
        <f t="shared" si="1"/>
        <v>0.3099222711430682</v>
      </c>
      <c r="T52" s="1"/>
      <c r="U52" s="1"/>
      <c r="V52" s="1"/>
      <c r="W52" s="1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</row>
    <row r="53" spans="1:100" x14ac:dyDescent="0.2">
      <c r="A53" s="32"/>
      <c r="F53" s="3"/>
      <c r="G53" s="3"/>
      <c r="H53" s="3"/>
      <c r="M53" s="1">
        <f t="shared" si="4"/>
        <v>1.5300000000000011</v>
      </c>
      <c r="N53" s="1">
        <f t="shared" si="5"/>
        <v>-15.0970567212383</v>
      </c>
      <c r="O53" s="1">
        <f t="shared" si="6"/>
        <v>4.221770473825984</v>
      </c>
      <c r="P53" s="1">
        <f t="shared" si="7"/>
        <v>6.6179523023656737</v>
      </c>
      <c r="R53" s="3">
        <f t="shared" si="0"/>
        <v>1.4167303331918877</v>
      </c>
      <c r="S53" s="3">
        <f t="shared" si="1"/>
        <v>0.49282366320419629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</row>
    <row r="54" spans="1:100" x14ac:dyDescent="0.2">
      <c r="A54" s="32"/>
      <c r="F54" s="3"/>
      <c r="G54" s="3"/>
      <c r="H54" s="3"/>
      <c r="M54" s="1">
        <f t="shared" si="4"/>
        <v>1.5600000000000012</v>
      </c>
      <c r="N54" s="1">
        <f t="shared" si="5"/>
        <v>-14.547262674563216</v>
      </c>
      <c r="O54" s="1">
        <f t="shared" si="6"/>
        <v>3.7853525935890877</v>
      </c>
      <c r="P54" s="1">
        <f t="shared" si="7"/>
        <v>6.7315128801733461</v>
      </c>
      <c r="R54" s="3">
        <f t="shared" si="0"/>
        <v>1.351759936258758</v>
      </c>
      <c r="S54" s="3">
        <f t="shared" si="1"/>
        <v>0.6501884916896935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</row>
    <row r="55" spans="1:100" x14ac:dyDescent="0.2">
      <c r="A55" s="32"/>
      <c r="F55" s="3"/>
      <c r="G55" s="3"/>
      <c r="H55" s="3"/>
      <c r="M55" s="1">
        <f t="shared" si="4"/>
        <v>1.5900000000000012</v>
      </c>
      <c r="N55" s="1">
        <f t="shared" si="5"/>
        <v>-13.858281096010598</v>
      </c>
      <c r="O55" s="1">
        <f t="shared" si="6"/>
        <v>3.3696041607087697</v>
      </c>
      <c r="P55" s="1">
        <f t="shared" si="7"/>
        <v>6.8326010049946095</v>
      </c>
      <c r="R55" s="3">
        <f t="shared" si="0"/>
        <v>1.2792446757033971</v>
      </c>
      <c r="S55" s="3">
        <f t="shared" si="1"/>
        <v>0.78328351168942045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</row>
    <row r="56" spans="1:100" x14ac:dyDescent="0.2">
      <c r="A56" s="32"/>
      <c r="F56" s="3"/>
      <c r="G56" s="3"/>
      <c r="H56" s="3"/>
      <c r="M56" s="1">
        <f t="shared" si="4"/>
        <v>1.6200000000000012</v>
      </c>
      <c r="N56" s="1">
        <f t="shared" si="5"/>
        <v>-13.09571113149776</v>
      </c>
      <c r="O56" s="1">
        <f t="shared" si="6"/>
        <v>2.9767328267638371</v>
      </c>
      <c r="P56" s="1">
        <f t="shared" si="7"/>
        <v>6.9219029897975251</v>
      </c>
      <c r="R56" s="3">
        <f t="shared" si="0"/>
        <v>1.2042913384668672</v>
      </c>
      <c r="S56" s="3">
        <f t="shared" si="1"/>
        <v>0.89424961397457792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</row>
    <row r="57" spans="1:100" x14ac:dyDescent="0.2">
      <c r="A57" s="32"/>
      <c r="F57" s="3"/>
      <c r="G57" s="3"/>
      <c r="H57" s="3"/>
      <c r="M57" s="1">
        <f t="shared" si="4"/>
        <v>1.6500000000000012</v>
      </c>
      <c r="N57" s="1">
        <f t="shared" si="5"/>
        <v>-12.310819339077417</v>
      </c>
      <c r="O57" s="1">
        <f t="shared" si="6"/>
        <v>2.6074082465915147</v>
      </c>
      <c r="P57" s="1">
        <f t="shared" si="7"/>
        <v>7.0001252371952702</v>
      </c>
      <c r="R57" s="3">
        <f t="shared" si="0"/>
        <v>1.1307299539084961</v>
      </c>
      <c r="S57" s="3">
        <f t="shared" si="1"/>
        <v>0.98562151525526787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</row>
    <row r="58" spans="1:100" x14ac:dyDescent="0.2">
      <c r="A58" s="32"/>
      <c r="F58" s="3"/>
      <c r="G58" s="3"/>
      <c r="H58" s="3"/>
      <c r="M58" s="1">
        <f t="shared" si="4"/>
        <v>1.6800000000000013</v>
      </c>
      <c r="N58" s="1">
        <f t="shared" si="5"/>
        <v>-11.541966281278198</v>
      </c>
      <c r="O58" s="1">
        <f t="shared" si="6"/>
        <v>2.2611492581531687</v>
      </c>
      <c r="P58" s="1">
        <f t="shared" si="7"/>
        <v>7.0679597149398656</v>
      </c>
      <c r="R58" s="3">
        <f t="shared" si="0"/>
        <v>1.0613215581620881</v>
      </c>
      <c r="S58" s="3">
        <f t="shared" si="1"/>
        <v>1.0599983727253535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</row>
    <row r="59" spans="1:100" x14ac:dyDescent="0.2">
      <c r="A59" s="32"/>
      <c r="F59" s="3"/>
      <c r="G59" s="3"/>
      <c r="H59" s="3"/>
      <c r="M59" s="1">
        <f t="shared" si="4"/>
        <v>1.7100000000000013</v>
      </c>
      <c r="N59" s="1">
        <f t="shared" si="5"/>
        <v>-10.816719014854666</v>
      </c>
      <c r="O59" s="1">
        <f t="shared" si="6"/>
        <v>1.9366476877075287</v>
      </c>
      <c r="P59" s="1">
        <f t="shared" si="7"/>
        <v>7.1260591455710918</v>
      </c>
      <c r="R59" s="3">
        <f t="shared" si="0"/>
        <v>0.99798013279896802</v>
      </c>
      <c r="S59" s="3">
        <f t="shared" si="1"/>
        <v>1.1198373339635335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</row>
    <row r="60" spans="1:100" x14ac:dyDescent="0.2">
      <c r="A60" s="32"/>
      <c r="F60" s="3"/>
      <c r="G60" s="3"/>
      <c r="H60" s="3"/>
      <c r="M60" s="1">
        <f t="shared" si="4"/>
        <v>1.7400000000000013</v>
      </c>
      <c r="N60" s="1">
        <f t="shared" si="5"/>
        <v>-10.154099619883358</v>
      </c>
      <c r="O60" s="1">
        <f t="shared" si="6"/>
        <v>1.6320246991110281</v>
      </c>
      <c r="P60" s="1">
        <f t="shared" si="7"/>
        <v>7.1750198865444226</v>
      </c>
      <c r="R60" s="3">
        <f t="shared" si="0"/>
        <v>0.94197805257071987</v>
      </c>
      <c r="S60" s="3">
        <f t="shared" si="1"/>
        <v>1.1673377182611182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</row>
    <row r="61" spans="1:100" x14ac:dyDescent="0.2">
      <c r="A61" s="32"/>
      <c r="F61" s="3"/>
      <c r="G61" s="3"/>
      <c r="H61" s="3"/>
      <c r="M61" s="1">
        <f t="shared" si="4"/>
        <v>1.7700000000000014</v>
      </c>
      <c r="N61" s="1">
        <f t="shared" si="5"/>
        <v>-9.5666627486271913</v>
      </c>
      <c r="O61" s="1">
        <f t="shared" si="6"/>
        <v>1.3450248166522123</v>
      </c>
      <c r="P61" s="1">
        <f t="shared" si="7"/>
        <v>7.2153706310439887</v>
      </c>
      <c r="R61" s="3">
        <f t="shared" si="0"/>
        <v>0.89412113546271343</v>
      </c>
      <c r="S61" s="3">
        <f t="shared" si="1"/>
        <v>1.2043867298832498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</row>
    <row r="62" spans="1:100" x14ac:dyDescent="0.2">
      <c r="A62" s="32"/>
      <c r="F62" s="3"/>
      <c r="G62" s="3"/>
      <c r="H62" s="3"/>
      <c r="M62" s="1">
        <f t="shared" si="4"/>
        <v>1.8000000000000014</v>
      </c>
      <c r="N62" s="1">
        <f t="shared" si="5"/>
        <v>-9.0622635881258322</v>
      </c>
      <c r="O62" s="1">
        <f t="shared" si="6"/>
        <v>1.0731569090084374</v>
      </c>
      <c r="P62" s="1">
        <f t="shared" si="7"/>
        <v>7.2475653383142422</v>
      </c>
      <c r="R62" s="3">
        <f t="shared" si="0"/>
        <v>0.85488961737437741</v>
      </c>
      <c r="S62" s="3">
        <f t="shared" si="1"/>
        <v>1.2325436065736135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</row>
    <row r="63" spans="1:100" x14ac:dyDescent="0.2">
      <c r="A63" s="32"/>
      <c r="F63" s="3"/>
      <c r="G63" s="3"/>
      <c r="H63" s="3"/>
      <c r="M63" s="1">
        <f t="shared" si="4"/>
        <v>1.8300000000000014</v>
      </c>
      <c r="N63" s="1">
        <f t="shared" si="5"/>
        <v>-8.6454802955545329</v>
      </c>
      <c r="O63" s="1">
        <f t="shared" si="6"/>
        <v>0.81379250014180138</v>
      </c>
      <c r="P63" s="1">
        <f t="shared" si="7"/>
        <v>7.2719791133184959</v>
      </c>
      <c r="R63" s="3">
        <f t="shared" si="0"/>
        <v>0.824546805892167</v>
      </c>
      <c r="S63" s="3">
        <f t="shared" si="1"/>
        <v>1.2530453163764768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</row>
    <row r="64" spans="1:100" x14ac:dyDescent="0.2">
      <c r="A64" s="32"/>
      <c r="F64" s="3"/>
      <c r="G64" s="3"/>
      <c r="H64" s="3"/>
      <c r="M64" s="1">
        <f t="shared" si="4"/>
        <v>1.8600000000000014</v>
      </c>
      <c r="N64" s="1">
        <f t="shared" si="5"/>
        <v>-8.3187093839344328</v>
      </c>
      <c r="O64" s="1">
        <f t="shared" si="6"/>
        <v>0.56423121862376835</v>
      </c>
      <c r="P64" s="1">
        <f t="shared" si="7"/>
        <v>7.2889060498772089</v>
      </c>
      <c r="R64" s="3">
        <f t="shared" si="0"/>
        <v>0.80321947792297532</v>
      </c>
      <c r="S64" s="3">
        <f t="shared" si="1"/>
        <v>1.2668221936345856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</row>
    <row r="65" spans="1:100" x14ac:dyDescent="0.2">
      <c r="A65" s="32"/>
      <c r="F65" s="3"/>
      <c r="G65" s="3"/>
      <c r="H65" s="3"/>
      <c r="M65" s="1">
        <f t="shared" si="4"/>
        <v>1.8900000000000015</v>
      </c>
      <c r="N65" s="1">
        <f t="shared" si="5"/>
        <v>-8.0829755889058923</v>
      </c>
      <c r="O65" s="1">
        <f t="shared" si="6"/>
        <v>0.32174195095659158</v>
      </c>
      <c r="P65" s="1">
        <f t="shared" si="7"/>
        <v>7.2985583084059069</v>
      </c>
      <c r="R65" s="3">
        <f t="shared" si="0"/>
        <v>0.79095455634652723</v>
      </c>
      <c r="S65" s="3">
        <f t="shared" si="1"/>
        <v>1.2745159433269824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</row>
    <row r="66" spans="1:100" x14ac:dyDescent="0.2">
      <c r="A66" s="32"/>
      <c r="F66" s="3"/>
      <c r="G66" s="3"/>
      <c r="H66" s="3"/>
      <c r="M66" s="1">
        <f t="shared" si="4"/>
        <v>1.9200000000000015</v>
      </c>
      <c r="N66" s="1">
        <f t="shared" si="5"/>
        <v>-7.9385023390513654</v>
      </c>
      <c r="O66" s="1">
        <f t="shared" si="6"/>
        <v>8.3586880785050638E-2</v>
      </c>
      <c r="P66" s="1">
        <f t="shared" si="7"/>
        <v>7.3010659148294588</v>
      </c>
      <c r="R66" s="3">
        <f t="shared" ref="R66:R129" si="9">$B$3*COS(P66)</f>
        <v>0.78775608853415457</v>
      </c>
      <c r="S66" s="3">
        <f t="shared" ref="S66:S129" si="10">$B$3*SIN(P66)</f>
        <v>1.276495336841216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</row>
    <row r="67" spans="1:100" x14ac:dyDescent="0.2">
      <c r="A67" s="32"/>
      <c r="F67" s="3"/>
      <c r="G67" s="3"/>
      <c r="H67" s="3"/>
      <c r="M67" s="1">
        <f t="shared" ref="M67:M130" si="11">M66+B$13</f>
        <v>1.9500000000000015</v>
      </c>
      <c r="N67" s="1">
        <f t="shared" ref="N67:N130" si="12">-$B$12*$B$3*COS(P66)-B$10*O66</f>
        <v>-7.8850837046121995</v>
      </c>
      <c r="O67" s="1">
        <f t="shared" ref="O67:O130" si="13">N67*$B$13+O66</f>
        <v>-0.15296563035331534</v>
      </c>
      <c r="P67" s="1">
        <f t="shared" ref="P67:P130" si="14">O67*$B$13+P66</f>
        <v>7.296476945918859</v>
      </c>
      <c r="R67" s="3">
        <f t="shared" si="9"/>
        <v>0.79360557087025541</v>
      </c>
      <c r="S67" s="3">
        <f t="shared" si="10"/>
        <v>1.2728669207280452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</row>
    <row r="68" spans="1:100" x14ac:dyDescent="0.2">
      <c r="A68" s="32"/>
      <c r="F68" s="3"/>
      <c r="G68" s="3"/>
      <c r="H68" s="3"/>
      <c r="M68" s="1">
        <f t="shared" si="11"/>
        <v>1.9800000000000015</v>
      </c>
      <c r="N68" s="1">
        <f t="shared" si="12"/>
        <v>-7.9222888019707565</v>
      </c>
      <c r="O68" s="1">
        <f t="shared" si="13"/>
        <v>-0.39063429441243802</v>
      </c>
      <c r="P68" s="1">
        <f t="shared" si="14"/>
        <v>7.2847579170864858</v>
      </c>
      <c r="R68" s="3">
        <f t="shared" si="9"/>
        <v>0.80846749904296544</v>
      </c>
      <c r="S68" s="3">
        <f t="shared" si="10"/>
        <v>1.2634794430425897</v>
      </c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</row>
    <row r="69" spans="1:100" x14ac:dyDescent="0.2">
      <c r="A69" s="32"/>
      <c r="F69" s="3"/>
      <c r="G69" s="3"/>
      <c r="H69" s="3"/>
      <c r="M69" s="1">
        <f t="shared" si="11"/>
        <v>2.0100000000000016</v>
      </c>
      <c r="N69" s="1">
        <f t="shared" si="12"/>
        <v>-8.0495179039325357</v>
      </c>
      <c r="O69" s="1">
        <f t="shared" si="13"/>
        <v>-0.63211983153041407</v>
      </c>
      <c r="P69" s="1">
        <f t="shared" si="14"/>
        <v>7.2657943221405734</v>
      </c>
      <c r="R69" s="3">
        <f t="shared" si="9"/>
        <v>0.83228081001896648</v>
      </c>
      <c r="S69" s="3">
        <f t="shared" si="10"/>
        <v>1.2479217336332327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</row>
    <row r="70" spans="1:100" x14ac:dyDescent="0.2">
      <c r="A70" s="32"/>
      <c r="F70" s="3"/>
      <c r="G70" s="3"/>
      <c r="H70" s="3"/>
      <c r="M70" s="1">
        <f t="shared" si="11"/>
        <v>2.0400000000000014</v>
      </c>
      <c r="N70" s="1">
        <f t="shared" si="12"/>
        <v>-8.2659173153519276</v>
      </c>
      <c r="O70" s="1">
        <f t="shared" si="13"/>
        <v>-0.88009735099097186</v>
      </c>
      <c r="P70" s="1">
        <f t="shared" si="14"/>
        <v>7.2393914016108445</v>
      </c>
      <c r="R70" s="3">
        <f t="shared" si="9"/>
        <v>0.86493567979735697</v>
      </c>
      <c r="S70" s="3">
        <f t="shared" si="10"/>
        <v>1.225514695878219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</row>
    <row r="71" spans="1:100" x14ac:dyDescent="0.2">
      <c r="A71" s="32"/>
      <c r="F71" s="3"/>
      <c r="G71" s="3"/>
      <c r="H71" s="3"/>
      <c r="M71" s="1">
        <f t="shared" si="11"/>
        <v>2.0700000000000012</v>
      </c>
      <c r="N71" s="1">
        <f t="shared" si="12"/>
        <v>-8.5701480363843814</v>
      </c>
      <c r="O71" s="1">
        <f t="shared" si="13"/>
        <v>-1.1372017920825033</v>
      </c>
      <c r="P71" s="1">
        <f t="shared" si="14"/>
        <v>7.2052753478483691</v>
      </c>
      <c r="R71" s="3">
        <f t="shared" si="9"/>
        <v>0.90623399237930113</v>
      </c>
      <c r="S71" s="3">
        <f t="shared" si="10"/>
        <v>1.1952991052687494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</row>
    <row r="72" spans="1:100" x14ac:dyDescent="0.2">
      <c r="A72" s="32"/>
      <c r="F72" s="3"/>
      <c r="G72" s="3"/>
      <c r="H72" s="3"/>
      <c r="M72" s="1">
        <f t="shared" si="11"/>
        <v>2.100000000000001</v>
      </c>
      <c r="N72" s="1">
        <f t="shared" si="12"/>
        <v>-8.9599917625055863</v>
      </c>
      <c r="O72" s="1">
        <f t="shared" si="13"/>
        <v>-1.4060015449576708</v>
      </c>
      <c r="P72" s="1">
        <f t="shared" si="14"/>
        <v>7.1630953014996388</v>
      </c>
      <c r="R72" s="3">
        <f t="shared" si="9"/>
        <v>0.95583076874183415</v>
      </c>
      <c r="S72" s="3">
        <f t="shared" si="10"/>
        <v>1.1560222928327959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</row>
    <row r="73" spans="1:100" x14ac:dyDescent="0.2">
      <c r="A73" s="32"/>
      <c r="F73" s="3"/>
      <c r="G73" s="3"/>
      <c r="H73" s="3"/>
      <c r="M73" s="1">
        <f t="shared" si="11"/>
        <v>2.1300000000000008</v>
      </c>
      <c r="N73" s="1">
        <f t="shared" si="12"/>
        <v>-9.4317675483721519</v>
      </c>
      <c r="O73" s="1">
        <f t="shared" si="13"/>
        <v>-1.6889545714088354</v>
      </c>
      <c r="P73" s="1">
        <f t="shared" si="14"/>
        <v>7.1124266643573737</v>
      </c>
      <c r="R73" s="3">
        <f t="shared" si="9"/>
        <v>1.0131530882203759</v>
      </c>
      <c r="S73" s="3">
        <f t="shared" si="10"/>
        <v>1.1061287537305571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</row>
    <row r="74" spans="1:100" x14ac:dyDescent="0.2">
      <c r="A74" s="32"/>
      <c r="F74" s="3"/>
      <c r="G74" s="3"/>
      <c r="H74" s="3"/>
      <c r="M74" s="1">
        <f t="shared" si="11"/>
        <v>2.1600000000000006</v>
      </c>
      <c r="N74" s="1">
        <f t="shared" si="12"/>
        <v>-9.9795249707769642</v>
      </c>
      <c r="O74" s="1">
        <f t="shared" si="13"/>
        <v>-1.9883403205321444</v>
      </c>
      <c r="P74" s="1">
        <f t="shared" si="14"/>
        <v>7.0527764547414096</v>
      </c>
      <c r="R74" s="3">
        <f t="shared" si="9"/>
        <v>1.0772928392843117</v>
      </c>
      <c r="S74" s="3">
        <f t="shared" si="10"/>
        <v>1.043762491387167</v>
      </c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</row>
    <row r="75" spans="1:100" x14ac:dyDescent="0.2">
      <c r="A75" s="32"/>
      <c r="F75" s="3"/>
      <c r="G75" s="3"/>
      <c r="H75" s="3"/>
      <c r="M75" s="1">
        <f t="shared" si="11"/>
        <v>2.1900000000000004</v>
      </c>
      <c r="N75" s="1">
        <f t="shared" si="12"/>
        <v>-10.593977763995223</v>
      </c>
      <c r="O75" s="1">
        <f t="shared" si="13"/>
        <v>-2.306159653452001</v>
      </c>
      <c r="P75" s="1">
        <f t="shared" si="14"/>
        <v>6.9835916651378493</v>
      </c>
      <c r="R75" s="3">
        <f t="shared" si="9"/>
        <v>1.1468705117394951</v>
      </c>
      <c r="S75" s="3">
        <f t="shared" si="10"/>
        <v>0.96679265062493558</v>
      </c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</row>
    <row r="76" spans="1:100" x14ac:dyDescent="0.2">
      <c r="A76" s="32"/>
      <c r="F76" s="3"/>
      <c r="G76" s="3"/>
      <c r="H76" s="3"/>
      <c r="M76" s="1">
        <f t="shared" si="11"/>
        <v>2.2200000000000002</v>
      </c>
      <c r="N76" s="1">
        <f t="shared" si="12"/>
        <v>-11.261150748584273</v>
      </c>
      <c r="O76" s="1">
        <f t="shared" si="13"/>
        <v>-2.6439941759095293</v>
      </c>
      <c r="P76" s="1">
        <f t="shared" si="14"/>
        <v>6.9042718398605638</v>
      </c>
      <c r="R76" s="3">
        <f t="shared" si="9"/>
        <v>1.2198699940239626</v>
      </c>
      <c r="S76" s="3">
        <f t="shared" si="10"/>
        <v>0.872878684400059</v>
      </c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</row>
    <row r="77" spans="1:100" x14ac:dyDescent="0.2">
      <c r="A77" s="32"/>
      <c r="F77" s="3"/>
      <c r="G77" s="3"/>
      <c r="H77" s="3"/>
      <c r="M77" s="1">
        <f t="shared" si="11"/>
        <v>2.25</v>
      </c>
      <c r="N77" s="1">
        <f t="shared" si="12"/>
        <v>-11.960740464407767</v>
      </c>
      <c r="O77" s="1">
        <f t="shared" si="13"/>
        <v>-3.0028163898417626</v>
      </c>
      <c r="P77" s="1">
        <f t="shared" si="14"/>
        <v>6.8141873481653112</v>
      </c>
      <c r="R77" s="3">
        <f t="shared" si="9"/>
        <v>1.2934501084585843</v>
      </c>
      <c r="S77" s="3">
        <f t="shared" si="10"/>
        <v>0.75959648296215565</v>
      </c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</row>
    <row r="78" spans="1:100" x14ac:dyDescent="0.2">
      <c r="A78" s="32"/>
      <c r="F78" s="3"/>
      <c r="G78" s="3"/>
      <c r="H78" s="3"/>
      <c r="M78" s="1">
        <f t="shared" si="11"/>
        <v>2.2799999999999998</v>
      </c>
      <c r="N78" s="1">
        <f t="shared" si="12"/>
        <v>-12.664247609500084</v>
      </c>
      <c r="O78" s="1">
        <f t="shared" si="13"/>
        <v>-3.3827438181267651</v>
      </c>
      <c r="P78" s="1">
        <f t="shared" si="14"/>
        <v>6.7127050336215079</v>
      </c>
      <c r="R78" s="3">
        <f t="shared" si="9"/>
        <v>1.3637487852877339</v>
      </c>
      <c r="S78" s="3">
        <f t="shared" si="10"/>
        <v>0.62465130322943407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</row>
    <row r="79" spans="1:100" x14ac:dyDescent="0.2">
      <c r="A79" s="32"/>
      <c r="F79" s="3"/>
      <c r="G79" s="3"/>
      <c r="H79" s="3"/>
      <c r="M79" s="1">
        <f t="shared" si="11"/>
        <v>2.3099999999999996</v>
      </c>
      <c r="N79" s="1">
        <f t="shared" si="12"/>
        <v>-13.333040909245931</v>
      </c>
      <c r="O79" s="1">
        <f t="shared" si="13"/>
        <v>-3.7827350454041428</v>
      </c>
      <c r="P79" s="1">
        <f t="shared" si="14"/>
        <v>6.5992229822593833</v>
      </c>
      <c r="R79" s="3">
        <f t="shared" si="9"/>
        <v>1.4257115673689791</v>
      </c>
      <c r="S79" s="3">
        <f t="shared" si="10"/>
        <v>0.46620438293766531</v>
      </c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</row>
    <row r="80" spans="1:100" x14ac:dyDescent="0.2">
      <c r="A80" s="32"/>
      <c r="F80" s="3"/>
      <c r="G80" s="3"/>
      <c r="H80" s="3"/>
      <c r="M80" s="1">
        <f t="shared" si="11"/>
        <v>2.3399999999999994</v>
      </c>
      <c r="N80" s="1">
        <f t="shared" si="12"/>
        <v>-13.916669519603419</v>
      </c>
      <c r="O80" s="1">
        <f t="shared" si="13"/>
        <v>-4.2002351309922457</v>
      </c>
      <c r="P80" s="1">
        <f t="shared" si="14"/>
        <v>6.4732159283296156</v>
      </c>
      <c r="R80" s="3">
        <f t="shared" si="9"/>
        <v>1.4729976773704849</v>
      </c>
      <c r="S80" s="3">
        <f t="shared" si="10"/>
        <v>0.28333344748044959</v>
      </c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</row>
    <row r="81" spans="1:100" x14ac:dyDescent="0.2">
      <c r="A81" s="32"/>
      <c r="F81" s="3"/>
      <c r="G81" s="3"/>
      <c r="H81" s="3"/>
      <c r="M81" s="1">
        <f t="shared" si="11"/>
        <v>2.3699999999999992</v>
      </c>
      <c r="N81" s="1">
        <f t="shared" si="12"/>
        <v>-14.351955611915546</v>
      </c>
      <c r="O81" s="1">
        <f t="shared" si="13"/>
        <v>-4.6307937993497124</v>
      </c>
      <c r="P81" s="1">
        <f t="shared" si="14"/>
        <v>6.3342921143491244</v>
      </c>
      <c r="R81" s="3">
        <f t="shared" si="9"/>
        <v>1.4980414970368059</v>
      </c>
      <c r="S81" s="3">
        <f t="shared" si="10"/>
        <v>7.6626843571464001E-2</v>
      </c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</row>
    <row r="82" spans="1:100" x14ac:dyDescent="0.2">
      <c r="A82" s="32"/>
      <c r="F82" s="3"/>
      <c r="G82" s="3"/>
      <c r="H82" s="3"/>
      <c r="M82" s="1">
        <f t="shared" si="11"/>
        <v>2.399999999999999</v>
      </c>
      <c r="N82" s="1">
        <f t="shared" si="12"/>
        <v>-14.563643528426583</v>
      </c>
      <c r="O82" s="1">
        <f t="shared" si="13"/>
        <v>-5.0677031052025097</v>
      </c>
      <c r="P82" s="1">
        <f t="shared" si="14"/>
        <v>6.1822610211930495</v>
      </c>
      <c r="R82" s="3">
        <f t="shared" si="9"/>
        <v>1.4923671984673343</v>
      </c>
      <c r="S82" s="3">
        <f t="shared" si="10"/>
        <v>-0.15112956341748693</v>
      </c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</row>
    <row r="83" spans="1:100" x14ac:dyDescent="0.2">
      <c r="A83" s="32"/>
      <c r="F83" s="3"/>
      <c r="G83" s="3"/>
      <c r="H83" s="3"/>
      <c r="M83" s="1">
        <f t="shared" si="11"/>
        <v>2.4299999999999988</v>
      </c>
      <c r="N83" s="1">
        <f t="shared" si="12"/>
        <v>-14.467578705205117</v>
      </c>
      <c r="O83" s="1">
        <f t="shared" si="13"/>
        <v>-5.501730466358663</v>
      </c>
      <c r="P83" s="1">
        <f t="shared" si="14"/>
        <v>6.01720910720229</v>
      </c>
      <c r="R83" s="3">
        <f t="shared" si="9"/>
        <v>1.4472545478749892</v>
      </c>
      <c r="S83" s="3">
        <f t="shared" si="10"/>
        <v>-0.39427689972297419</v>
      </c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</row>
    <row r="84" spans="1:100" x14ac:dyDescent="0.2">
      <c r="A84" s="32"/>
      <c r="F84" s="3"/>
      <c r="G84" s="3"/>
      <c r="H84" s="3"/>
      <c r="M84" s="1">
        <f t="shared" si="11"/>
        <v>2.4599999999999986</v>
      </c>
      <c r="N84" s="1">
        <f t="shared" si="12"/>
        <v>-13.977389736777614</v>
      </c>
      <c r="O84" s="1">
        <f t="shared" si="13"/>
        <v>-5.9210521584619915</v>
      </c>
      <c r="P84" s="1">
        <f t="shared" si="14"/>
        <v>5.8395775424484304</v>
      </c>
      <c r="R84" s="3">
        <f t="shared" si="9"/>
        <v>1.354813633607481</v>
      </c>
      <c r="S84" s="3">
        <f t="shared" si="10"/>
        <v>-0.64380122568328069</v>
      </c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</row>
    <row r="85" spans="1:100" x14ac:dyDescent="0.2">
      <c r="A85" s="32"/>
      <c r="F85" s="3"/>
      <c r="G85" s="3"/>
      <c r="H85" s="3"/>
      <c r="M85" s="1">
        <f t="shared" si="11"/>
        <v>2.4899999999999984</v>
      </c>
      <c r="N85" s="1">
        <f t="shared" si="12"/>
        <v>-13.015241641813232</v>
      </c>
      <c r="O85" s="1">
        <f t="shared" si="13"/>
        <v>-6.3115094077163887</v>
      </c>
      <c r="P85" s="1">
        <f t="shared" si="14"/>
        <v>5.6502322602169386</v>
      </c>
      <c r="R85" s="3">
        <f t="shared" si="9"/>
        <v>1.2094263232633287</v>
      </c>
      <c r="S85" s="3">
        <f t="shared" si="10"/>
        <v>-0.88729249326123927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</row>
    <row r="86" spans="1:100" x14ac:dyDescent="0.2">
      <c r="A86" s="32"/>
      <c r="F86" s="3"/>
      <c r="G86" s="3"/>
      <c r="H86" s="3"/>
      <c r="M86" s="1">
        <f t="shared" si="11"/>
        <v>2.5199999999999982</v>
      </c>
      <c r="N86" s="1">
        <f t="shared" si="12"/>
        <v>-11.526227385938814</v>
      </c>
      <c r="O86" s="1">
        <f t="shared" si="13"/>
        <v>-6.6572962292945528</v>
      </c>
      <c r="P86" s="1">
        <f t="shared" si="14"/>
        <v>5.4505133733381017</v>
      </c>
      <c r="R86" s="3">
        <f t="shared" si="9"/>
        <v>1.0093524743532343</v>
      </c>
      <c r="S86" s="3">
        <f t="shared" si="10"/>
        <v>-1.1095979373254996</v>
      </c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</row>
    <row r="87" spans="1:100" x14ac:dyDescent="0.2">
      <c r="A87" s="32"/>
      <c r="F87" s="3"/>
      <c r="G87" s="3"/>
      <c r="H87" s="3"/>
      <c r="M87" s="1">
        <f t="shared" si="11"/>
        <v>2.549999999999998</v>
      </c>
      <c r="N87" s="1">
        <f t="shared" si="12"/>
        <v>-9.4943680828958339</v>
      </c>
      <c r="O87" s="1">
        <f t="shared" si="13"/>
        <v>-6.9421272717814277</v>
      </c>
      <c r="P87" s="1">
        <f t="shared" si="14"/>
        <v>5.2422495551846593</v>
      </c>
      <c r="R87" s="3">
        <f t="shared" si="9"/>
        <v>0.75811955886482019</v>
      </c>
      <c r="S87" s="3">
        <f t="shared" si="10"/>
        <v>-1.2943163193232983</v>
      </c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</row>
    <row r="88" spans="1:100" x14ac:dyDescent="0.2">
      <c r="A88" s="32"/>
      <c r="F88" s="3"/>
      <c r="G88" s="3"/>
      <c r="H88" s="3"/>
      <c r="M88" s="1">
        <f t="shared" si="11"/>
        <v>2.5799999999999979</v>
      </c>
      <c r="N88" s="1">
        <f t="shared" si="12"/>
        <v>-6.9564041341878733</v>
      </c>
      <c r="O88" s="1">
        <f t="shared" si="13"/>
        <v>-7.1508193958070638</v>
      </c>
      <c r="P88" s="1">
        <f t="shared" si="14"/>
        <v>5.0277249733104474</v>
      </c>
      <c r="R88" s="3">
        <f t="shared" si="9"/>
        <v>0.46520387188643936</v>
      </c>
      <c r="S88" s="3">
        <f t="shared" si="10"/>
        <v>-1.426038343657654</v>
      </c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</row>
    <row r="89" spans="1:100" x14ac:dyDescent="0.2">
      <c r="A89" s="32"/>
      <c r="F89" s="3"/>
      <c r="G89" s="3"/>
      <c r="H89" s="3"/>
      <c r="M89" s="1">
        <f t="shared" si="11"/>
        <v>2.6099999999999977</v>
      </c>
      <c r="N89" s="1">
        <f t="shared" si="12"/>
        <v>-4.0084649732417583</v>
      </c>
      <c r="O89" s="1">
        <f t="shared" si="13"/>
        <v>-7.2710733450043161</v>
      </c>
      <c r="P89" s="1">
        <f t="shared" si="14"/>
        <v>4.8095927729603183</v>
      </c>
      <c r="R89" s="3">
        <f t="shared" si="9"/>
        <v>0.14557618792636035</v>
      </c>
      <c r="S89" s="3">
        <f t="shared" si="10"/>
        <v>-1.4929191450004349</v>
      </c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</row>
    <row r="90" spans="1:100" x14ac:dyDescent="0.2">
      <c r="A90" s="32"/>
      <c r="F90" s="3"/>
      <c r="G90" s="3"/>
      <c r="H90" s="3"/>
      <c r="M90" s="1">
        <f t="shared" si="11"/>
        <v>2.6399999999999975</v>
      </c>
      <c r="N90" s="1">
        <f t="shared" si="12"/>
        <v>-0.80136527821321513</v>
      </c>
      <c r="O90" s="1">
        <f t="shared" si="13"/>
        <v>-7.2951143033507124</v>
      </c>
      <c r="P90" s="1">
        <f t="shared" si="14"/>
        <v>4.5907393438597968</v>
      </c>
      <c r="R90" s="3">
        <f t="shared" si="9"/>
        <v>-0.18202472557143498</v>
      </c>
      <c r="S90" s="3">
        <f t="shared" si="10"/>
        <v>-1.4889147051730813</v>
      </c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</row>
    <row r="91" spans="1:100" x14ac:dyDescent="0.2">
      <c r="A91" s="32"/>
      <c r="F91" s="3"/>
      <c r="G91" s="3"/>
      <c r="H91" s="3"/>
      <c r="M91" s="1">
        <f t="shared" si="11"/>
        <v>2.6699999999999973</v>
      </c>
      <c r="N91" s="1">
        <f t="shared" si="12"/>
        <v>2.476807543015914</v>
      </c>
      <c r="O91" s="1">
        <f t="shared" si="13"/>
        <v>-7.2208100770602348</v>
      </c>
      <c r="P91" s="1">
        <f t="shared" si="14"/>
        <v>4.3741150415479897</v>
      </c>
      <c r="R91" s="3">
        <f t="shared" si="9"/>
        <v>-0.49778901593603342</v>
      </c>
      <c r="S91" s="3">
        <f t="shared" si="10"/>
        <v>-1.4149933199889799</v>
      </c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</row>
    <row r="92" spans="1:100" x14ac:dyDescent="0.2">
      <c r="A92" s="32"/>
      <c r="F92" s="3"/>
      <c r="G92" s="3"/>
      <c r="H92" s="3"/>
      <c r="M92" s="1">
        <f t="shared" si="11"/>
        <v>2.6999999999999971</v>
      </c>
      <c r="N92" s="1">
        <f t="shared" si="12"/>
        <v>5.6277630662957554</v>
      </c>
      <c r="O92" s="1">
        <f t="shared" si="13"/>
        <v>-7.0519771850713617</v>
      </c>
      <c r="P92" s="1">
        <f t="shared" si="14"/>
        <v>4.1625557259958486</v>
      </c>
      <c r="R92" s="3">
        <f t="shared" si="9"/>
        <v>-0.78381760041365345</v>
      </c>
      <c r="S92" s="3">
        <f t="shared" si="10"/>
        <v>-1.2789174990130452</v>
      </c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</row>
    <row r="93" spans="1:100" x14ac:dyDescent="0.2">
      <c r="A93" s="32"/>
      <c r="F93" s="3"/>
      <c r="G93" s="3"/>
      <c r="H93" s="3"/>
      <c r="M93" s="1">
        <f t="shared" si="11"/>
        <v>2.7299999999999969</v>
      </c>
      <c r="N93" s="1">
        <f t="shared" si="12"/>
        <v>8.4728539507929561</v>
      </c>
      <c r="O93" s="1">
        <f t="shared" si="13"/>
        <v>-6.7977915665475734</v>
      </c>
      <c r="P93" s="1">
        <f t="shared" si="14"/>
        <v>3.9586219789994215</v>
      </c>
      <c r="R93" s="3">
        <f t="shared" si="9"/>
        <v>-1.0265852852458675</v>
      </c>
      <c r="S93" s="3">
        <f t="shared" si="10"/>
        <v>-1.0936739240361639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</row>
    <row r="94" spans="1:100" x14ac:dyDescent="0.2">
      <c r="A94" s="32"/>
      <c r="F94" s="3"/>
      <c r="G94" s="3"/>
      <c r="H94" s="3"/>
      <c r="M94" s="1">
        <f t="shared" si="11"/>
        <v>2.7599999999999967</v>
      </c>
      <c r="N94" s="1">
        <f t="shared" si="12"/>
        <v>10.877654093447957</v>
      </c>
      <c r="O94" s="1">
        <f t="shared" si="13"/>
        <v>-6.471461943744135</v>
      </c>
      <c r="P94" s="1">
        <f t="shared" si="14"/>
        <v>3.7644781206870976</v>
      </c>
      <c r="R94" s="3">
        <f t="shared" si="9"/>
        <v>-1.2182977695144708</v>
      </c>
      <c r="S94" s="3">
        <f t="shared" si="10"/>
        <v>-0.87507173694278662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</row>
    <row r="95" spans="1:100" x14ac:dyDescent="0.2">
      <c r="A95" s="32"/>
      <c r="F95" s="3"/>
      <c r="G95" s="3"/>
      <c r="H95" s="3"/>
      <c r="M95" s="1">
        <f t="shared" si="11"/>
        <v>2.7899999999999965</v>
      </c>
      <c r="N95" s="1">
        <f t="shared" si="12"/>
        <v>12.76540927008168</v>
      </c>
      <c r="O95" s="1">
        <f t="shared" si="13"/>
        <v>-6.0884996656416845</v>
      </c>
      <c r="P95" s="1">
        <f t="shared" si="14"/>
        <v>3.5818231307178472</v>
      </c>
      <c r="R95" s="3">
        <f t="shared" si="9"/>
        <v>-1.3569802048291919</v>
      </c>
      <c r="S95" s="3">
        <f t="shared" si="10"/>
        <v>-0.63922196747430726</v>
      </c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</row>
    <row r="96" spans="1:100" x14ac:dyDescent="0.2">
      <c r="A96" s="32"/>
      <c r="F96" s="3"/>
      <c r="G96" s="3"/>
      <c r="H96" s="3"/>
      <c r="M96" s="1">
        <f t="shared" si="11"/>
        <v>2.8199999999999963</v>
      </c>
      <c r="N96" s="1">
        <f t="shared" si="12"/>
        <v>14.11776701819967</v>
      </c>
      <c r="O96" s="1">
        <f t="shared" si="13"/>
        <v>-5.6649666550956947</v>
      </c>
      <c r="P96" s="1">
        <f t="shared" si="14"/>
        <v>3.4118741310649763</v>
      </c>
      <c r="R96" s="3">
        <f t="shared" si="9"/>
        <v>-1.445543668943932</v>
      </c>
      <c r="S96" s="3">
        <f t="shared" si="10"/>
        <v>-0.40050405887595686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</row>
    <row r="97" spans="1:100" x14ac:dyDescent="0.2">
      <c r="A97" s="32"/>
      <c r="F97" s="3"/>
      <c r="G97" s="3"/>
      <c r="H97" s="3"/>
      <c r="M97" s="1">
        <f t="shared" si="11"/>
        <v>2.8499999999999961</v>
      </c>
      <c r="N97" s="1">
        <f t="shared" si="12"/>
        <v>14.965283688397932</v>
      </c>
      <c r="O97" s="1">
        <f t="shared" si="13"/>
        <v>-5.2160081444437569</v>
      </c>
      <c r="P97" s="1">
        <f t="shared" si="14"/>
        <v>3.2553938867316634</v>
      </c>
      <c r="R97" s="3">
        <f t="shared" si="9"/>
        <v>-1.4902974375502178</v>
      </c>
      <c r="S97" s="3">
        <f t="shared" si="10"/>
        <v>-0.17033363622976683</v>
      </c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</row>
    <row r="98" spans="1:100" x14ac:dyDescent="0.2">
      <c r="A98" s="32"/>
      <c r="F98" s="3"/>
      <c r="G98" s="3"/>
      <c r="H98" s="3"/>
      <c r="M98" s="1">
        <f t="shared" si="11"/>
        <v>2.8799999999999959</v>
      </c>
      <c r="N98" s="1">
        <f t="shared" si="12"/>
        <v>15.372415108502118</v>
      </c>
      <c r="O98" s="1">
        <f t="shared" si="13"/>
        <v>-4.7548356911886938</v>
      </c>
      <c r="P98" s="1">
        <f t="shared" si="14"/>
        <v>3.1127488159960026</v>
      </c>
      <c r="R98" s="3">
        <f t="shared" si="9"/>
        <v>-1.4993760680340122</v>
      </c>
      <c r="S98" s="3">
        <f t="shared" si="10"/>
        <v>4.3259757360220252E-2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</row>
    <row r="99" spans="1:100" x14ac:dyDescent="0.2">
      <c r="A99" s="32"/>
      <c r="F99" s="3"/>
      <c r="G99" s="3"/>
      <c r="H99" s="3"/>
      <c r="M99" s="1">
        <f t="shared" si="11"/>
        <v>2.9099999999999957</v>
      </c>
      <c r="N99" s="1">
        <f t="shared" si="12"/>
        <v>15.421695892547106</v>
      </c>
      <c r="O99" s="1">
        <f t="shared" si="13"/>
        <v>-4.2921848144122805</v>
      </c>
      <c r="P99" s="1">
        <f t="shared" si="14"/>
        <v>2.9839832715636341</v>
      </c>
      <c r="R99" s="3">
        <f t="shared" si="9"/>
        <v>-1.4814079964305764</v>
      </c>
      <c r="S99" s="3">
        <f t="shared" si="10"/>
        <v>0.23543650547768755</v>
      </c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</row>
    <row r="100" spans="1:100" x14ac:dyDescent="0.2">
      <c r="A100" s="32"/>
      <c r="F100" s="3"/>
      <c r="G100" s="3"/>
      <c r="H100" s="3"/>
      <c r="M100" s="1">
        <f t="shared" si="11"/>
        <v>2.9399999999999955</v>
      </c>
      <c r="N100" s="1">
        <f t="shared" si="12"/>
        <v>15.200376597602869</v>
      </c>
      <c r="O100" s="1">
        <f t="shared" si="13"/>
        <v>-3.8361735164841946</v>
      </c>
      <c r="P100" s="1">
        <f t="shared" si="14"/>
        <v>2.8688980660691081</v>
      </c>
      <c r="R100" s="3">
        <f t="shared" si="9"/>
        <v>-1.4445730007434665</v>
      </c>
      <c r="S100" s="3">
        <f t="shared" si="10"/>
        <v>0.40399114535224262</v>
      </c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</row>
    <row r="101" spans="1:100" x14ac:dyDescent="0.2">
      <c r="A101" s="32"/>
      <c r="F101" s="3"/>
      <c r="G101" s="3"/>
      <c r="H101" s="3"/>
      <c r="M101" s="1">
        <f t="shared" si="11"/>
        <v>2.9699999999999953</v>
      </c>
      <c r="N101" s="1">
        <f t="shared" si="12"/>
        <v>14.790985623918241</v>
      </c>
      <c r="O101" s="1">
        <f t="shared" si="13"/>
        <v>-3.3924439477666475</v>
      </c>
      <c r="P101" s="1">
        <f t="shared" si="14"/>
        <v>2.7671247476361085</v>
      </c>
      <c r="R101" s="3">
        <f t="shared" si="9"/>
        <v>-1.3960535724159331</v>
      </c>
      <c r="S101" s="3">
        <f t="shared" si="10"/>
        <v>0.54866603954018434</v>
      </c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</row>
    <row r="102" spans="1:100" x14ac:dyDescent="0.2">
      <c r="A102" s="32"/>
      <c r="F102" s="3"/>
      <c r="G102" s="3"/>
      <c r="H102" s="3"/>
      <c r="M102" s="1">
        <f t="shared" si="11"/>
        <v>2.9999999999999951</v>
      </c>
      <c r="N102" s="1">
        <f t="shared" si="12"/>
        <v>14.265855679458328</v>
      </c>
      <c r="O102" s="1">
        <f t="shared" si="13"/>
        <v>-2.9644682773828976</v>
      </c>
      <c r="P102" s="1">
        <f t="shared" si="14"/>
        <v>2.6781906993146216</v>
      </c>
      <c r="R102" s="3">
        <f t="shared" si="9"/>
        <v>-1.3418055362163792</v>
      </c>
      <c r="S102" s="3">
        <f t="shared" si="10"/>
        <v>0.67049079261319855</v>
      </c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</row>
    <row r="103" spans="1:100" x14ac:dyDescent="0.2">
      <c r="A103" s="32"/>
      <c r="F103" s="3"/>
      <c r="G103" s="3"/>
      <c r="H103" s="3"/>
      <c r="M103" s="1">
        <f t="shared" si="11"/>
        <v>3.0299999999999949</v>
      </c>
      <c r="N103" s="1">
        <f t="shared" si="12"/>
        <v>13.684857507128251</v>
      </c>
      <c r="O103" s="1">
        <f t="shared" si="13"/>
        <v>-2.5539225521690501</v>
      </c>
      <c r="P103" s="1">
        <f t="shared" si="14"/>
        <v>2.6015730227495499</v>
      </c>
      <c r="R103" s="3">
        <f t="shared" si="9"/>
        <v>-1.2865478824155627</v>
      </c>
      <c r="S103" s="3">
        <f t="shared" si="10"/>
        <v>0.77122924364421741</v>
      </c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</row>
    <row r="104" spans="1:100" x14ac:dyDescent="0.2">
      <c r="A104" s="32"/>
      <c r="F104" s="3"/>
      <c r="G104" s="3"/>
      <c r="H104" s="3"/>
      <c r="M104" s="1">
        <f t="shared" si="11"/>
        <v>3.0599999999999947</v>
      </c>
      <c r="N104" s="1">
        <f t="shared" si="12"/>
        <v>13.095331853850841</v>
      </c>
      <c r="O104" s="1">
        <f t="shared" si="13"/>
        <v>-2.1610625965535251</v>
      </c>
      <c r="P104" s="1">
        <f t="shared" si="14"/>
        <v>2.536741144852944</v>
      </c>
      <c r="R104" s="3">
        <f t="shared" si="9"/>
        <v>-1.2338798171448926</v>
      </c>
      <c r="S104" s="3">
        <f t="shared" si="10"/>
        <v>0.85295990342013528</v>
      </c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</row>
    <row r="105" spans="1:100" x14ac:dyDescent="0.2">
      <c r="A105" s="32"/>
      <c r="F105" s="3"/>
      <c r="G105" s="3"/>
      <c r="H105" s="3"/>
      <c r="M105" s="1">
        <f t="shared" si="11"/>
        <v>3.0899999999999945</v>
      </c>
      <c r="N105" s="1">
        <f t="shared" si="12"/>
        <v>12.533293805138744</v>
      </c>
      <c r="O105" s="1">
        <f t="shared" si="13"/>
        <v>-1.7850637823993627</v>
      </c>
      <c r="P105" s="1">
        <f t="shared" si="14"/>
        <v>2.4831892313809631</v>
      </c>
      <c r="R105" s="3">
        <f t="shared" si="9"/>
        <v>-1.1864551694428567</v>
      </c>
      <c r="S105" s="3">
        <f t="shared" si="10"/>
        <v>0.91778218053213589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</row>
    <row r="106" spans="1:100" x14ac:dyDescent="0.2">
      <c r="A106" s="32"/>
      <c r="F106" s="3"/>
      <c r="G106" s="3"/>
      <c r="H106" s="3"/>
      <c r="M106" s="1">
        <f t="shared" si="11"/>
        <v>3.1199999999999943</v>
      </c>
      <c r="N106" s="1">
        <f t="shared" si="12"/>
        <v>12.025207434844509</v>
      </c>
      <c r="O106" s="1">
        <f t="shared" si="13"/>
        <v>-1.4243075593540273</v>
      </c>
      <c r="P106" s="1">
        <f t="shared" si="14"/>
        <v>2.4404600046003422</v>
      </c>
      <c r="R106" s="3">
        <f t="shared" si="9"/>
        <v>-1.1461680364837432</v>
      </c>
      <c r="S106" s="3">
        <f t="shared" si="10"/>
        <v>0.96762535732741151</v>
      </c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</row>
    <row r="107" spans="1:100" x14ac:dyDescent="0.2">
      <c r="A107" s="32"/>
      <c r="F107" s="3"/>
      <c r="G107" s="3"/>
      <c r="H107" s="3"/>
      <c r="M107" s="1">
        <f t="shared" si="11"/>
        <v>3.1499999999999941</v>
      </c>
      <c r="N107" s="1">
        <f t="shared" si="12"/>
        <v>11.589868045179294</v>
      </c>
      <c r="O107" s="1">
        <f t="shared" si="13"/>
        <v>-1.0766115179986486</v>
      </c>
      <c r="P107" s="1">
        <f t="shared" si="14"/>
        <v>2.4081616590603829</v>
      </c>
      <c r="R107" s="3">
        <f t="shared" si="9"/>
        <v>-1.1143229921627207</v>
      </c>
      <c r="S107" s="3">
        <f t="shared" si="10"/>
        <v>1.004133591280324</v>
      </c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</row>
    <row r="108" spans="1:100" x14ac:dyDescent="0.2">
      <c r="A108" s="32"/>
      <c r="F108" s="3"/>
      <c r="G108" s="3"/>
      <c r="H108" s="3"/>
      <c r="M108" s="1">
        <f t="shared" si="11"/>
        <v>3.1799999999999939</v>
      </c>
      <c r="N108" s="1">
        <f t="shared" si="12"/>
        <v>11.240124958247087</v>
      </c>
      <c r="O108" s="1">
        <f t="shared" si="13"/>
        <v>-0.73940776925123597</v>
      </c>
      <c r="P108" s="1">
        <f t="shared" si="14"/>
        <v>2.3859794259828457</v>
      </c>
      <c r="R108" s="3">
        <f t="shared" si="9"/>
        <v>-1.0917767525191748</v>
      </c>
      <c r="S108" s="3">
        <f t="shared" si="10"/>
        <v>1.0286027039915286</v>
      </c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</row>
    <row r="109" spans="1:100" x14ac:dyDescent="0.2">
      <c r="A109" s="32"/>
      <c r="F109" s="3"/>
      <c r="G109" s="3"/>
      <c r="H109" s="3"/>
      <c r="M109" s="1">
        <f t="shared" si="11"/>
        <v>3.2099999999999937</v>
      </c>
      <c r="N109" s="1">
        <f t="shared" si="12"/>
        <v>10.984314224424361</v>
      </c>
      <c r="O109" s="1">
        <f t="shared" si="13"/>
        <v>-0.40987834251850513</v>
      </c>
      <c r="P109" s="1">
        <f t="shared" si="14"/>
        <v>2.3736830757072904</v>
      </c>
      <c r="R109" s="3">
        <f t="shared" si="9"/>
        <v>-1.0790464746975597</v>
      </c>
      <c r="S109" s="3">
        <f t="shared" si="10"/>
        <v>1.041949473555589</v>
      </c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</row>
    <row r="110" spans="1:100" x14ac:dyDescent="0.2">
      <c r="A110" s="32"/>
      <c r="F110" s="3"/>
      <c r="G110" s="3"/>
      <c r="H110" s="3"/>
      <c r="M110" s="1">
        <f t="shared" si="11"/>
        <v>3.2399999999999936</v>
      </c>
      <c r="N110" s="1">
        <f t="shared" si="12"/>
        <v>10.827353797802262</v>
      </c>
      <c r="O110" s="1">
        <f t="shared" si="13"/>
        <v>-8.5057728584437275E-2</v>
      </c>
      <c r="P110" s="1">
        <f t="shared" si="14"/>
        <v>2.3711313438497572</v>
      </c>
      <c r="R110" s="3">
        <f t="shared" si="9"/>
        <v>-1.0763841889024226</v>
      </c>
      <c r="S110" s="3">
        <f t="shared" si="10"/>
        <v>1.044699515593299</v>
      </c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</row>
    <row r="111" spans="1:100" x14ac:dyDescent="0.2">
      <c r="A111" s="32"/>
      <c r="F111" s="3"/>
      <c r="G111" s="3"/>
      <c r="H111" s="3"/>
      <c r="M111" s="1">
        <f t="shared" si="11"/>
        <v>3.2699999999999934</v>
      </c>
      <c r="N111" s="1">
        <f t="shared" si="12"/>
        <v>10.771497084596826</v>
      </c>
      <c r="O111" s="1">
        <f t="shared" si="13"/>
        <v>0.23808718395346751</v>
      </c>
      <c r="P111" s="1">
        <f t="shared" si="14"/>
        <v>2.3782739593683613</v>
      </c>
      <c r="R111" s="3">
        <f t="shared" si="9"/>
        <v>-1.0838185556219002</v>
      </c>
      <c r="S111" s="3">
        <f t="shared" si="10"/>
        <v>1.0369847339713627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</row>
    <row r="112" spans="1:100" x14ac:dyDescent="0.2">
      <c r="A112" s="32"/>
      <c r="F112" s="3"/>
      <c r="G112" s="3"/>
      <c r="H112" s="3"/>
      <c r="M112" s="1">
        <f t="shared" si="11"/>
        <v>3.2999999999999932</v>
      </c>
      <c r="N112" s="1">
        <f t="shared" si="12"/>
        <v>10.816757709663191</v>
      </c>
      <c r="O112" s="1">
        <f t="shared" si="13"/>
        <v>0.56258991524336321</v>
      </c>
      <c r="P112" s="1">
        <f t="shared" si="14"/>
        <v>2.3951516568256621</v>
      </c>
      <c r="R112" s="3">
        <f t="shared" si="9"/>
        <v>-1.1011652765099011</v>
      </c>
      <c r="S112" s="3">
        <f t="shared" si="10"/>
        <v>1.0185455482249544</v>
      </c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</row>
    <row r="113" spans="1:100" x14ac:dyDescent="0.2">
      <c r="A113" s="32"/>
      <c r="F113" s="3"/>
      <c r="G113" s="3"/>
      <c r="H113" s="3"/>
      <c r="M113" s="1">
        <f t="shared" si="11"/>
        <v>3.329999999999993</v>
      </c>
      <c r="N113" s="1">
        <f t="shared" si="12"/>
        <v>10.961019672727108</v>
      </c>
      <c r="O113" s="1">
        <f t="shared" si="13"/>
        <v>0.89142050542517648</v>
      </c>
      <c r="P113" s="1">
        <f t="shared" si="14"/>
        <v>2.4218942719884176</v>
      </c>
      <c r="R113" s="3">
        <f t="shared" si="9"/>
        <v>-1.1280068662341876</v>
      </c>
      <c r="S113" s="3">
        <f t="shared" si="10"/>
        <v>0.98873682531224028</v>
      </c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</row>
    <row r="114" spans="1:100" x14ac:dyDescent="0.2">
      <c r="A114" s="32"/>
      <c r="F114" s="3"/>
      <c r="G114" s="3"/>
      <c r="H114" s="3"/>
      <c r="M114" s="1">
        <f t="shared" si="11"/>
        <v>3.3599999999999928</v>
      </c>
      <c r="N114" s="1">
        <f t="shared" si="12"/>
        <v>11.199840816853611</v>
      </c>
      <c r="O114" s="1">
        <f t="shared" si="13"/>
        <v>1.2274157299307848</v>
      </c>
      <c r="P114" s="1">
        <f t="shared" si="14"/>
        <v>2.4587167438863413</v>
      </c>
      <c r="R114" s="3">
        <f t="shared" si="9"/>
        <v>-1.1636417305356606</v>
      </c>
      <c r="S114" s="3">
        <f t="shared" si="10"/>
        <v>0.94653997430429371</v>
      </c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</row>
    <row r="115" spans="1:100" x14ac:dyDescent="0.2">
      <c r="A115" s="32"/>
      <c r="F115" s="3"/>
      <c r="G115" s="3"/>
      <c r="H115" s="3"/>
      <c r="M115" s="1">
        <f t="shared" si="11"/>
        <v>3.3899999999999926</v>
      </c>
      <c r="N115" s="1">
        <f t="shared" si="12"/>
        <v>11.525949889662835</v>
      </c>
      <c r="O115" s="1">
        <f t="shared" si="13"/>
        <v>1.5731942266206698</v>
      </c>
      <c r="P115" s="1">
        <f t="shared" si="14"/>
        <v>2.5059125706849614</v>
      </c>
      <c r="R115" s="3">
        <f t="shared" si="9"/>
        <v>-1.2070021506593367</v>
      </c>
      <c r="S115" s="3">
        <f t="shared" si="10"/>
        <v>0.89058733895319653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</row>
    <row r="116" spans="1:100" x14ac:dyDescent="0.2">
      <c r="A116" s="32"/>
      <c r="F116" s="3"/>
      <c r="G116" s="3"/>
      <c r="H116" s="3"/>
      <c r="M116" s="1">
        <f t="shared" si="11"/>
        <v>3.4199999999999924</v>
      </c>
      <c r="N116" s="1">
        <f t="shared" si="12"/>
        <v>11.928434026197507</v>
      </c>
      <c r="O116" s="1">
        <f t="shared" si="13"/>
        <v>1.9310472474065949</v>
      </c>
      <c r="P116" s="1">
        <f t="shared" si="14"/>
        <v>2.5638439881071591</v>
      </c>
      <c r="R116" s="3">
        <f t="shared" si="9"/>
        <v>-1.2565414714059593</v>
      </c>
      <c r="S116" s="3">
        <f t="shared" si="10"/>
        <v>0.8192090884731118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</row>
    <row r="117" spans="1:100" x14ac:dyDescent="0.2">
      <c r="A117" s="32"/>
      <c r="F117" s="3"/>
      <c r="G117" s="3"/>
      <c r="H117" s="3"/>
      <c r="M117" s="1">
        <f t="shared" si="11"/>
        <v>3.4499999999999922</v>
      </c>
      <c r="N117" s="1">
        <f t="shared" si="12"/>
        <v>12.391620461793</v>
      </c>
      <c r="O117" s="1">
        <f t="shared" si="13"/>
        <v>2.3027958612603849</v>
      </c>
      <c r="P117" s="1">
        <f t="shared" si="14"/>
        <v>2.6329278639449707</v>
      </c>
      <c r="R117" s="3">
        <f t="shared" si="9"/>
        <v>-1.310093323213116</v>
      </c>
      <c r="S117" s="3">
        <f t="shared" si="10"/>
        <v>0.73051727185085358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</row>
    <row r="118" spans="1:100" x14ac:dyDescent="0.2">
      <c r="A118" s="32"/>
      <c r="F118" s="3"/>
      <c r="G118" s="3"/>
      <c r="H118" s="3"/>
      <c r="M118" s="1">
        <f t="shared" si="11"/>
        <v>3.479999999999992</v>
      </c>
      <c r="N118" s="1">
        <f t="shared" si="12"/>
        <v>12.893681604617726</v>
      </c>
      <c r="O118" s="1">
        <f t="shared" si="13"/>
        <v>2.6896063093989167</v>
      </c>
      <c r="P118" s="1">
        <f t="shared" si="14"/>
        <v>2.713616053226938</v>
      </c>
      <c r="R118" s="3">
        <f t="shared" si="9"/>
        <v>-1.3647110769165596</v>
      </c>
      <c r="S118" s="3">
        <f t="shared" si="10"/>
        <v>0.62254612402716325</v>
      </c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</row>
    <row r="119" spans="1:100" x14ac:dyDescent="0.2">
      <c r="A119" s="32"/>
      <c r="F119" s="3"/>
      <c r="G119" s="3"/>
      <c r="H119" s="3"/>
      <c r="M119" s="1">
        <f t="shared" si="11"/>
        <v>3.5099999999999918</v>
      </c>
      <c r="N119" s="1">
        <f t="shared" si="12"/>
        <v>13.405046201319694</v>
      </c>
      <c r="O119" s="1">
        <f t="shared" si="13"/>
        <v>3.0917576954385075</v>
      </c>
      <c r="P119" s="1">
        <f t="shared" si="14"/>
        <v>2.8063687840900933</v>
      </c>
      <c r="R119" s="3">
        <f t="shared" si="9"/>
        <v>-1.416505026866872</v>
      </c>
      <c r="S119" s="3">
        <f t="shared" si="10"/>
        <v>0.49347087944566947</v>
      </c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</row>
    <row r="120" spans="1:100" x14ac:dyDescent="0.2">
      <c r="A120" s="32"/>
      <c r="F120" s="3"/>
      <c r="G120" s="3"/>
      <c r="H120" s="3"/>
      <c r="M120" s="1">
        <f t="shared" si="11"/>
        <v>3.5399999999999916</v>
      </c>
      <c r="N120" s="1">
        <f t="shared" si="12"/>
        <v>13.886792076079255</v>
      </c>
      <c r="O120" s="1">
        <f t="shared" si="13"/>
        <v>3.508361457720885</v>
      </c>
      <c r="P120" s="1">
        <f t="shared" si="14"/>
        <v>2.9116196278217199</v>
      </c>
      <c r="R120" s="3">
        <f t="shared" si="9"/>
        <v>-1.4605088162546156</v>
      </c>
      <c r="S120" s="3">
        <f t="shared" si="10"/>
        <v>0.34192688932364135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</row>
    <row r="121" spans="1:100" x14ac:dyDescent="0.2">
      <c r="A121" s="32"/>
      <c r="F121" s="3"/>
      <c r="G121" s="3"/>
      <c r="H121" s="3"/>
      <c r="M121" s="1">
        <f t="shared" si="11"/>
        <v>3.5699999999999914</v>
      </c>
      <c r="N121" s="1">
        <f t="shared" si="12"/>
        <v>14.289335631351275</v>
      </c>
      <c r="O121" s="1">
        <f t="shared" si="13"/>
        <v>3.9370415266614232</v>
      </c>
      <c r="P121" s="1">
        <f t="shared" si="14"/>
        <v>3.0297308736215625</v>
      </c>
      <c r="R121" s="3">
        <f t="shared" si="9"/>
        <v>-1.4906249885943876</v>
      </c>
      <c r="S121" s="3">
        <f t="shared" si="10"/>
        <v>0.16744295559378447</v>
      </c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</row>
    <row r="122" spans="1:100" x14ac:dyDescent="0.2">
      <c r="A122" s="32"/>
      <c r="F122" s="3"/>
      <c r="G122" s="3"/>
      <c r="H122" s="3"/>
      <c r="M122" s="1">
        <f t="shared" si="11"/>
        <v>3.5999999999999912</v>
      </c>
      <c r="N122" s="1">
        <f t="shared" si="12"/>
        <v>14.551916148544347</v>
      </c>
      <c r="O122" s="1">
        <f t="shared" si="13"/>
        <v>4.3735990111177534</v>
      </c>
      <c r="P122" s="1">
        <f t="shared" si="14"/>
        <v>3.1609388439550949</v>
      </c>
      <c r="R122" s="3">
        <f t="shared" si="9"/>
        <v>-1.4997193024437676</v>
      </c>
      <c r="S122" s="3">
        <f t="shared" si="10"/>
        <v>-2.9017475382583237E-2</v>
      </c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</row>
    <row r="123" spans="1:100" x14ac:dyDescent="0.2">
      <c r="A123" s="32"/>
      <c r="F123" s="3"/>
      <c r="G123" s="3"/>
      <c r="H123" s="3"/>
      <c r="M123" s="1">
        <f t="shared" si="11"/>
        <v>3.629999999999991</v>
      </c>
      <c r="N123" s="1">
        <f t="shared" si="12"/>
        <v>14.60356911343708</v>
      </c>
      <c r="O123" s="1">
        <f t="shared" si="13"/>
        <v>4.8117060845208659</v>
      </c>
      <c r="P123" s="1">
        <f t="shared" si="14"/>
        <v>3.305290026490721</v>
      </c>
      <c r="R123" s="3">
        <f t="shared" si="9"/>
        <v>-1.4799472168914485</v>
      </c>
      <c r="S123" s="3">
        <f t="shared" si="10"/>
        <v>-0.24445088507766921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</row>
    <row r="124" spans="1:100" x14ac:dyDescent="0.2">
      <c r="A124" s="32"/>
      <c r="F124" s="3"/>
      <c r="G124" s="3"/>
      <c r="H124" s="3"/>
      <c r="M124" s="1">
        <f t="shared" si="11"/>
        <v>3.6599999999999908</v>
      </c>
      <c r="N124" s="1">
        <f t="shared" si="12"/>
        <v>14.366418621307607</v>
      </c>
      <c r="O124" s="1">
        <f t="shared" si="13"/>
        <v>5.2426986431600939</v>
      </c>
      <c r="P124" s="1">
        <f t="shared" si="14"/>
        <v>3.4625709857855238</v>
      </c>
      <c r="R124" s="3">
        <f t="shared" si="9"/>
        <v>-1.423390819897391</v>
      </c>
      <c r="S124" s="3">
        <f t="shared" si="10"/>
        <v>-0.47324261624650088</v>
      </c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</row>
    <row r="125" spans="1:100" x14ac:dyDescent="0.2">
      <c r="A125" s="32"/>
      <c r="F125" s="3"/>
      <c r="G125" s="3"/>
      <c r="H125" s="3"/>
      <c r="M125" s="1">
        <f t="shared" si="11"/>
        <v>3.6899999999999906</v>
      </c>
      <c r="N125" s="1">
        <f t="shared" si="12"/>
        <v>13.762065321089501</v>
      </c>
      <c r="O125" s="1">
        <f t="shared" si="13"/>
        <v>5.6555606027927787</v>
      </c>
      <c r="P125" s="1">
        <f t="shared" si="14"/>
        <v>3.6322378038693071</v>
      </c>
      <c r="R125" s="3">
        <f t="shared" si="9"/>
        <v>-1.3230435758791375</v>
      </c>
      <c r="S125" s="3">
        <f t="shared" si="10"/>
        <v>-0.70679254122050894</v>
      </c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</row>
    <row r="126" spans="1:100" x14ac:dyDescent="0.2">
      <c r="A126" s="32"/>
      <c r="F126" s="3"/>
      <c r="G126" s="3"/>
      <c r="H126" s="3"/>
      <c r="M126" s="1">
        <f t="shared" si="11"/>
        <v>3.7199999999999904</v>
      </c>
      <c r="N126" s="1">
        <f t="shared" si="12"/>
        <v>12.721435304540027</v>
      </c>
      <c r="O126" s="1">
        <f t="shared" si="13"/>
        <v>6.0372036619289791</v>
      </c>
      <c r="P126" s="1">
        <f t="shared" si="14"/>
        <v>3.8133539137271764</v>
      </c>
      <c r="R126" s="3">
        <f t="shared" si="9"/>
        <v>-1.1740900992896557</v>
      </c>
      <c r="S126" s="3">
        <f t="shared" si="10"/>
        <v>-0.93354830552575385</v>
      </c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</row>
    <row r="127" spans="1:100" x14ac:dyDescent="0.2">
      <c r="A127" s="32"/>
      <c r="F127" s="3"/>
      <c r="G127" s="3"/>
      <c r="H127" s="3"/>
      <c r="M127" s="1">
        <f t="shared" si="11"/>
        <v>3.7499999999999902</v>
      </c>
      <c r="N127" s="1">
        <f t="shared" si="12"/>
        <v>11.197552663322949</v>
      </c>
      <c r="O127" s="1">
        <f t="shared" si="13"/>
        <v>6.3731302418286671</v>
      </c>
      <c r="P127" s="1">
        <f t="shared" si="14"/>
        <v>4.0045478209820367</v>
      </c>
      <c r="R127" s="3">
        <f t="shared" si="9"/>
        <v>-0.97529260638389881</v>
      </c>
      <c r="S127" s="3">
        <f t="shared" si="10"/>
        <v>-1.1396509693467125</v>
      </c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</row>
    <row r="128" spans="1:100" x14ac:dyDescent="0.2">
      <c r="A128" s="32"/>
      <c r="F128" s="3"/>
      <c r="G128" s="3"/>
      <c r="H128" s="3"/>
      <c r="M128" s="1">
        <f t="shared" si="11"/>
        <v>3.77999999999999</v>
      </c>
      <c r="N128" s="1">
        <f t="shared" si="12"/>
        <v>9.1793443420744083</v>
      </c>
      <c r="O128" s="1">
        <f t="shared" si="13"/>
        <v>6.648510572090899</v>
      </c>
      <c r="P128" s="1">
        <f t="shared" si="14"/>
        <v>4.2040031381447633</v>
      </c>
      <c r="R128" s="3">
        <f t="shared" si="9"/>
        <v>-0.73015179630153237</v>
      </c>
      <c r="S128" s="3">
        <f t="shared" si="10"/>
        <v>-1.3102970481374236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</row>
    <row r="129" spans="1:100" x14ac:dyDescent="0.2">
      <c r="A129" s="32"/>
      <c r="F129" s="3"/>
      <c r="G129" s="3"/>
      <c r="H129" s="3"/>
      <c r="M129" s="1">
        <f t="shared" si="11"/>
        <v>3.8099999999999898</v>
      </c>
      <c r="N129" s="1">
        <f t="shared" si="12"/>
        <v>6.703152011527143</v>
      </c>
      <c r="O129" s="1">
        <f t="shared" si="13"/>
        <v>6.8496051324367135</v>
      </c>
      <c r="P129" s="1">
        <f t="shared" si="14"/>
        <v>4.4094912921178651</v>
      </c>
      <c r="R129" s="3">
        <f t="shared" si="9"/>
        <v>-0.44743084416229562</v>
      </c>
      <c r="S129" s="3">
        <f t="shared" si="10"/>
        <v>-1.4317142311551616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</row>
    <row r="130" spans="1:100" x14ac:dyDescent="0.2">
      <c r="A130" s="32"/>
      <c r="F130" s="3"/>
      <c r="G130" s="3"/>
      <c r="H130" s="3"/>
      <c r="M130" s="1">
        <f t="shared" si="11"/>
        <v>3.8399999999999896</v>
      </c>
      <c r="N130" s="1">
        <f t="shared" si="12"/>
        <v>3.8578439797036514</v>
      </c>
      <c r="O130" s="1">
        <f t="shared" si="13"/>
        <v>6.9653404518278235</v>
      </c>
      <c r="P130" s="1">
        <f t="shared" si="14"/>
        <v>4.6184515056726996</v>
      </c>
      <c r="R130" s="3">
        <f t="shared" ref="R130:R193" si="15">$B$3*COS(P130)</f>
        <v>-0.14069907156161371</v>
      </c>
      <c r="S130" s="3">
        <f t="shared" ref="S130:S193" si="16">$B$3*SIN(P130)</f>
        <v>-1.493386678413096</v>
      </c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</row>
    <row r="131" spans="1:100" x14ac:dyDescent="0.2">
      <c r="A131" s="32"/>
      <c r="F131" s="3"/>
      <c r="G131" s="3"/>
      <c r="H131" s="3"/>
      <c r="M131" s="1">
        <f t="shared" ref="M131:M194" si="17">M130+B$13</f>
        <v>3.8699999999999894</v>
      </c>
      <c r="N131" s="1">
        <f t="shared" ref="N131:N194" si="18">-$B$12*$B$3*COS(P130)-B$10*O130</f>
        <v>0.78011007495163309</v>
      </c>
      <c r="O131" s="1">
        <f t="shared" ref="O131:O194" si="19">N131*$B$13+O130</f>
        <v>6.9887437540763724</v>
      </c>
      <c r="P131" s="1">
        <f t="shared" ref="P131:P194" si="20">O131*$B$13+P130</f>
        <v>4.828113818294991</v>
      </c>
      <c r="R131" s="3">
        <f t="shared" si="15"/>
        <v>0.17320006258019879</v>
      </c>
      <c r="S131" s="3">
        <f t="shared" si="16"/>
        <v>-1.48996702591776</v>
      </c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</row>
    <row r="132" spans="1:100" x14ac:dyDescent="0.2">
      <c r="A132" s="32"/>
      <c r="F132" s="3"/>
      <c r="G132" s="3"/>
      <c r="H132" s="3"/>
      <c r="M132" s="1">
        <f t="shared" si="17"/>
        <v>3.8999999999999893</v>
      </c>
      <c r="N132" s="1">
        <f t="shared" si="18"/>
        <v>-2.3609875636688615</v>
      </c>
      <c r="O132" s="1">
        <f t="shared" si="19"/>
        <v>6.9179141271663065</v>
      </c>
      <c r="P132" s="1">
        <f t="shared" si="20"/>
        <v>5.0356512421099797</v>
      </c>
      <c r="R132" s="3">
        <f t="shared" si="15"/>
        <v>0.47649230345059013</v>
      </c>
      <c r="S132" s="3">
        <f t="shared" si="16"/>
        <v>-1.422306255611762</v>
      </c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</row>
    <row r="133" spans="1:100" x14ac:dyDescent="0.2">
      <c r="A133" s="32"/>
      <c r="F133" s="3"/>
      <c r="G133" s="3"/>
      <c r="H133" s="3"/>
      <c r="M133" s="1">
        <f t="shared" si="17"/>
        <v>3.9299999999999891</v>
      </c>
      <c r="N133" s="1">
        <f t="shared" si="18"/>
        <v>-5.3875353059508679</v>
      </c>
      <c r="O133" s="1">
        <f t="shared" si="19"/>
        <v>6.7562880679877804</v>
      </c>
      <c r="P133" s="1">
        <f t="shared" si="20"/>
        <v>5.2383398841496129</v>
      </c>
      <c r="R133" s="3">
        <f t="shared" si="15"/>
        <v>0.75305342661131247</v>
      </c>
      <c r="S133" s="3">
        <f t="shared" si="16"/>
        <v>-1.2972704177113423</v>
      </c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</row>
    <row r="134" spans="1:100" x14ac:dyDescent="0.2">
      <c r="A134" s="32"/>
      <c r="F134" s="3"/>
      <c r="G134" s="3"/>
      <c r="H134" s="3"/>
      <c r="M134" s="1">
        <f t="shared" si="17"/>
        <v>3.9599999999999889</v>
      </c>
      <c r="N134" s="1">
        <f t="shared" si="18"/>
        <v>-8.1386001922320261</v>
      </c>
      <c r="O134" s="1">
        <f t="shared" si="19"/>
        <v>6.5121300622208196</v>
      </c>
      <c r="P134" s="1">
        <f t="shared" si="20"/>
        <v>5.4337037860162374</v>
      </c>
      <c r="R134" s="3">
        <f t="shared" si="15"/>
        <v>0.99055887022432954</v>
      </c>
      <c r="S134" s="3">
        <f t="shared" si="16"/>
        <v>-1.1264071753233376</v>
      </c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</row>
    <row r="135" spans="1:100" x14ac:dyDescent="0.2">
      <c r="A135" s="32"/>
      <c r="F135" s="3"/>
      <c r="G135" s="3"/>
      <c r="H135" s="3"/>
      <c r="M135" s="1">
        <f t="shared" si="17"/>
        <v>3.9899999999999887</v>
      </c>
      <c r="N135" s="1">
        <f t="shared" si="18"/>
        <v>-10.49168040784317</v>
      </c>
      <c r="O135" s="1">
        <f t="shared" si="19"/>
        <v>6.1973796499855247</v>
      </c>
      <c r="P135" s="1">
        <f t="shared" si="20"/>
        <v>5.6196251755158029</v>
      </c>
      <c r="R135" s="3">
        <f t="shared" si="15"/>
        <v>1.1817066795033309</v>
      </c>
      <c r="S135" s="3">
        <f t="shared" si="16"/>
        <v>-0.92388815536146585</v>
      </c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</row>
    <row r="136" spans="1:100" x14ac:dyDescent="0.2">
      <c r="A136" s="32"/>
      <c r="F136" s="3"/>
      <c r="G136" s="3"/>
      <c r="H136" s="3"/>
      <c r="M136" s="1">
        <f t="shared" si="17"/>
        <v>4.0199999999999889</v>
      </c>
      <c r="N136" s="1">
        <f t="shared" si="18"/>
        <v>-12.374830963532006</v>
      </c>
      <c r="O136" s="1">
        <f t="shared" si="19"/>
        <v>5.8261347210795646</v>
      </c>
      <c r="P136" s="1">
        <f t="shared" si="20"/>
        <v>5.79440921714819</v>
      </c>
      <c r="R136" s="3">
        <f t="shared" si="15"/>
        <v>1.3243623020020299</v>
      </c>
      <c r="S136" s="3">
        <f t="shared" si="16"/>
        <v>-0.70431845995677556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</row>
    <row r="137" spans="1:100" x14ac:dyDescent="0.2">
      <c r="A137" s="32"/>
      <c r="F137" s="3"/>
      <c r="G137" s="3"/>
      <c r="H137" s="3"/>
      <c r="M137" s="1">
        <f t="shared" si="17"/>
        <v>4.0499999999999892</v>
      </c>
      <c r="N137" s="1">
        <f t="shared" si="18"/>
        <v>-13.767975144917461</v>
      </c>
      <c r="O137" s="1">
        <f t="shared" si="19"/>
        <v>5.4130954667320408</v>
      </c>
      <c r="P137" s="1">
        <f t="shared" si="20"/>
        <v>5.9568020811501512</v>
      </c>
      <c r="R137" s="3">
        <f t="shared" si="15"/>
        <v>1.4208122156324414</v>
      </c>
      <c r="S137" s="3">
        <f t="shared" si="16"/>
        <v>-0.48092894268242226</v>
      </c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</row>
    <row r="138" spans="1:100" x14ac:dyDescent="0.2">
      <c r="A138" s="32"/>
      <c r="F138" s="3"/>
      <c r="G138" s="3"/>
      <c r="H138" s="3"/>
      <c r="M138" s="1">
        <f t="shared" si="17"/>
        <v>4.0799999999999894</v>
      </c>
      <c r="N138" s="1">
        <f t="shared" si="18"/>
        <v>-14.695300748330299</v>
      </c>
      <c r="O138" s="1">
        <f t="shared" si="19"/>
        <v>4.9722364442821316</v>
      </c>
      <c r="P138" s="1">
        <f t="shared" si="20"/>
        <v>6.1059691744786155</v>
      </c>
      <c r="R138" s="3">
        <f t="shared" si="15"/>
        <v>1.476507411552453</v>
      </c>
      <c r="S138" s="3">
        <f t="shared" si="16"/>
        <v>-0.26443498942211663</v>
      </c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</row>
    <row r="139" spans="1:100" x14ac:dyDescent="0.2">
      <c r="A139" s="32"/>
      <c r="F139" s="3"/>
      <c r="G139" s="3"/>
      <c r="H139" s="3"/>
      <c r="M139" s="1">
        <f t="shared" si="17"/>
        <v>4.1099999999999897</v>
      </c>
      <c r="N139" s="1">
        <f t="shared" si="18"/>
        <v>-15.212575395509923</v>
      </c>
      <c r="O139" s="1">
        <f t="shared" si="19"/>
        <v>4.5158591824168344</v>
      </c>
      <c r="P139" s="1">
        <f t="shared" si="20"/>
        <v>6.2414449499511209</v>
      </c>
      <c r="R139" s="3">
        <f t="shared" si="15"/>
        <v>1.4986934966391203</v>
      </c>
      <c r="S139" s="3">
        <f t="shared" si="16"/>
        <v>-6.2592356814608036E-2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</row>
    <row r="140" spans="1:100" x14ac:dyDescent="0.2">
      <c r="A140" s="32"/>
      <c r="F140" s="3"/>
      <c r="G140" s="3"/>
      <c r="H140" s="3"/>
      <c r="M140" s="1">
        <f t="shared" si="17"/>
        <v>4.1399999999999899</v>
      </c>
      <c r="N140" s="1">
        <f t="shared" si="18"/>
        <v>-15.393362292808717</v>
      </c>
      <c r="O140" s="1">
        <f t="shared" si="19"/>
        <v>4.0540583136325727</v>
      </c>
      <c r="P140" s="1">
        <f t="shared" si="20"/>
        <v>6.3630666993600977</v>
      </c>
      <c r="R140" s="3">
        <f t="shared" si="15"/>
        <v>1.4952167666981746</v>
      </c>
      <c r="S140" s="3">
        <f t="shared" si="16"/>
        <v>0.11969469739573517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</row>
    <row r="141" spans="1:100" x14ac:dyDescent="0.2">
      <c r="A141" s="32"/>
      <c r="F141" s="3"/>
      <c r="G141" s="3"/>
      <c r="H141" s="3"/>
      <c r="M141" s="1">
        <f t="shared" si="17"/>
        <v>4.1699999999999902</v>
      </c>
      <c r="N141" s="1">
        <f t="shared" si="18"/>
        <v>-15.317032915208678</v>
      </c>
      <c r="O141" s="1">
        <f t="shared" si="19"/>
        <v>3.5945473261763126</v>
      </c>
      <c r="P141" s="1">
        <f t="shared" si="20"/>
        <v>6.4709031191453867</v>
      </c>
      <c r="R141" s="3">
        <f t="shared" si="15"/>
        <v>1.4736490333917025</v>
      </c>
      <c r="S141" s="3">
        <f t="shared" si="16"/>
        <v>0.27992593017385986</v>
      </c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</row>
    <row r="142" spans="1:100" x14ac:dyDescent="0.2">
      <c r="A142" s="32"/>
      <c r="F142" s="3"/>
      <c r="G142" s="3"/>
      <c r="H142" s="3"/>
      <c r="M142" s="1">
        <f t="shared" si="17"/>
        <v>4.1999999999999904</v>
      </c>
      <c r="N142" s="1">
        <f t="shared" si="18"/>
        <v>-15.059999593272893</v>
      </c>
      <c r="O142" s="1">
        <f t="shared" si="19"/>
        <v>3.1427473383781259</v>
      </c>
      <c r="P142" s="1">
        <f t="shared" si="20"/>
        <v>6.5651855392967304</v>
      </c>
      <c r="R142" s="3">
        <f t="shared" si="15"/>
        <v>1.4407511110184172</v>
      </c>
      <c r="S142" s="3">
        <f t="shared" si="16"/>
        <v>0.4174161425953673</v>
      </c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</row>
    <row r="143" spans="1:100" x14ac:dyDescent="0.2">
      <c r="A143" s="32"/>
      <c r="F143" s="3"/>
      <c r="G143" s="3"/>
      <c r="H143" s="3"/>
      <c r="M143" s="1">
        <f t="shared" si="17"/>
        <v>4.2299999999999907</v>
      </c>
      <c r="N143" s="1">
        <f t="shared" si="18"/>
        <v>-14.690358370638204</v>
      </c>
      <c r="O143" s="1">
        <f t="shared" si="19"/>
        <v>2.7020365872589798</v>
      </c>
      <c r="P143" s="1">
        <f t="shared" si="20"/>
        <v>6.6462466369144995</v>
      </c>
      <c r="R143" s="3">
        <f t="shared" si="15"/>
        <v>1.4022210184348758</v>
      </c>
      <c r="S143" s="3">
        <f t="shared" si="16"/>
        <v>0.53270650029773403</v>
      </c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</row>
    <row r="144" spans="1:100" x14ac:dyDescent="0.2">
      <c r="A144" s="32"/>
      <c r="F144" s="3"/>
      <c r="G144" s="3"/>
      <c r="H144" s="3"/>
      <c r="M144" s="1">
        <f t="shared" si="17"/>
        <v>4.2599999999999909</v>
      </c>
      <c r="N144" s="1">
        <f t="shared" si="18"/>
        <v>-14.265393477202066</v>
      </c>
      <c r="O144" s="1">
        <f t="shared" si="19"/>
        <v>2.2740747829429178</v>
      </c>
      <c r="P144" s="1">
        <f t="shared" si="20"/>
        <v>6.7144688804027872</v>
      </c>
      <c r="R144" s="3">
        <f t="shared" si="15"/>
        <v>1.3626448752517217</v>
      </c>
      <c r="S144" s="3">
        <f t="shared" si="16"/>
        <v>0.62705577419414582</v>
      </c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</row>
    <row r="145" spans="1:100" x14ac:dyDescent="0.2">
      <c r="A145" s="32"/>
      <c r="F145" s="3"/>
      <c r="G145" s="3"/>
      <c r="H145" s="3"/>
      <c r="M145" s="1">
        <f t="shared" si="17"/>
        <v>4.2899999999999912</v>
      </c>
      <c r="N145" s="1">
        <f t="shared" si="18"/>
        <v>-13.83111548298208</v>
      </c>
      <c r="O145" s="1">
        <f t="shared" si="19"/>
        <v>1.8591413184534553</v>
      </c>
      <c r="P145" s="1">
        <f t="shared" si="20"/>
        <v>6.7702431199563913</v>
      </c>
      <c r="R145" s="3">
        <f t="shared" si="15"/>
        <v>1.325570560722287</v>
      </c>
      <c r="S145" s="3">
        <f t="shared" si="16"/>
        <v>0.70204179971451952</v>
      </c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</row>
    <row r="146" spans="1:100" x14ac:dyDescent="0.2">
      <c r="A146" s="32"/>
      <c r="F146" s="3"/>
      <c r="G146" s="3"/>
      <c r="H146" s="3"/>
      <c r="M146" s="1">
        <f t="shared" si="17"/>
        <v>4.3199999999999914</v>
      </c>
      <c r="N146" s="1">
        <f t="shared" si="18"/>
        <v>-13.423028325883681</v>
      </c>
      <c r="O146" s="1">
        <f t="shared" si="19"/>
        <v>1.4564504686769448</v>
      </c>
      <c r="P146" s="1">
        <f t="shared" si="20"/>
        <v>6.8139366340166996</v>
      </c>
      <c r="R146" s="3">
        <f t="shared" si="15"/>
        <v>1.2936405093905292</v>
      </c>
      <c r="S146" s="3">
        <f t="shared" si="16"/>
        <v>0.75927217284963933</v>
      </c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</row>
    <row r="147" spans="1:100" x14ac:dyDescent="0.2">
      <c r="A147" s="32"/>
      <c r="F147" s="3"/>
      <c r="G147" s="3"/>
      <c r="H147" s="3"/>
      <c r="M147" s="1">
        <f t="shared" si="17"/>
        <v>4.3499999999999917</v>
      </c>
      <c r="N147" s="1">
        <f t="shared" si="18"/>
        <v>-13.067485636086216</v>
      </c>
      <c r="O147" s="1">
        <f t="shared" si="19"/>
        <v>1.0644258995943583</v>
      </c>
      <c r="P147" s="1">
        <f t="shared" si="20"/>
        <v>6.8458694110045304</v>
      </c>
      <c r="R147" s="3">
        <f t="shared" si="15"/>
        <v>1.2687394527503955</v>
      </c>
      <c r="S147" s="3">
        <f t="shared" si="16"/>
        <v>0.800187603649686</v>
      </c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</row>
    <row r="148" spans="1:100" x14ac:dyDescent="0.2">
      <c r="A148" s="32"/>
      <c r="F148" s="3"/>
      <c r="G148" s="3"/>
      <c r="H148" s="3"/>
      <c r="M148" s="1">
        <f t="shared" si="17"/>
        <v>4.3799999999999919</v>
      </c>
      <c r="N148" s="1">
        <f t="shared" si="18"/>
        <v>-12.783192858467446</v>
      </c>
      <c r="O148" s="1">
        <f t="shared" si="19"/>
        <v>0.68093011384033497</v>
      </c>
      <c r="P148" s="1">
        <f t="shared" si="20"/>
        <v>6.8662973144197403</v>
      </c>
      <c r="R148" s="3">
        <f t="shared" si="15"/>
        <v>1.2521297217204541</v>
      </c>
      <c r="S148" s="3">
        <f t="shared" si="16"/>
        <v>0.82593653508260445</v>
      </c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</row>
    <row r="149" spans="1:100" x14ac:dyDescent="0.2">
      <c r="A149" s="32"/>
      <c r="F149" s="3"/>
      <c r="G149" s="3"/>
      <c r="H149" s="3"/>
      <c r="M149" s="1">
        <f t="shared" si="17"/>
        <v>4.4099999999999921</v>
      </c>
      <c r="N149" s="1">
        <f t="shared" si="18"/>
        <v>-12.582580927450172</v>
      </c>
      <c r="O149" s="1">
        <f t="shared" si="19"/>
        <v>0.30345268601682984</v>
      </c>
      <c r="P149" s="1">
        <f t="shared" si="20"/>
        <v>6.8754008950002454</v>
      </c>
      <c r="R149" s="3">
        <f t="shared" si="15"/>
        <v>1.2445589608953307</v>
      </c>
      <c r="S149" s="3">
        <f t="shared" si="16"/>
        <v>0.83730101687214908</v>
      </c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</row>
    <row r="150" spans="1:100" x14ac:dyDescent="0.2">
      <c r="A150" s="32"/>
      <c r="F150" s="3"/>
      <c r="G150" s="3"/>
      <c r="H150" s="3"/>
      <c r="M150" s="1">
        <f t="shared" si="17"/>
        <v>4.4399999999999924</v>
      </c>
      <c r="N150" s="1">
        <f t="shared" si="18"/>
        <v>-12.472900350694822</v>
      </c>
      <c r="O150" s="1">
        <f t="shared" si="19"/>
        <v>-7.0734324504014789E-2</v>
      </c>
      <c r="P150" s="1">
        <f t="shared" si="20"/>
        <v>6.8732788652651253</v>
      </c>
      <c r="R150" s="3">
        <f t="shared" si="15"/>
        <v>1.2463329350871111</v>
      </c>
      <c r="S150" s="3">
        <f t="shared" si="16"/>
        <v>0.83465814254528592</v>
      </c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</row>
    <row r="151" spans="1:100" x14ac:dyDescent="0.2">
      <c r="A151" s="32"/>
      <c r="F151" s="3"/>
      <c r="G151" s="3"/>
      <c r="H151" s="3"/>
      <c r="M151" s="1">
        <f t="shared" si="17"/>
        <v>4.4699999999999926</v>
      </c>
      <c r="N151" s="1">
        <f t="shared" si="18"/>
        <v>-12.45696326166575</v>
      </c>
      <c r="O151" s="1">
        <f t="shared" si="19"/>
        <v>-0.44444322235398731</v>
      </c>
      <c r="P151" s="1">
        <f t="shared" si="20"/>
        <v>6.8599455685945054</v>
      </c>
      <c r="R151" s="3">
        <f t="shared" si="15"/>
        <v>1.2573505670850786</v>
      </c>
      <c r="S151" s="3">
        <f t="shared" si="16"/>
        <v>0.81796671781364738</v>
      </c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</row>
    <row r="152" spans="1:100" x14ac:dyDescent="0.2">
      <c r="A152" s="32"/>
      <c r="F152" s="3"/>
      <c r="G152" s="3"/>
      <c r="H152" s="3"/>
      <c r="M152" s="1">
        <f t="shared" si="17"/>
        <v>4.4999999999999929</v>
      </c>
      <c r="N152" s="1">
        <f t="shared" si="18"/>
        <v>-12.533505780838926</v>
      </c>
      <c r="O152" s="1">
        <f t="shared" si="19"/>
        <v>-0.82044839577915507</v>
      </c>
      <c r="P152" s="1">
        <f t="shared" si="20"/>
        <v>6.8353321167211307</v>
      </c>
      <c r="R152" s="3">
        <f t="shared" si="15"/>
        <v>1.2771006726571741</v>
      </c>
      <c r="S152" s="3">
        <f t="shared" si="16"/>
        <v>0.78677434623822973</v>
      </c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</row>
    <row r="153" spans="1:100" x14ac:dyDescent="0.2">
      <c r="A153" s="32"/>
      <c r="F153" s="3"/>
      <c r="G153" s="3"/>
      <c r="H153" s="3"/>
      <c r="M153" s="1">
        <f t="shared" si="17"/>
        <v>4.5299999999999931</v>
      </c>
      <c r="N153" s="1">
        <f t="shared" si="18"/>
        <v>-12.697166370951615</v>
      </c>
      <c r="O153" s="1">
        <f t="shared" si="19"/>
        <v>-1.2013633869077034</v>
      </c>
      <c r="P153" s="1">
        <f t="shared" si="20"/>
        <v>6.7992912151138993</v>
      </c>
      <c r="R153" s="3">
        <f t="shared" si="15"/>
        <v>1.3046212380203925</v>
      </c>
      <c r="S153" s="3">
        <f t="shared" si="16"/>
        <v>0.74024551691053042</v>
      </c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</row>
    <row r="154" spans="1:100" x14ac:dyDescent="0.2">
      <c r="A154" s="32"/>
      <c r="F154" s="3"/>
      <c r="G154" s="3"/>
      <c r="H154" s="3"/>
      <c r="M154" s="1">
        <f t="shared" si="17"/>
        <v>4.5599999999999934</v>
      </c>
      <c r="N154" s="1">
        <f t="shared" si="18"/>
        <v>-12.938089675382232</v>
      </c>
      <c r="O154" s="1">
        <f t="shared" si="19"/>
        <v>-1.5895060771691703</v>
      </c>
      <c r="P154" s="1">
        <f t="shared" si="20"/>
        <v>6.7516060327988239</v>
      </c>
      <c r="R154" s="3">
        <f t="shared" si="15"/>
        <v>1.3384236116588082</v>
      </c>
      <c r="S154" s="3">
        <f t="shared" si="16"/>
        <v>0.6772165353520182</v>
      </c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</row>
    <row r="155" spans="1:100" x14ac:dyDescent="0.2">
      <c r="A155" s="32"/>
      <c r="F155" s="3"/>
      <c r="G155" s="3"/>
      <c r="H155" s="3"/>
      <c r="M155" s="1">
        <f t="shared" si="17"/>
        <v>4.5899999999999936</v>
      </c>
      <c r="N155" s="1">
        <f t="shared" si="18"/>
        <v>-13.241180569642857</v>
      </c>
      <c r="O155" s="1">
        <f t="shared" si="19"/>
        <v>-1.986741494258456</v>
      </c>
      <c r="P155" s="1">
        <f t="shared" si="20"/>
        <v>6.6920037879710703</v>
      </c>
      <c r="R155" s="3">
        <f t="shared" si="15"/>
        <v>1.3763867207102154</v>
      </c>
      <c r="S155" s="3">
        <f t="shared" si="16"/>
        <v>0.59628818121155125</v>
      </c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</row>
    <row r="156" spans="1:100" x14ac:dyDescent="0.2">
      <c r="A156" s="32"/>
      <c r="F156" s="3"/>
      <c r="G156" s="3"/>
      <c r="H156" s="3"/>
      <c r="M156" s="1">
        <f t="shared" si="17"/>
        <v>4.6199999999999939</v>
      </c>
      <c r="N156" s="1">
        <f t="shared" si="18"/>
        <v>-13.585060472618892</v>
      </c>
      <c r="O156" s="1">
        <f t="shared" si="19"/>
        <v>-2.3942933084370228</v>
      </c>
      <c r="P156" s="1">
        <f t="shared" si="20"/>
        <v>6.6201749887179595</v>
      </c>
      <c r="R156" s="3">
        <f t="shared" si="15"/>
        <v>1.4156314421040181</v>
      </c>
      <c r="S156" s="3">
        <f t="shared" si="16"/>
        <v>0.49597139043144167</v>
      </c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</row>
    <row r="157" spans="1:100" x14ac:dyDescent="0.2">
      <c r="A157" s="32"/>
      <c r="F157" s="3"/>
      <c r="G157" s="3"/>
      <c r="H157" s="3"/>
      <c r="M157" s="1">
        <f t="shared" si="17"/>
        <v>4.6499999999999941</v>
      </c>
      <c r="N157" s="1">
        <f t="shared" si="18"/>
        <v>-13.940828023280851</v>
      </c>
      <c r="O157" s="1">
        <f t="shared" si="19"/>
        <v>-2.8125181491354483</v>
      </c>
      <c r="P157" s="1">
        <f t="shared" si="20"/>
        <v>6.5357994442438958</v>
      </c>
      <c r="R157" s="3">
        <f t="shared" si="15"/>
        <v>1.4523935459323389</v>
      </c>
      <c r="S157" s="3">
        <f t="shared" si="16"/>
        <v>0.3749039713501135</v>
      </c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</row>
    <row r="158" spans="1:100" x14ac:dyDescent="0.2">
      <c r="A158" s="32"/>
      <c r="F158" s="3"/>
      <c r="G158" s="3"/>
      <c r="H158" s="3"/>
      <c r="M158" s="1">
        <f t="shared" si="17"/>
        <v>4.6799999999999944</v>
      </c>
      <c r="N158" s="1">
        <f t="shared" si="18"/>
        <v>-14.270808825901199</v>
      </c>
      <c r="O158" s="1">
        <f t="shared" si="19"/>
        <v>-3.2406424139124841</v>
      </c>
      <c r="P158" s="1">
        <f t="shared" si="20"/>
        <v>6.438580171826521</v>
      </c>
      <c r="R158" s="3">
        <f t="shared" si="15"/>
        <v>1.4819257417619842</v>
      </c>
      <c r="S158" s="3">
        <f t="shared" si="16"/>
        <v>0.23215532710492026</v>
      </c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</row>
    <row r="159" spans="1:100" x14ac:dyDescent="0.2">
      <c r="A159" s="32"/>
      <c r="F159" s="3"/>
      <c r="G159" s="3"/>
      <c r="H159" s="3"/>
      <c r="M159" s="1">
        <f t="shared" si="17"/>
        <v>4.7099999999999946</v>
      </c>
      <c r="N159" s="1">
        <f t="shared" si="18"/>
        <v>-14.52759960036772</v>
      </c>
      <c r="O159" s="1">
        <f t="shared" si="19"/>
        <v>-3.6764704019235159</v>
      </c>
      <c r="P159" s="1">
        <f t="shared" si="20"/>
        <v>6.3282860597688151</v>
      </c>
      <c r="R159" s="3">
        <f t="shared" si="15"/>
        <v>1.4984747001614336</v>
      </c>
      <c r="S159" s="3">
        <f t="shared" si="16"/>
        <v>6.7628196605419522E-2</v>
      </c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</row>
    <row r="160" spans="1:100" x14ac:dyDescent="0.2">
      <c r="A160" s="32"/>
      <c r="F160" s="3"/>
      <c r="G160" s="3"/>
      <c r="H160" s="3"/>
      <c r="M160" s="1">
        <f t="shared" si="17"/>
        <v>4.7399999999999949</v>
      </c>
      <c r="N160" s="1">
        <f t="shared" si="18"/>
        <v>-14.653864665441221</v>
      </c>
      <c r="O160" s="1">
        <f t="shared" si="19"/>
        <v>-4.1160863418867528</v>
      </c>
      <c r="P160" s="1">
        <f t="shared" si="20"/>
        <v>6.2048034695122123</v>
      </c>
      <c r="R160" s="3">
        <f t="shared" si="15"/>
        <v>1.4953945742350379</v>
      </c>
      <c r="S160" s="3">
        <f t="shared" si="16"/>
        <v>-0.11745240460888731</v>
      </c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</row>
    <row r="161" spans="1:100" x14ac:dyDescent="0.2">
      <c r="A161" s="32"/>
      <c r="F161" s="3"/>
      <c r="G161" s="3"/>
      <c r="H161" s="3"/>
      <c r="M161" s="1">
        <f t="shared" si="17"/>
        <v>4.7699999999999951</v>
      </c>
      <c r="N161" s="1">
        <f t="shared" si="18"/>
        <v>-14.58349797158057</v>
      </c>
      <c r="O161" s="1">
        <f t="shared" si="19"/>
        <v>-4.5535912810341701</v>
      </c>
      <c r="P161" s="1">
        <f t="shared" si="20"/>
        <v>6.0681957310811869</v>
      </c>
      <c r="R161" s="3">
        <f t="shared" si="15"/>
        <v>1.4654679270995754</v>
      </c>
      <c r="S161" s="3">
        <f t="shared" si="16"/>
        <v>-0.32000586657508856</v>
      </c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</row>
    <row r="162" spans="1:100" x14ac:dyDescent="0.2">
      <c r="A162" s="32"/>
      <c r="F162" s="3"/>
      <c r="G162" s="3"/>
      <c r="H162" s="3"/>
      <c r="M162" s="1">
        <f t="shared" si="17"/>
        <v>4.7999999999999954</v>
      </c>
      <c r="N162" s="1">
        <f t="shared" si="18"/>
        <v>-14.24485605570268</v>
      </c>
      <c r="O162" s="1">
        <f t="shared" si="19"/>
        <v>-4.9809369627052504</v>
      </c>
      <c r="P162" s="1">
        <f t="shared" si="20"/>
        <v>5.9187676222000292</v>
      </c>
      <c r="R162" s="3">
        <f t="shared" si="15"/>
        <v>1.401497189568393</v>
      </c>
      <c r="S162" s="3">
        <f t="shared" si="16"/>
        <v>-0.53460791953720233</v>
      </c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</row>
    <row r="163" spans="1:100" x14ac:dyDescent="0.2">
      <c r="A163" s="32"/>
      <c r="F163" s="3"/>
      <c r="G163" s="3"/>
      <c r="H163" s="3"/>
      <c r="M163" s="1">
        <f t="shared" si="17"/>
        <v>4.8299999999999956</v>
      </c>
      <c r="N163" s="1">
        <f t="shared" si="18"/>
        <v>-13.566687569040459</v>
      </c>
      <c r="O163" s="1">
        <f t="shared" si="19"/>
        <v>-5.3879375897764641</v>
      </c>
      <c r="P163" s="1">
        <f t="shared" si="20"/>
        <v>5.7571294945067351</v>
      </c>
      <c r="R163" s="3">
        <f t="shared" si="15"/>
        <v>1.2971914085600891</v>
      </c>
      <c r="S163" s="3">
        <f t="shared" si="16"/>
        <v>-0.75318951768986531</v>
      </c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</row>
    <row r="164" spans="1:100" x14ac:dyDescent="0.2">
      <c r="A164" s="32"/>
      <c r="F164" s="3"/>
      <c r="G164" s="3"/>
      <c r="H164" s="3"/>
      <c r="M164" s="1">
        <f t="shared" si="17"/>
        <v>4.8599999999999959</v>
      </c>
      <c r="N164" s="1">
        <f t="shared" si="18"/>
        <v>-12.486999702521009</v>
      </c>
      <c r="O164" s="1">
        <f t="shared" si="19"/>
        <v>-5.7625475808520941</v>
      </c>
      <c r="P164" s="1">
        <f t="shared" si="20"/>
        <v>5.5842530670811721</v>
      </c>
      <c r="R164" s="3">
        <f t="shared" si="15"/>
        <v>1.1482944314483574</v>
      </c>
      <c r="S164" s="3">
        <f t="shared" si="16"/>
        <v>-0.96510097850157295</v>
      </c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</row>
    <row r="165" spans="1:100" x14ac:dyDescent="0.2">
      <c r="A165" s="32"/>
      <c r="F165" s="3"/>
      <c r="G165" s="3"/>
      <c r="H165" s="3"/>
      <c r="M165" s="1">
        <f t="shared" si="17"/>
        <v>4.8899999999999961</v>
      </c>
      <c r="N165" s="1">
        <f t="shared" si="18"/>
        <v>-10.964315032206887</v>
      </c>
      <c r="O165" s="1">
        <f t="shared" si="19"/>
        <v>-6.0914770318183002</v>
      </c>
      <c r="P165" s="1">
        <f t="shared" si="20"/>
        <v>5.4015087561266233</v>
      </c>
      <c r="R165" s="3">
        <f t="shared" si="15"/>
        <v>0.95378709939821782</v>
      </c>
      <c r="S165" s="3">
        <f t="shared" si="16"/>
        <v>-1.1577090174225706</v>
      </c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</row>
    <row r="166" spans="1:100" x14ac:dyDescent="0.2">
      <c r="A166" s="32"/>
      <c r="F166" s="3"/>
      <c r="G166" s="3"/>
      <c r="H166" s="3"/>
      <c r="M166" s="1">
        <f t="shared" si="17"/>
        <v>4.9199999999999964</v>
      </c>
      <c r="N166" s="1">
        <f t="shared" si="18"/>
        <v>-8.9896380611185318</v>
      </c>
      <c r="O166" s="1">
        <f t="shared" si="19"/>
        <v>-6.3611661736518563</v>
      </c>
      <c r="P166" s="1">
        <f t="shared" si="20"/>
        <v>5.2106737709170678</v>
      </c>
      <c r="R166" s="3">
        <f t="shared" si="15"/>
        <v>0.71687939430334169</v>
      </c>
      <c r="S166" s="3">
        <f t="shared" si="16"/>
        <v>-1.3176053787167363</v>
      </c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</row>
    <row r="167" spans="1:100" x14ac:dyDescent="0.2">
      <c r="A167" s="32"/>
      <c r="F167" s="3"/>
      <c r="G167" s="3"/>
      <c r="H167" s="3"/>
      <c r="M167" s="1">
        <f t="shared" si="17"/>
        <v>4.9499999999999966</v>
      </c>
      <c r="N167" s="1">
        <f t="shared" si="18"/>
        <v>-6.5962889874047494</v>
      </c>
      <c r="O167" s="1">
        <f t="shared" si="19"/>
        <v>-6.5590548432739988</v>
      </c>
      <c r="P167" s="1">
        <f t="shared" si="20"/>
        <v>5.0139021256188476</v>
      </c>
      <c r="R167" s="3">
        <f t="shared" si="15"/>
        <v>0.44544814597878646</v>
      </c>
      <c r="S167" s="3">
        <f t="shared" si="16"/>
        <v>-1.4323323459463106</v>
      </c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</row>
    <row r="168" spans="1:100" x14ac:dyDescent="0.2">
      <c r="A168" s="32"/>
      <c r="F168" s="3"/>
      <c r="G168" s="3"/>
      <c r="H168" s="3"/>
      <c r="M168" s="1">
        <f t="shared" si="17"/>
        <v>4.9799999999999969</v>
      </c>
      <c r="N168" s="1">
        <f t="shared" si="18"/>
        <v>-3.8641665238932044</v>
      </c>
      <c r="O168" s="1">
        <f t="shared" si="19"/>
        <v>-6.6749798389907946</v>
      </c>
      <c r="P168" s="1">
        <f t="shared" si="20"/>
        <v>4.8136527304491237</v>
      </c>
      <c r="R168" s="3">
        <f t="shared" si="15"/>
        <v>0.15163615975489581</v>
      </c>
      <c r="S168" s="3">
        <f t="shared" si="16"/>
        <v>-1.4923158094233231</v>
      </c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</row>
    <row r="169" spans="1:100" x14ac:dyDescent="0.2">
      <c r="A169" s="32"/>
      <c r="F169" s="3"/>
      <c r="G169" s="3"/>
      <c r="H169" s="3"/>
      <c r="M169" s="1">
        <f t="shared" si="17"/>
        <v>5.0099999999999971</v>
      </c>
      <c r="N169" s="1">
        <f t="shared" si="18"/>
        <v>-0.91561341203978663</v>
      </c>
      <c r="O169" s="1">
        <f t="shared" si="19"/>
        <v>-6.7024482413519886</v>
      </c>
      <c r="P169" s="1">
        <f t="shared" si="20"/>
        <v>4.6125792832085644</v>
      </c>
      <c r="R169" s="3">
        <f t="shared" si="15"/>
        <v>-0.14946609410671491</v>
      </c>
      <c r="S169" s="3">
        <f t="shared" si="16"/>
        <v>-1.4925347187628444</v>
      </c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</row>
    <row r="170" spans="1:100" x14ac:dyDescent="0.2">
      <c r="A170" s="32"/>
      <c r="F170" s="3"/>
      <c r="G170" s="3"/>
      <c r="H170" s="3"/>
      <c r="M170" s="1">
        <f t="shared" si="17"/>
        <v>5.0399999999999974</v>
      </c>
      <c r="N170" s="1">
        <f t="shared" si="18"/>
        <v>2.097881282788828</v>
      </c>
      <c r="O170" s="1">
        <f t="shared" si="19"/>
        <v>-6.6395118028683235</v>
      </c>
      <c r="P170" s="1">
        <f t="shared" si="20"/>
        <v>4.413393929122515</v>
      </c>
      <c r="R170" s="3">
        <f t="shared" si="15"/>
        <v>-0.44183999009674702</v>
      </c>
      <c r="S170" s="3">
        <f t="shared" si="16"/>
        <v>-1.433449483990038</v>
      </c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</row>
    <row r="171" spans="1:100" x14ac:dyDescent="0.2">
      <c r="A171" s="32"/>
      <c r="F171" s="3"/>
      <c r="G171" s="3"/>
      <c r="H171" s="3"/>
      <c r="M171" s="1">
        <f t="shared" si="17"/>
        <v>5.0699999999999976</v>
      </c>
      <c r="N171" s="1">
        <f t="shared" si="18"/>
        <v>5.0159559632256192</v>
      </c>
      <c r="O171" s="1">
        <f t="shared" si="19"/>
        <v>-6.4890331239715549</v>
      </c>
      <c r="P171" s="1">
        <f t="shared" si="20"/>
        <v>4.2187229354033686</v>
      </c>
      <c r="R171" s="3">
        <f t="shared" si="15"/>
        <v>-0.7107860854472503</v>
      </c>
      <c r="S171" s="3">
        <f t="shared" si="16"/>
        <v>-1.3209023963694571</v>
      </c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</row>
    <row r="172" spans="1:100" x14ac:dyDescent="0.2">
      <c r="A172" s="32"/>
      <c r="F172" s="3"/>
      <c r="G172" s="3"/>
      <c r="H172" s="3"/>
      <c r="M172" s="1">
        <f t="shared" si="17"/>
        <v>5.0999999999999979</v>
      </c>
      <c r="N172" s="1">
        <f t="shared" si="18"/>
        <v>7.6918738356299432</v>
      </c>
      <c r="O172" s="1">
        <f t="shared" si="19"/>
        <v>-6.2582769089026566</v>
      </c>
      <c r="P172" s="1">
        <f t="shared" si="20"/>
        <v>4.0309746281362893</v>
      </c>
      <c r="R172" s="3">
        <f t="shared" si="15"/>
        <v>-0.94483823468792738</v>
      </c>
      <c r="S172" s="3">
        <f t="shared" si="16"/>
        <v>-1.165023909742543</v>
      </c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</row>
    <row r="173" spans="1:100" x14ac:dyDescent="0.2">
      <c r="A173" s="32"/>
      <c r="F173" s="3"/>
      <c r="G173" s="3"/>
      <c r="H173" s="3"/>
      <c r="M173" s="1">
        <f t="shared" si="17"/>
        <v>5.1299999999999981</v>
      </c>
      <c r="N173" s="1">
        <f t="shared" si="18"/>
        <v>10.011627268680513</v>
      </c>
      <c r="O173" s="1">
        <f t="shared" si="19"/>
        <v>-5.9579280908422412</v>
      </c>
      <c r="P173" s="1">
        <f t="shared" si="20"/>
        <v>3.852236785411022</v>
      </c>
      <c r="R173" s="3">
        <f t="shared" si="15"/>
        <v>-1.1369127777316645</v>
      </c>
      <c r="S173" s="3">
        <f t="shared" si="16"/>
        <v>-0.97848318116893074</v>
      </c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</row>
    <row r="174" spans="1:100" x14ac:dyDescent="0.2">
      <c r="A174" s="32"/>
      <c r="F174" s="3"/>
      <c r="G174" s="3"/>
      <c r="H174" s="3"/>
      <c r="M174" s="1">
        <f t="shared" si="17"/>
        <v>5.1599999999999984</v>
      </c>
      <c r="N174" s="1">
        <f t="shared" si="18"/>
        <v>11.905341305492447</v>
      </c>
      <c r="O174" s="1">
        <f t="shared" si="19"/>
        <v>-5.6007678516774675</v>
      </c>
      <c r="P174" s="1">
        <f t="shared" si="20"/>
        <v>3.6842137498606982</v>
      </c>
      <c r="R174" s="3">
        <f t="shared" si="15"/>
        <v>-1.2845372050294457</v>
      </c>
      <c r="S174" s="3">
        <f t="shared" si="16"/>
        <v>-0.7745735400174345</v>
      </c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</row>
    <row r="175" spans="1:100" x14ac:dyDescent="0.2">
      <c r="A175" s="32"/>
      <c r="F175" s="3"/>
      <c r="G175" s="3"/>
      <c r="H175" s="3"/>
      <c r="M175" s="1">
        <f t="shared" si="17"/>
        <v>5.1899999999999986</v>
      </c>
      <c r="N175" s="1">
        <f t="shared" si="18"/>
        <v>13.34944115694543</v>
      </c>
      <c r="O175" s="1">
        <f t="shared" si="19"/>
        <v>-5.200284616969105</v>
      </c>
      <c r="P175" s="1">
        <f t="shared" si="20"/>
        <v>3.5282052113516249</v>
      </c>
      <c r="R175" s="3">
        <f t="shared" si="15"/>
        <v>-1.3892874257073446</v>
      </c>
      <c r="S175" s="3">
        <f t="shared" si="16"/>
        <v>-0.56557974572243974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</row>
    <row r="176" spans="1:100" x14ac:dyDescent="0.2">
      <c r="A176" s="32"/>
      <c r="F176" s="3"/>
      <c r="G176" s="3"/>
      <c r="H176" s="3"/>
      <c r="M176" s="1">
        <f t="shared" si="17"/>
        <v>5.2199999999999989</v>
      </c>
      <c r="N176" s="1">
        <f t="shared" si="18"/>
        <v>14.360899872600665</v>
      </c>
      <c r="O176" s="1">
        <f t="shared" si="19"/>
        <v>-4.7694576207910853</v>
      </c>
      <c r="P176" s="1">
        <f t="shared" si="20"/>
        <v>3.3851214827278922</v>
      </c>
      <c r="R176" s="3">
        <f t="shared" si="15"/>
        <v>-1.4557396751792939</v>
      </c>
      <c r="S176" s="3">
        <f t="shared" si="16"/>
        <v>-0.36169323757693272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</row>
    <row r="177" spans="1:100" x14ac:dyDescent="0.2">
      <c r="A177" s="32"/>
      <c r="F177" s="3"/>
      <c r="G177" s="3"/>
      <c r="H177" s="3"/>
      <c r="M177" s="1">
        <f t="shared" si="17"/>
        <v>5.2499999999999991</v>
      </c>
      <c r="N177" s="1">
        <f t="shared" si="18"/>
        <v>14.986647937664138</v>
      </c>
      <c r="O177" s="1">
        <f t="shared" si="19"/>
        <v>-4.3198581826611608</v>
      </c>
      <c r="P177" s="1">
        <f t="shared" si="20"/>
        <v>3.2555257372480573</v>
      </c>
      <c r="R177" s="3">
        <f t="shared" si="15"/>
        <v>-1.4902749660183052</v>
      </c>
      <c r="S177" s="3">
        <f t="shared" si="16"/>
        <v>-0.17053013123533139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</row>
    <row r="178" spans="1:100" x14ac:dyDescent="0.2">
      <c r="A178" s="32"/>
      <c r="F178" s="3"/>
      <c r="G178" s="3"/>
      <c r="H178" s="3"/>
      <c r="M178" s="1">
        <f t="shared" si="17"/>
        <v>5.2799999999999994</v>
      </c>
      <c r="N178" s="1">
        <f t="shared" si="18"/>
        <v>15.291536896622556</v>
      </c>
      <c r="O178" s="1">
        <f t="shared" si="19"/>
        <v>-3.8611120757624842</v>
      </c>
      <c r="P178" s="1">
        <f t="shared" si="20"/>
        <v>3.1396923749751826</v>
      </c>
      <c r="R178" s="3">
        <f t="shared" si="15"/>
        <v>-1.4999972917067053</v>
      </c>
      <c r="S178" s="3">
        <f t="shared" si="16"/>
        <v>2.8504162064117936E-3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</row>
    <row r="179" spans="1:100" x14ac:dyDescent="0.2">
      <c r="A179" s="32"/>
      <c r="F179" s="3"/>
      <c r="G179" s="3"/>
      <c r="H179" s="3"/>
      <c r="M179" s="1">
        <f t="shared" si="17"/>
        <v>5.31</v>
      </c>
      <c r="N179" s="1">
        <f t="shared" si="18"/>
        <v>15.347473003885675</v>
      </c>
      <c r="O179" s="1">
        <f t="shared" si="19"/>
        <v>-3.400687885645914</v>
      </c>
      <c r="P179" s="1">
        <f t="shared" si="20"/>
        <v>3.0376717384058054</v>
      </c>
      <c r="R179" s="3">
        <f t="shared" si="15"/>
        <v>-1.4919076193183605</v>
      </c>
      <c r="S179" s="3">
        <f t="shared" si="16"/>
        <v>0.15560094928959203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</row>
    <row r="180" spans="1:100" x14ac:dyDescent="0.2">
      <c r="A180" s="32"/>
      <c r="F180" s="3"/>
      <c r="G180" s="3"/>
      <c r="H180" s="3"/>
      <c r="M180" s="1">
        <f t="shared" si="17"/>
        <v>5.34</v>
      </c>
      <c r="N180" s="1">
        <f t="shared" si="18"/>
        <v>15.225138102891737</v>
      </c>
      <c r="O180" s="1">
        <f t="shared" si="19"/>
        <v>-2.9439337425591621</v>
      </c>
      <c r="P180" s="1">
        <f t="shared" si="20"/>
        <v>2.9493537261290306</v>
      </c>
      <c r="R180" s="3">
        <f t="shared" si="15"/>
        <v>-1.4723683992177889</v>
      </c>
      <c r="S180" s="3">
        <f t="shared" si="16"/>
        <v>0.28658558404924356</v>
      </c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</row>
    <row r="181" spans="1:100" x14ac:dyDescent="0.2">
      <c r="A181" s="32"/>
      <c r="F181" s="3"/>
      <c r="G181" s="3"/>
      <c r="H181" s="3"/>
      <c r="M181" s="1">
        <f t="shared" si="17"/>
        <v>5.37</v>
      </c>
      <c r="N181" s="1">
        <f t="shared" si="18"/>
        <v>14.988638029008214</v>
      </c>
      <c r="O181" s="1">
        <f t="shared" si="19"/>
        <v>-2.4942746016889155</v>
      </c>
      <c r="P181" s="1">
        <f t="shared" si="20"/>
        <v>2.8745254880783633</v>
      </c>
      <c r="R181" s="3">
        <f t="shared" si="15"/>
        <v>-1.4468235441865223</v>
      </c>
      <c r="S181" s="3">
        <f t="shared" si="16"/>
        <v>0.39585556960531765</v>
      </c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</row>
    <row r="182" spans="1:100" x14ac:dyDescent="0.2">
      <c r="A182" s="32"/>
      <c r="F182" s="3"/>
      <c r="G182" s="3"/>
      <c r="H182" s="3"/>
      <c r="M182" s="1">
        <f t="shared" si="17"/>
        <v>5.4</v>
      </c>
      <c r="N182" s="1">
        <f t="shared" si="18"/>
        <v>14.692720156017224</v>
      </c>
      <c r="O182" s="1">
        <f t="shared" si="19"/>
        <v>-2.0534929970083988</v>
      </c>
      <c r="P182" s="1">
        <f t="shared" si="20"/>
        <v>2.8129206981681114</v>
      </c>
      <c r="R182" s="3">
        <f t="shared" si="15"/>
        <v>-1.419707779080652</v>
      </c>
      <c r="S182" s="3">
        <f t="shared" si="16"/>
        <v>0.4841795349019643</v>
      </c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</row>
    <row r="183" spans="1:100" x14ac:dyDescent="0.2">
      <c r="A183" s="32"/>
      <c r="F183" s="3"/>
      <c r="G183" s="3"/>
      <c r="H183" s="3"/>
      <c r="M183" s="1">
        <f t="shared" si="17"/>
        <v>5.4300000000000006</v>
      </c>
      <c r="N183" s="1">
        <f t="shared" si="18"/>
        <v>14.381892160537275</v>
      </c>
      <c r="O183" s="1">
        <f t="shared" si="19"/>
        <v>-1.6220362321922805</v>
      </c>
      <c r="P183" s="1">
        <f t="shared" si="20"/>
        <v>2.764259611202343</v>
      </c>
      <c r="R183" s="3">
        <f t="shared" si="15"/>
        <v>-1.3944758414041361</v>
      </c>
      <c r="S183" s="3">
        <f t="shared" si="16"/>
        <v>0.5526636660214117</v>
      </c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</row>
    <row r="184" spans="1:100" x14ac:dyDescent="0.2">
      <c r="A184" s="32"/>
      <c r="F184" s="3"/>
      <c r="G184" s="3"/>
      <c r="H184" s="3"/>
      <c r="M184" s="1">
        <f t="shared" si="17"/>
        <v>5.4600000000000009</v>
      </c>
      <c r="N184" s="1">
        <f t="shared" si="18"/>
        <v>14.090741674938666</v>
      </c>
      <c r="O184" s="1">
        <f t="shared" si="19"/>
        <v>-1.1993139819441205</v>
      </c>
      <c r="P184" s="1">
        <f t="shared" si="20"/>
        <v>2.7282801917440196</v>
      </c>
      <c r="R184" s="3">
        <f t="shared" si="15"/>
        <v>-1.3736931233034797</v>
      </c>
      <c r="S184" s="3">
        <f t="shared" si="16"/>
        <v>0.60246759496982982</v>
      </c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</row>
    <row r="185" spans="1:100" x14ac:dyDescent="0.2">
      <c r="A185" s="32"/>
      <c r="F185" s="3"/>
      <c r="G185" s="3"/>
      <c r="H185" s="3"/>
      <c r="M185" s="1">
        <f t="shared" si="17"/>
        <v>5.4900000000000011</v>
      </c>
      <c r="N185" s="1">
        <f t="shared" si="18"/>
        <v>13.844869491409767</v>
      </c>
      <c r="O185" s="1">
        <f t="shared" si="19"/>
        <v>-0.78396789720182758</v>
      </c>
      <c r="P185" s="1">
        <f t="shared" si="20"/>
        <v>2.7047611548279646</v>
      </c>
      <c r="R185" s="3">
        <f t="shared" si="15"/>
        <v>-1.3591450636590987</v>
      </c>
      <c r="S185" s="3">
        <f t="shared" si="16"/>
        <v>0.63460593751642791</v>
      </c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</row>
    <row r="186" spans="1:100" x14ac:dyDescent="0.2">
      <c r="A186" s="32"/>
      <c r="F186" s="3"/>
      <c r="G186" s="3"/>
      <c r="H186" s="3"/>
      <c r="M186" s="1">
        <f t="shared" si="17"/>
        <v>5.5200000000000014</v>
      </c>
      <c r="N186" s="1">
        <f t="shared" si="18"/>
        <v>13.662007747339153</v>
      </c>
      <c r="O186" s="1">
        <f t="shared" si="19"/>
        <v>-0.37410766478165297</v>
      </c>
      <c r="P186" s="1">
        <f t="shared" si="20"/>
        <v>2.6935379248845153</v>
      </c>
      <c r="R186" s="3">
        <f t="shared" si="15"/>
        <v>-1.351937286157739</v>
      </c>
      <c r="S186" s="3">
        <f t="shared" si="16"/>
        <v>0.64981964751494525</v>
      </c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</row>
    <row r="187" spans="1:100" x14ac:dyDescent="0.2">
      <c r="A187" s="32"/>
      <c r="F187" s="3"/>
      <c r="G187" s="3"/>
      <c r="H187" s="3"/>
      <c r="M187" s="1">
        <f t="shared" si="17"/>
        <v>5.5500000000000016</v>
      </c>
      <c r="N187" s="1">
        <f t="shared" si="18"/>
        <v>13.553042551407739</v>
      </c>
      <c r="O187" s="1">
        <f t="shared" si="19"/>
        <v>3.2483611760579179E-2</v>
      </c>
      <c r="P187" s="1">
        <f t="shared" si="20"/>
        <v>2.6945124332373327</v>
      </c>
      <c r="R187" s="3">
        <f t="shared" si="15"/>
        <v>-1.3525698987870922</v>
      </c>
      <c r="S187" s="3">
        <f t="shared" si="16"/>
        <v>0.64850186498966567</v>
      </c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</row>
    <row r="188" spans="1:100" x14ac:dyDescent="0.2">
      <c r="A188" s="32"/>
      <c r="F188" s="3"/>
      <c r="G188" s="3"/>
      <c r="H188" s="3"/>
      <c r="M188" s="1">
        <f t="shared" si="17"/>
        <v>5.5800000000000018</v>
      </c>
      <c r="N188" s="1">
        <f t="shared" si="18"/>
        <v>13.52277546281247</v>
      </c>
      <c r="O188" s="1">
        <f t="shared" si="19"/>
        <v>0.43816687564495327</v>
      </c>
      <c r="P188" s="1">
        <f t="shared" si="20"/>
        <v>2.7076574395066815</v>
      </c>
      <c r="R188" s="3">
        <f t="shared" si="15"/>
        <v>-1.360977359976913</v>
      </c>
      <c r="S188" s="3">
        <f t="shared" si="16"/>
        <v>0.63066681031291938</v>
      </c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</row>
    <row r="189" spans="1:100" x14ac:dyDescent="0.2">
      <c r="A189" s="32"/>
      <c r="F189" s="3"/>
      <c r="G189" s="3"/>
      <c r="H189" s="3"/>
      <c r="M189" s="1">
        <f t="shared" si="17"/>
        <v>5.6100000000000021</v>
      </c>
      <c r="N189" s="1">
        <f t="shared" si="18"/>
        <v>13.570338580961085</v>
      </c>
      <c r="O189" s="1">
        <f t="shared" si="19"/>
        <v>0.84527703307378577</v>
      </c>
      <c r="P189" s="1">
        <f t="shared" si="20"/>
        <v>2.733015750498895</v>
      </c>
      <c r="R189" s="3">
        <f t="shared" si="15"/>
        <v>-1.3765307304737009</v>
      </c>
      <c r="S189" s="3">
        <f t="shared" si="16"/>
        <v>0.59595565947605456</v>
      </c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</row>
    <row r="190" spans="1:100" x14ac:dyDescent="0.2">
      <c r="A190" s="32"/>
      <c r="F190" s="3"/>
      <c r="G190" s="3"/>
      <c r="H190" s="3"/>
      <c r="M190" s="1">
        <f t="shared" si="17"/>
        <v>5.6400000000000023</v>
      </c>
      <c r="N190" s="1">
        <f t="shared" si="18"/>
        <v>13.689232371760371</v>
      </c>
      <c r="O190" s="1">
        <f t="shared" si="19"/>
        <v>1.2559540042265969</v>
      </c>
      <c r="P190" s="1">
        <f t="shared" si="20"/>
        <v>2.770694370625693</v>
      </c>
      <c r="R190" s="3">
        <f t="shared" si="15"/>
        <v>-1.3980032047716922</v>
      </c>
      <c r="S190" s="3">
        <f t="shared" si="16"/>
        <v>0.54367916959184526</v>
      </c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</row>
    <row r="191" spans="1:100" x14ac:dyDescent="0.2">
      <c r="A191" s="32"/>
      <c r="F191" s="3"/>
      <c r="G191" s="3"/>
      <c r="H191" s="3"/>
      <c r="M191" s="1">
        <f t="shared" si="17"/>
        <v>5.6700000000000026</v>
      </c>
      <c r="N191" s="1">
        <f t="shared" si="18"/>
        <v>13.866996187336527</v>
      </c>
      <c r="O191" s="1">
        <f t="shared" si="19"/>
        <v>1.6719638898466926</v>
      </c>
      <c r="P191" s="1">
        <f t="shared" si="20"/>
        <v>2.8208532873210936</v>
      </c>
      <c r="R191" s="3">
        <f t="shared" si="15"/>
        <v>-1.4235038681156538</v>
      </c>
      <c r="S191" s="3">
        <f t="shared" si="16"/>
        <v>0.47290246083074189</v>
      </c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</row>
    <row r="192" spans="1:100" x14ac:dyDescent="0.2">
      <c r="A192" s="32"/>
      <c r="F192" s="3"/>
      <c r="G192" s="3"/>
      <c r="H192" s="3"/>
      <c r="M192" s="1">
        <f t="shared" si="17"/>
        <v>5.7000000000000028</v>
      </c>
      <c r="N192" s="1">
        <f t="shared" si="18"/>
        <v>14.084561931070334</v>
      </c>
      <c r="O192" s="1">
        <f t="shared" si="19"/>
        <v>2.0945007477788025</v>
      </c>
      <c r="P192" s="1">
        <f t="shared" si="20"/>
        <v>2.8836883097544579</v>
      </c>
      <c r="R192" s="3">
        <f t="shared" si="15"/>
        <v>-1.4503899121511614</v>
      </c>
      <c r="S192" s="3">
        <f t="shared" si="16"/>
        <v>0.38258215160948977</v>
      </c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</row>
    <row r="193" spans="1:100" x14ac:dyDescent="0.2">
      <c r="A193" s="32"/>
      <c r="F193" s="3"/>
      <c r="G193" s="3"/>
      <c r="H193" s="3"/>
      <c r="M193" s="1">
        <f t="shared" si="17"/>
        <v>5.7300000000000031</v>
      </c>
      <c r="N193" s="1">
        <f t="shared" si="18"/>
        <v>14.315394054211522</v>
      </c>
      <c r="O193" s="1">
        <f t="shared" si="19"/>
        <v>2.523962569405148</v>
      </c>
      <c r="P193" s="1">
        <f t="shared" si="20"/>
        <v>2.9594071868366125</v>
      </c>
      <c r="R193" s="3">
        <f t="shared" si="15"/>
        <v>-1.4751751205563473</v>
      </c>
      <c r="S193" s="3">
        <f t="shared" si="16"/>
        <v>0.27176895277342927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</row>
    <row r="194" spans="1:100" x14ac:dyDescent="0.2">
      <c r="A194" s="32"/>
      <c r="F194" s="3"/>
      <c r="G194" s="3"/>
      <c r="H194" s="3"/>
      <c r="M194" s="1">
        <f t="shared" si="17"/>
        <v>5.7600000000000033</v>
      </c>
      <c r="N194" s="1">
        <f t="shared" si="18"/>
        <v>14.524594574317007</v>
      </c>
      <c r="O194" s="1">
        <f t="shared" si="19"/>
        <v>2.9597004066346582</v>
      </c>
      <c r="P194" s="1">
        <f t="shared" si="20"/>
        <v>3.0481981990356521</v>
      </c>
      <c r="R194" s="3">
        <f t="shared" ref="R194:R257" si="21">$B$3*COS(P194)</f>
        <v>-1.4934628606632643</v>
      </c>
      <c r="S194" s="3">
        <f t="shared" ref="S194:S257" si="22">$B$3*SIN(P194)</f>
        <v>0.13988811178759583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</row>
    <row r="195" spans="1:100" x14ac:dyDescent="0.2">
      <c r="A195" s="32"/>
      <c r="F195" s="3"/>
      <c r="G195" s="3"/>
      <c r="H195" s="3"/>
      <c r="M195" s="1">
        <f t="shared" ref="M195:M258" si="23">M194+B$13</f>
        <v>5.7900000000000036</v>
      </c>
      <c r="N195" s="1">
        <f t="shared" ref="N195:N258" si="24">-$B$12*$B$3*COS(P194)-B$10*O194</f>
        <v>14.668255570035525</v>
      </c>
      <c r="O195" s="1">
        <f t="shared" ref="O195:O258" si="25">N195*$B$13+O194</f>
        <v>3.399748073735724</v>
      </c>
      <c r="P195" s="1">
        <f t="shared" ref="P195:P258" si="26">O195*$B$13+P194</f>
        <v>3.1501906412477236</v>
      </c>
      <c r="R195" s="3">
        <f t="shared" si="21"/>
        <v>-1.4999445562977349</v>
      </c>
      <c r="S195" s="3">
        <f t="shared" si="22"/>
        <v>-1.2896822585081433E-2</v>
      </c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</row>
    <row r="196" spans="1:100" x14ac:dyDescent="0.2">
      <c r="A196" s="32"/>
      <c r="F196" s="3"/>
      <c r="G196" s="3"/>
      <c r="H196" s="3"/>
      <c r="M196" s="1">
        <f t="shared" si="23"/>
        <v>5.8200000000000038</v>
      </c>
      <c r="N196" s="1">
        <f t="shared" si="24"/>
        <v>14.693468236341133</v>
      </c>
      <c r="O196" s="1">
        <f t="shared" si="25"/>
        <v>3.8405521208259579</v>
      </c>
      <c r="P196" s="1">
        <f t="shared" si="26"/>
        <v>3.2654072048725022</v>
      </c>
      <c r="R196" s="3">
        <f t="shared" si="21"/>
        <v>-1.4885171483032487</v>
      </c>
      <c r="S196" s="3">
        <f t="shared" si="22"/>
        <v>-0.18524766991021574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</row>
    <row r="197" spans="1:100" x14ac:dyDescent="0.2">
      <c r="A197" s="32"/>
      <c r="F197" s="3"/>
      <c r="G197" s="3"/>
      <c r="H197" s="3"/>
      <c r="M197" s="1">
        <f t="shared" si="23"/>
        <v>5.8500000000000041</v>
      </c>
      <c r="N197" s="1">
        <f t="shared" si="24"/>
        <v>14.539521792158151</v>
      </c>
      <c r="O197" s="1">
        <f t="shared" si="25"/>
        <v>4.2767377745907025</v>
      </c>
      <c r="P197" s="1">
        <f t="shared" si="26"/>
        <v>3.3937093381102232</v>
      </c>
      <c r="R197" s="3">
        <f t="shared" si="21"/>
        <v>-1.452579863154958</v>
      </c>
      <c r="S197" s="3">
        <f t="shared" si="22"/>
        <v>-0.37418142812908739</v>
      </c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</row>
    <row r="198" spans="1:100" x14ac:dyDescent="0.2">
      <c r="A198" s="32"/>
      <c r="F198" s="3"/>
      <c r="G198" s="3"/>
      <c r="H198" s="3"/>
      <c r="M198" s="1">
        <f t="shared" si="23"/>
        <v>5.8800000000000043</v>
      </c>
      <c r="N198" s="1">
        <f t="shared" si="24"/>
        <v>14.140892231836416</v>
      </c>
      <c r="O198" s="1">
        <f t="shared" si="25"/>
        <v>4.7009645415457948</v>
      </c>
      <c r="P198" s="1">
        <f t="shared" si="26"/>
        <v>3.5347382743565969</v>
      </c>
      <c r="R198" s="3">
        <f t="shared" si="21"/>
        <v>-1.3855628359563623</v>
      </c>
      <c r="S198" s="3">
        <f t="shared" si="22"/>
        <v>-0.57464391375578217</v>
      </c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</row>
    <row r="199" spans="1:100" x14ac:dyDescent="0.2">
      <c r="A199" s="32"/>
      <c r="F199" s="3"/>
      <c r="G199" s="3"/>
      <c r="H199" s="3"/>
      <c r="M199" s="1">
        <f t="shared" si="23"/>
        <v>5.9100000000000046</v>
      </c>
      <c r="N199" s="1">
        <f t="shared" si="24"/>
        <v>13.432541550824501</v>
      </c>
      <c r="O199" s="1">
        <f t="shared" si="25"/>
        <v>5.1039407880705294</v>
      </c>
      <c r="P199" s="1">
        <f t="shared" si="26"/>
        <v>3.687856497998713</v>
      </c>
      <c r="R199" s="3">
        <f t="shared" si="21"/>
        <v>-1.2817071123019788</v>
      </c>
      <c r="S199" s="3">
        <f t="shared" si="22"/>
        <v>-0.77924763604038139</v>
      </c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</row>
    <row r="200" spans="1:100" x14ac:dyDescent="0.2">
      <c r="A200" s="32"/>
      <c r="F200" s="3"/>
      <c r="G200" s="3"/>
      <c r="H200" s="3"/>
      <c r="M200" s="1">
        <f t="shared" si="23"/>
        <v>5.9400000000000048</v>
      </c>
      <c r="N200" s="1">
        <f t="shared" si="24"/>
        <v>12.357716452093438</v>
      </c>
      <c r="O200" s="1">
        <f t="shared" si="25"/>
        <v>5.4746722816333326</v>
      </c>
      <c r="P200" s="1">
        <f t="shared" si="26"/>
        <v>3.852096666447713</v>
      </c>
      <c r="R200" s="3">
        <f t="shared" si="21"/>
        <v>-1.1370498706194883</v>
      </c>
      <c r="S200" s="3">
        <f t="shared" si="22"/>
        <v>-0.97832386852422493</v>
      </c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</row>
    <row r="201" spans="1:100" x14ac:dyDescent="0.2">
      <c r="A201" s="32"/>
      <c r="F201" s="3"/>
      <c r="G201" s="3"/>
      <c r="H201" s="3"/>
      <c r="M201" s="1">
        <f t="shared" si="23"/>
        <v>5.9700000000000051</v>
      </c>
      <c r="N201" s="1">
        <f t="shared" si="24"/>
        <v>10.877778200847882</v>
      </c>
      <c r="O201" s="1">
        <f t="shared" si="25"/>
        <v>5.8010056276587694</v>
      </c>
      <c r="P201" s="1">
        <f t="shared" si="26"/>
        <v>4.0261268352774762</v>
      </c>
      <c r="R201" s="3">
        <f t="shared" si="21"/>
        <v>-0.95047490481129193</v>
      </c>
      <c r="S201" s="3">
        <f t="shared" si="22"/>
        <v>-1.1604298579939958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</row>
    <row r="202" spans="1:100" x14ac:dyDescent="0.2">
      <c r="A202" s="32"/>
      <c r="F202" s="3"/>
      <c r="G202" s="3"/>
      <c r="H202" s="3"/>
      <c r="M202" s="1">
        <f t="shared" si="23"/>
        <v>6.0000000000000053</v>
      </c>
      <c r="N202" s="1">
        <f t="shared" si="24"/>
        <v>8.9826585416236302</v>
      </c>
      <c r="O202" s="1">
        <f t="shared" si="25"/>
        <v>6.0704853839074779</v>
      </c>
      <c r="P202" s="1">
        <f t="shared" si="26"/>
        <v>4.2082413967947003</v>
      </c>
      <c r="R202" s="3">
        <f t="shared" si="21"/>
        <v>-0.72459187734018848</v>
      </c>
      <c r="S202" s="3">
        <f t="shared" si="22"/>
        <v>-1.3133798427311962</v>
      </c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</row>
    <row r="203" spans="1:100" x14ac:dyDescent="0.2">
      <c r="A203" s="32"/>
      <c r="F203" s="3"/>
      <c r="G203" s="3"/>
      <c r="H203" s="3"/>
      <c r="M203" s="1">
        <f t="shared" si="23"/>
        <v>6.0300000000000056</v>
      </c>
      <c r="N203" s="1">
        <f t="shared" si="24"/>
        <v>6.699575088850211</v>
      </c>
      <c r="O203" s="1">
        <f t="shared" si="25"/>
        <v>6.2714726365729838</v>
      </c>
      <c r="P203" s="1">
        <f t="shared" si="26"/>
        <v>4.3963855758918902</v>
      </c>
      <c r="R203" s="3">
        <f t="shared" si="21"/>
        <v>-0.46615552269160032</v>
      </c>
      <c r="S203" s="3">
        <f t="shared" si="22"/>
        <v>-1.4257275436296097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</row>
    <row r="204" spans="1:100" x14ac:dyDescent="0.2">
      <c r="A204" s="32"/>
      <c r="F204" s="3"/>
      <c r="G204" s="3"/>
      <c r="H204" s="3"/>
      <c r="M204" s="1">
        <f t="shared" si="23"/>
        <v>6.0600000000000058</v>
      </c>
      <c r="N204" s="1">
        <f t="shared" si="24"/>
        <v>4.0971226896244346</v>
      </c>
      <c r="O204" s="1">
        <f t="shared" si="25"/>
        <v>6.3943863172617172</v>
      </c>
      <c r="P204" s="1">
        <f t="shared" si="26"/>
        <v>4.5882171654097412</v>
      </c>
      <c r="R204" s="3">
        <f t="shared" si="21"/>
        <v>-0.18577945120900746</v>
      </c>
      <c r="S204" s="3">
        <f t="shared" si="22"/>
        <v>-1.4884508710429376</v>
      </c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</row>
    <row r="205" spans="1:100" x14ac:dyDescent="0.2">
      <c r="A205" s="32"/>
      <c r="F205" s="3"/>
      <c r="G205" s="3"/>
      <c r="H205" s="3"/>
      <c r="M205" s="1">
        <f t="shared" si="23"/>
        <v>6.0900000000000061</v>
      </c>
      <c r="N205" s="1">
        <f t="shared" si="24"/>
        <v>1.2822997435365202</v>
      </c>
      <c r="O205" s="1">
        <f t="shared" si="25"/>
        <v>6.4328553095678132</v>
      </c>
      <c r="P205" s="1">
        <f t="shared" si="26"/>
        <v>4.7812028246967753</v>
      </c>
      <c r="R205" s="3">
        <f t="shared" si="21"/>
        <v>0.10313932142773277</v>
      </c>
      <c r="S205" s="3">
        <f t="shared" si="22"/>
        <v>-1.496449892370415</v>
      </c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</row>
    <row r="206" spans="1:100" x14ac:dyDescent="0.2">
      <c r="A206" s="32"/>
      <c r="F206" s="3"/>
      <c r="G206" s="3"/>
      <c r="H206" s="3"/>
      <c r="M206" s="1">
        <f t="shared" si="23"/>
        <v>6.1200000000000063</v>
      </c>
      <c r="N206" s="1">
        <f t="shared" si="24"/>
        <v>-1.6103501921384309</v>
      </c>
      <c r="O206" s="1">
        <f t="shared" si="25"/>
        <v>6.3845448038036601</v>
      </c>
      <c r="P206" s="1">
        <f t="shared" si="26"/>
        <v>4.9727391688108851</v>
      </c>
      <c r="R206" s="3">
        <f t="shared" si="21"/>
        <v>0.38612843206144432</v>
      </c>
      <c r="S206" s="3">
        <f t="shared" si="22"/>
        <v>-1.4494498383710179</v>
      </c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</row>
    <row r="207" spans="1:100" x14ac:dyDescent="0.2">
      <c r="A207" s="32"/>
      <c r="F207" s="3"/>
      <c r="G207" s="3"/>
      <c r="H207" s="3"/>
      <c r="M207" s="1">
        <f t="shared" si="23"/>
        <v>6.1500000000000066</v>
      </c>
      <c r="N207" s="1">
        <f t="shared" si="24"/>
        <v>-4.4358933529567723</v>
      </c>
      <c r="O207" s="1">
        <f t="shared" si="25"/>
        <v>6.2514680032149572</v>
      </c>
      <c r="P207" s="1">
        <f t="shared" si="26"/>
        <v>5.1602832089073338</v>
      </c>
      <c r="R207" s="3">
        <f t="shared" si="21"/>
        <v>0.6496026529647615</v>
      </c>
      <c r="S207" s="3">
        <f t="shared" si="22"/>
        <v>-1.3520415649162356</v>
      </c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</row>
    <row r="208" spans="1:100" x14ac:dyDescent="0.2">
      <c r="A208" s="32"/>
      <c r="F208" s="3"/>
      <c r="G208" s="3"/>
      <c r="H208" s="3"/>
      <c r="M208" s="1">
        <f t="shared" si="23"/>
        <v>6.1800000000000068</v>
      </c>
      <c r="N208" s="1">
        <f t="shared" si="24"/>
        <v>-7.0586586499369615</v>
      </c>
      <c r="O208" s="1">
        <f t="shared" si="25"/>
        <v>6.0397082437168486</v>
      </c>
      <c r="P208" s="1">
        <f t="shared" si="26"/>
        <v>5.3414744562188394</v>
      </c>
      <c r="R208" s="3">
        <f t="shared" si="21"/>
        <v>0.88260832649302334</v>
      </c>
      <c r="S208" s="3">
        <f t="shared" si="22"/>
        <v>-1.2128489361850407</v>
      </c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</row>
    <row r="209" spans="1:100" x14ac:dyDescent="0.2">
      <c r="A209" s="32"/>
      <c r="F209" s="3"/>
      <c r="G209" s="3"/>
      <c r="H209" s="3"/>
      <c r="M209" s="1">
        <f t="shared" si="23"/>
        <v>6.2100000000000071</v>
      </c>
      <c r="N209" s="1">
        <f t="shared" si="24"/>
        <v>-9.3696570068647489</v>
      </c>
      <c r="O209" s="1">
        <f t="shared" si="25"/>
        <v>5.7586185335109059</v>
      </c>
      <c r="P209" s="1">
        <f t="shared" si="26"/>
        <v>5.5142330122241665</v>
      </c>
      <c r="R209" s="3">
        <f t="shared" si="21"/>
        <v>1.0779594297878576</v>
      </c>
      <c r="S209" s="3">
        <f t="shared" si="22"/>
        <v>-1.0430740470989759</v>
      </c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</row>
    <row r="210" spans="1:100" x14ac:dyDescent="0.2">
      <c r="A210" s="32"/>
      <c r="F210" s="3"/>
      <c r="G210" s="3"/>
      <c r="H210" s="3"/>
      <c r="M210" s="1">
        <f t="shared" si="23"/>
        <v>6.2400000000000073</v>
      </c>
      <c r="N210" s="1">
        <f t="shared" si="24"/>
        <v>-11.297869965894559</v>
      </c>
      <c r="O210" s="1">
        <f t="shared" si="25"/>
        <v>5.4196824345340691</v>
      </c>
      <c r="P210" s="1">
        <f t="shared" si="26"/>
        <v>5.6768234852601882</v>
      </c>
      <c r="R210" s="3">
        <f t="shared" si="21"/>
        <v>1.2325901737803386</v>
      </c>
      <c r="S210" s="3">
        <f t="shared" si="22"/>
        <v>-0.85482247484501417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</row>
    <row r="211" spans="1:100" x14ac:dyDescent="0.2">
      <c r="A211" s="32"/>
      <c r="F211" s="3"/>
      <c r="G211" s="3"/>
      <c r="H211" s="3"/>
      <c r="M211" s="1">
        <f t="shared" si="23"/>
        <v>6.2700000000000076</v>
      </c>
      <c r="N211" s="1">
        <f t="shared" si="24"/>
        <v>-12.813673156911451</v>
      </c>
      <c r="O211" s="1">
        <f t="shared" si="25"/>
        <v>5.0352722398267256</v>
      </c>
      <c r="P211" s="1">
        <f t="shared" si="26"/>
        <v>5.8278816524549901</v>
      </c>
      <c r="R211" s="3">
        <f t="shared" si="21"/>
        <v>1.3471913129401929</v>
      </c>
      <c r="S211" s="3">
        <f t="shared" si="22"/>
        <v>-0.65960258211932354</v>
      </c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</row>
    <row r="212" spans="1:100" x14ac:dyDescent="0.2">
      <c r="A212" s="32"/>
      <c r="F212" s="3"/>
      <c r="G212" s="3"/>
      <c r="H212" s="3"/>
      <c r="M212" s="1">
        <f t="shared" si="23"/>
        <v>6.3000000000000078</v>
      </c>
      <c r="N212" s="1">
        <f t="shared" si="24"/>
        <v>-13.925087630986335</v>
      </c>
      <c r="O212" s="1">
        <f t="shared" si="25"/>
        <v>4.6175196108971353</v>
      </c>
      <c r="P212" s="1">
        <f t="shared" si="26"/>
        <v>5.966407240781904</v>
      </c>
      <c r="R212" s="3">
        <f t="shared" si="21"/>
        <v>1.4253660029502586</v>
      </c>
      <c r="S212" s="3">
        <f t="shared" si="22"/>
        <v>-0.46725983952572181</v>
      </c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</row>
    <row r="213" spans="1:100" x14ac:dyDescent="0.2">
      <c r="A213" s="32"/>
      <c r="F213" s="3"/>
      <c r="G213" s="3"/>
      <c r="H213" s="3"/>
      <c r="M213" s="1">
        <f t="shared" si="23"/>
        <v>6.3300000000000081</v>
      </c>
      <c r="N213" s="1">
        <f t="shared" si="24"/>
        <v>-14.669236794483329</v>
      </c>
      <c r="O213" s="1">
        <f t="shared" si="25"/>
        <v>4.1774425070626355</v>
      </c>
      <c r="P213" s="1">
        <f t="shared" si="26"/>
        <v>6.0917305159937829</v>
      </c>
      <c r="R213" s="3">
        <f t="shared" si="21"/>
        <v>1.4725926686897599</v>
      </c>
      <c r="S213" s="3">
        <f t="shared" si="22"/>
        <v>-0.28543095858923728</v>
      </c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</row>
    <row r="214" spans="1:100" x14ac:dyDescent="0.2">
      <c r="A214" s="32"/>
      <c r="F214" s="3"/>
      <c r="G214" s="3"/>
      <c r="H214" s="3"/>
      <c r="M214" s="1">
        <f t="shared" si="23"/>
        <v>6.3600000000000083</v>
      </c>
      <c r="N214" s="1">
        <f t="shared" si="24"/>
        <v>-15.101896512533237</v>
      </c>
      <c r="O214" s="1">
        <f t="shared" si="25"/>
        <v>3.7243856116866385</v>
      </c>
      <c r="P214" s="1">
        <f t="shared" si="26"/>
        <v>6.2034620843443822</v>
      </c>
      <c r="R214" s="3">
        <f t="shared" si="21"/>
        <v>1.4952356800266955</v>
      </c>
      <c r="S214" s="3">
        <f t="shared" si="22"/>
        <v>-0.1194581984424071</v>
      </c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</row>
    <row r="215" spans="1:100" x14ac:dyDescent="0.2">
      <c r="A215" s="32"/>
      <c r="F215" s="3"/>
      <c r="G215" s="3"/>
      <c r="H215" s="3"/>
      <c r="M215" s="1">
        <f t="shared" si="23"/>
        <v>6.3900000000000086</v>
      </c>
      <c r="N215" s="1">
        <f t="shared" si="24"/>
        <v>-15.287551505318753</v>
      </c>
      <c r="O215" s="1">
        <f t="shared" si="25"/>
        <v>3.2657590665270759</v>
      </c>
      <c r="P215" s="1">
        <f t="shared" si="26"/>
        <v>6.3014348563401947</v>
      </c>
      <c r="R215" s="3">
        <f t="shared" si="21"/>
        <v>1.4997502223989783</v>
      </c>
      <c r="S215" s="3">
        <f t="shared" si="22"/>
        <v>2.7372804281174348E-2</v>
      </c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</row>
    <row r="216" spans="1:100" x14ac:dyDescent="0.2">
      <c r="A216" s="32"/>
      <c r="F216" s="3"/>
      <c r="G216" s="3"/>
      <c r="H216" s="3"/>
      <c r="M216" s="1">
        <f t="shared" si="23"/>
        <v>6.4200000000000088</v>
      </c>
      <c r="N216" s="1">
        <f t="shared" si="24"/>
        <v>-15.291420539977219</v>
      </c>
      <c r="O216" s="1">
        <f t="shared" si="25"/>
        <v>2.8070164503277595</v>
      </c>
      <c r="P216" s="1">
        <f t="shared" si="26"/>
        <v>6.3856453498500274</v>
      </c>
      <c r="R216" s="3">
        <f t="shared" si="21"/>
        <v>1.4921333404114847</v>
      </c>
      <c r="S216" s="3">
        <f t="shared" si="22"/>
        <v>0.1534212971932665</v>
      </c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</row>
    <row r="217" spans="1:100" x14ac:dyDescent="0.2">
      <c r="A217" s="32"/>
      <c r="F217" s="3"/>
      <c r="G217" s="3"/>
      <c r="H217" s="3"/>
      <c r="M217" s="1">
        <f t="shared" si="23"/>
        <v>6.4500000000000091</v>
      </c>
      <c r="N217" s="1">
        <f t="shared" si="24"/>
        <v>-15.173964884644345</v>
      </c>
      <c r="O217" s="1">
        <f t="shared" si="25"/>
        <v>2.3517975037884291</v>
      </c>
      <c r="P217" s="1">
        <f t="shared" si="26"/>
        <v>6.4561992749636801</v>
      </c>
      <c r="R217" s="3">
        <f t="shared" si="21"/>
        <v>1.4776055715124918</v>
      </c>
      <c r="S217" s="3">
        <f t="shared" si="22"/>
        <v>0.25822814531968086</v>
      </c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</row>
    <row r="218" spans="1:100" x14ac:dyDescent="0.2">
      <c r="A218" s="32"/>
      <c r="F218" s="3"/>
      <c r="G218" s="3"/>
      <c r="H218" s="3"/>
      <c r="M218" s="1">
        <f t="shared" si="23"/>
        <v>6.4800000000000093</v>
      </c>
      <c r="N218" s="1">
        <f t="shared" si="24"/>
        <v>-14.987717490465878</v>
      </c>
      <c r="O218" s="1">
        <f t="shared" si="25"/>
        <v>1.9021659790744527</v>
      </c>
      <c r="P218" s="1">
        <f t="shared" si="26"/>
        <v>6.5132642543359136</v>
      </c>
      <c r="R218" s="3">
        <f t="shared" si="21"/>
        <v>1.460472590690912</v>
      </c>
      <c r="S218" s="3">
        <f t="shared" si="22"/>
        <v>0.34208158652662957</v>
      </c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</row>
    <row r="219" spans="1:100" x14ac:dyDescent="0.2">
      <c r="A219" s="32"/>
      <c r="F219" s="3"/>
      <c r="G219" s="3"/>
      <c r="H219" s="3"/>
      <c r="M219" s="1">
        <f t="shared" si="23"/>
        <v>6.5100000000000096</v>
      </c>
      <c r="N219" s="1">
        <f t="shared" si="24"/>
        <v>-14.775920845025821</v>
      </c>
      <c r="O219" s="1">
        <f t="shared" si="25"/>
        <v>1.4588883537236781</v>
      </c>
      <c r="P219" s="1">
        <f t="shared" si="26"/>
        <v>6.5570309049476236</v>
      </c>
      <c r="R219" s="3">
        <f t="shared" si="21"/>
        <v>1.4441070459951892</v>
      </c>
      <c r="S219" s="3">
        <f t="shared" si="22"/>
        <v>0.40565359570333936</v>
      </c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</row>
    <row r="220" spans="1:100" x14ac:dyDescent="0.2">
      <c r="A220" s="32"/>
      <c r="F220" s="3"/>
      <c r="G220" s="3"/>
      <c r="H220" s="3"/>
      <c r="M220" s="1">
        <f t="shared" si="23"/>
        <v>6.5400000000000098</v>
      </c>
      <c r="N220" s="1">
        <f t="shared" si="24"/>
        <v>-14.572370411787025</v>
      </c>
      <c r="O220" s="1">
        <f t="shared" si="25"/>
        <v>1.0217172413700673</v>
      </c>
      <c r="P220" s="1">
        <f t="shared" si="26"/>
        <v>6.5876824221887258</v>
      </c>
      <c r="R220" s="3">
        <f t="shared" si="21"/>
        <v>1.4309967673219151</v>
      </c>
      <c r="S220" s="3">
        <f t="shared" si="22"/>
        <v>0.44972019291358117</v>
      </c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</row>
    <row r="221" spans="1:100" x14ac:dyDescent="0.2">
      <c r="A221" s="32"/>
      <c r="F221" s="3"/>
      <c r="G221" s="3"/>
      <c r="H221" s="3"/>
      <c r="M221" s="1">
        <f t="shared" si="23"/>
        <v>6.5700000000000101</v>
      </c>
      <c r="N221" s="1">
        <f t="shared" si="24"/>
        <v>-14.401922224942457</v>
      </c>
      <c r="O221" s="1">
        <f t="shared" si="25"/>
        <v>0.58965957462179364</v>
      </c>
      <c r="P221" s="1">
        <f t="shared" si="26"/>
        <v>6.6053722094273795</v>
      </c>
      <c r="R221" s="3">
        <f t="shared" si="21"/>
        <v>1.4228178336514956</v>
      </c>
      <c r="S221" s="3">
        <f t="shared" si="22"/>
        <v>0.47496253772614994</v>
      </c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</row>
    <row r="222" spans="1:100" x14ac:dyDescent="0.2">
      <c r="A222" s="32"/>
      <c r="F222" s="3"/>
      <c r="G222" s="3"/>
      <c r="H222" s="3"/>
      <c r="M222" s="1">
        <f t="shared" si="23"/>
        <v>6.6000000000000103</v>
      </c>
      <c r="N222" s="1">
        <f t="shared" si="24"/>
        <v>-14.281247698230919</v>
      </c>
      <c r="O222" s="1">
        <f t="shared" si="25"/>
        <v>0.16122214367486609</v>
      </c>
      <c r="P222" s="1">
        <f t="shared" si="26"/>
        <v>6.6102088737376254</v>
      </c>
      <c r="R222" s="3">
        <f t="shared" si="21"/>
        <v>1.4205039660680454</v>
      </c>
      <c r="S222" s="3">
        <f t="shared" si="22"/>
        <v>0.48183864766636675</v>
      </c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</row>
    <row r="223" spans="1:100" x14ac:dyDescent="0.2">
      <c r="A223" s="32"/>
      <c r="F223" s="3"/>
      <c r="G223" s="3"/>
      <c r="H223" s="3"/>
      <c r="M223" s="1">
        <f t="shared" si="23"/>
        <v>6.6300000000000106</v>
      </c>
      <c r="N223" s="1">
        <f t="shared" si="24"/>
        <v>-14.219549653611191</v>
      </c>
      <c r="O223" s="1">
        <f t="shared" si="25"/>
        <v>-0.26536434593346964</v>
      </c>
      <c r="P223" s="1">
        <f t="shared" si="26"/>
        <v>6.6022479433596217</v>
      </c>
      <c r="R223" s="3">
        <f t="shared" si="21"/>
        <v>1.4242947964933372</v>
      </c>
      <c r="S223" s="3">
        <f t="shared" si="22"/>
        <v>0.47051496541768273</v>
      </c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</row>
    <row r="224" spans="1:100" x14ac:dyDescent="0.2">
      <c r="A224" s="32"/>
      <c r="F224" s="3"/>
      <c r="G224" s="3"/>
      <c r="H224" s="3"/>
      <c r="M224" s="1">
        <f t="shared" si="23"/>
        <v>6.6600000000000108</v>
      </c>
      <c r="N224" s="1">
        <f t="shared" si="24"/>
        <v>-14.219065173799361</v>
      </c>
      <c r="O224" s="1">
        <f t="shared" si="25"/>
        <v>-0.69193630114745042</v>
      </c>
      <c r="P224" s="1">
        <f t="shared" si="26"/>
        <v>6.5814898543251985</v>
      </c>
      <c r="R224" s="3">
        <f t="shared" si="21"/>
        <v>1.4337542345663876</v>
      </c>
      <c r="S224" s="3">
        <f t="shared" si="22"/>
        <v>0.44085008207207133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</row>
    <row r="225" spans="1:100" x14ac:dyDescent="0.2">
      <c r="A225" s="32"/>
      <c r="F225" s="3"/>
      <c r="G225" s="3"/>
      <c r="H225" s="3"/>
      <c r="M225" s="1">
        <f t="shared" si="23"/>
        <v>6.690000000000011</v>
      </c>
      <c r="N225" s="1">
        <f t="shared" si="24"/>
        <v>-14.275268078560607</v>
      </c>
      <c r="O225" s="1">
        <f t="shared" si="25"/>
        <v>-1.1201943435042687</v>
      </c>
      <c r="P225" s="1">
        <f t="shared" si="26"/>
        <v>6.5478840240200702</v>
      </c>
      <c r="R225" s="3">
        <f t="shared" si="21"/>
        <v>1.4477570488957263</v>
      </c>
      <c r="S225" s="3">
        <f t="shared" si="22"/>
        <v>0.3924277352236174</v>
      </c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</row>
    <row r="226" spans="1:100" x14ac:dyDescent="0.2">
      <c r="A226" s="32"/>
      <c r="F226" s="3"/>
      <c r="G226" s="3"/>
      <c r="H226" s="3"/>
      <c r="M226" s="1">
        <f t="shared" si="23"/>
        <v>6.7200000000000113</v>
      </c>
      <c r="N226" s="1">
        <f t="shared" si="24"/>
        <v>-14.376752998041878</v>
      </c>
      <c r="O226" s="1">
        <f t="shared" si="25"/>
        <v>-1.5514969334455251</v>
      </c>
      <c r="P226" s="1">
        <f t="shared" si="26"/>
        <v>6.5013391160167044</v>
      </c>
      <c r="R226" s="3">
        <f t="shared" si="21"/>
        <v>1.4644480193531126</v>
      </c>
      <c r="S226" s="3">
        <f t="shared" si="22"/>
        <v>0.32464133842248977</v>
      </c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</row>
    <row r="227" spans="1:100" x14ac:dyDescent="0.2">
      <c r="A227" s="32"/>
      <c r="F227" s="3"/>
      <c r="G227" s="3"/>
      <c r="H227" s="3"/>
      <c r="M227" s="1">
        <f t="shared" si="23"/>
        <v>6.7500000000000115</v>
      </c>
      <c r="N227" s="1">
        <f t="shared" si="24"/>
        <v>-14.504845469521028</v>
      </c>
      <c r="O227" s="1">
        <f t="shared" si="25"/>
        <v>-1.986642297531156</v>
      </c>
      <c r="P227" s="1">
        <f t="shared" si="26"/>
        <v>6.4417398470907701</v>
      </c>
      <c r="R227" s="3">
        <f t="shared" si="21"/>
        <v>1.4811848101059475</v>
      </c>
      <c r="S227" s="3">
        <f t="shared" si="22"/>
        <v>0.23683656455752033</v>
      </c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</row>
    <row r="228" spans="1:100" x14ac:dyDescent="0.2">
      <c r="A228" s="32"/>
      <c r="F228" s="3"/>
      <c r="G228" s="3"/>
      <c r="H228" s="3"/>
      <c r="M228" s="1">
        <f t="shared" si="23"/>
        <v>6.7800000000000118</v>
      </c>
      <c r="N228" s="1">
        <f t="shared" si="24"/>
        <v>-14.63305029428167</v>
      </c>
      <c r="O228" s="1">
        <f t="shared" si="25"/>
        <v>-2.4256338063596061</v>
      </c>
      <c r="P228" s="1">
        <f t="shared" si="26"/>
        <v>6.3689708328999819</v>
      </c>
      <c r="R228" s="3">
        <f t="shared" si="21"/>
        <v>1.4944840166764044</v>
      </c>
      <c r="S228" s="3">
        <f t="shared" si="22"/>
        <v>0.12852051936854497</v>
      </c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</row>
    <row r="229" spans="1:100" x14ac:dyDescent="0.2">
      <c r="A229" s="32"/>
      <c r="F229" s="3"/>
      <c r="G229" s="3"/>
      <c r="H229" s="3"/>
      <c r="M229" s="1">
        <f t="shared" si="23"/>
        <v>6.810000000000012</v>
      </c>
      <c r="N229" s="1">
        <f t="shared" si="24"/>
        <v>-14.726533124191681</v>
      </c>
      <c r="O229" s="1">
        <f t="shared" si="25"/>
        <v>-2.8674298000853566</v>
      </c>
      <c r="P229" s="1">
        <f t="shared" si="26"/>
        <v>6.2829479388974212</v>
      </c>
      <c r="R229" s="3">
        <f t="shared" si="21"/>
        <v>1.4999999577422243</v>
      </c>
      <c r="S229" s="3">
        <f t="shared" si="22"/>
        <v>-3.5605241990435937E-4</v>
      </c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</row>
    <row r="230" spans="1:100" x14ac:dyDescent="0.2">
      <c r="A230" s="32"/>
      <c r="F230" s="3"/>
      <c r="G230" s="3"/>
      <c r="H230" s="3"/>
      <c r="M230" s="1">
        <f t="shared" si="23"/>
        <v>6.8400000000000123</v>
      </c>
      <c r="N230" s="1">
        <f t="shared" si="24"/>
        <v>-14.74193089541456</v>
      </c>
      <c r="O230" s="1">
        <f t="shared" si="25"/>
        <v>-3.3096877269477933</v>
      </c>
      <c r="P230" s="1">
        <f t="shared" si="26"/>
        <v>6.1836573070889873</v>
      </c>
      <c r="R230" s="3">
        <f t="shared" si="21"/>
        <v>1.4925767637066438</v>
      </c>
      <c r="S230" s="3">
        <f t="shared" si="22"/>
        <v>-0.14904564550164318</v>
      </c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</row>
    <row r="231" spans="1:100" x14ac:dyDescent="0.2">
      <c r="A231" s="32"/>
      <c r="F231" s="3"/>
      <c r="G231" s="3"/>
      <c r="H231" s="3"/>
      <c r="M231" s="1">
        <f t="shared" si="23"/>
        <v>6.8700000000000125</v>
      </c>
      <c r="N231" s="1">
        <f t="shared" si="24"/>
        <v>-14.627895741641138</v>
      </c>
      <c r="O231" s="1">
        <f t="shared" si="25"/>
        <v>-3.7485245991970273</v>
      </c>
      <c r="P231" s="1">
        <f t="shared" si="26"/>
        <v>6.0712015691130761</v>
      </c>
      <c r="R231" s="3">
        <f t="shared" si="21"/>
        <v>1.4664231911632992</v>
      </c>
      <c r="S231" s="3">
        <f t="shared" si="22"/>
        <v>-0.31559946834309827</v>
      </c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</row>
    <row r="232" spans="1:100" x14ac:dyDescent="0.2">
      <c r="A232" s="32"/>
      <c r="F232" s="3"/>
      <c r="G232" s="3"/>
      <c r="H232" s="3"/>
      <c r="M232" s="1">
        <f t="shared" si="23"/>
        <v>6.9000000000000128</v>
      </c>
      <c r="N232" s="1">
        <f t="shared" si="24"/>
        <v>-14.326864697705258</v>
      </c>
      <c r="O232" s="1">
        <f t="shared" si="25"/>
        <v>-4.1783305401281847</v>
      </c>
      <c r="P232" s="1">
        <f t="shared" si="26"/>
        <v>5.9458516529092309</v>
      </c>
      <c r="R232" s="3">
        <f t="shared" si="21"/>
        <v>1.4154607577264287</v>
      </c>
      <c r="S232" s="3">
        <f t="shared" si="22"/>
        <v>-0.49645829969547761</v>
      </c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</row>
    <row r="233" spans="1:100" x14ac:dyDescent="0.2">
      <c r="A233" s="32"/>
      <c r="F233" s="3"/>
      <c r="G233" s="3"/>
      <c r="H233" s="3"/>
      <c r="M233" s="1">
        <f t="shared" si="23"/>
        <v>6.930000000000013</v>
      </c>
      <c r="N233" s="1">
        <f t="shared" si="24"/>
        <v>-13.778557828652749</v>
      </c>
      <c r="O233" s="1">
        <f t="shared" si="25"/>
        <v>-4.5916872749877671</v>
      </c>
      <c r="P233" s="1">
        <f t="shared" si="26"/>
        <v>5.8081010346595976</v>
      </c>
      <c r="R233" s="3">
        <f t="shared" si="21"/>
        <v>1.3338812661029507</v>
      </c>
      <c r="S233" s="3">
        <f t="shared" si="22"/>
        <v>-0.68612008274032421</v>
      </c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</row>
    <row r="234" spans="1:100" x14ac:dyDescent="0.2">
      <c r="A234" s="32"/>
      <c r="F234" s="3"/>
      <c r="G234" s="3"/>
      <c r="H234" s="3"/>
      <c r="M234" s="1">
        <f t="shared" si="23"/>
        <v>6.9600000000000133</v>
      </c>
      <c r="N234" s="1">
        <f t="shared" si="24"/>
        <v>-12.925560806280608</v>
      </c>
      <c r="O234" s="1">
        <f t="shared" si="25"/>
        <v>-4.9794540991761851</v>
      </c>
      <c r="P234" s="1">
        <f t="shared" si="26"/>
        <v>5.6587174116843117</v>
      </c>
      <c r="R234" s="3">
        <f t="shared" si="21"/>
        <v>1.2169115063685885</v>
      </c>
      <c r="S234" s="3">
        <f t="shared" si="22"/>
        <v>-0.87699850950143166</v>
      </c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</row>
    <row r="235" spans="1:100" x14ac:dyDescent="0.2">
      <c r="A235" s="32"/>
      <c r="F235" s="3"/>
      <c r="G235" s="3"/>
      <c r="H235" s="3"/>
      <c r="M235" s="1">
        <f t="shared" si="23"/>
        <v>6.9900000000000135</v>
      </c>
      <c r="N235" s="1">
        <f t="shared" si="24"/>
        <v>-11.720964194760029</v>
      </c>
      <c r="O235" s="1">
        <f t="shared" si="25"/>
        <v>-5.3310830250189856</v>
      </c>
      <c r="P235" s="1">
        <f t="shared" si="26"/>
        <v>5.4987849209337423</v>
      </c>
      <c r="R235" s="3">
        <f t="shared" si="21"/>
        <v>1.0617179461142634</v>
      </c>
      <c r="S235" s="3">
        <f t="shared" si="22"/>
        <v>-1.0596013414954277</v>
      </c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</row>
    <row r="236" spans="1:100" x14ac:dyDescent="0.2">
      <c r="A236" s="32"/>
      <c r="F236" s="3"/>
      <c r="G236" s="3"/>
      <c r="H236" s="3"/>
      <c r="M236" s="1">
        <f t="shared" si="23"/>
        <v>7.0200000000000138</v>
      </c>
      <c r="N236" s="1">
        <f t="shared" si="24"/>
        <v>-10.137381988890926</v>
      </c>
      <c r="O236" s="1">
        <f t="shared" si="25"/>
        <v>-5.6352044846857137</v>
      </c>
      <c r="P236" s="1">
        <f t="shared" si="26"/>
        <v>5.3297287863931713</v>
      </c>
      <c r="R236" s="3">
        <f t="shared" si="21"/>
        <v>0.86830204893873453</v>
      </c>
      <c r="S236" s="3">
        <f t="shared" si="22"/>
        <v>-1.2231318619874127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</row>
    <row r="237" spans="1:100" x14ac:dyDescent="0.2">
      <c r="A237" s="32"/>
      <c r="F237" s="3"/>
      <c r="G237" s="3"/>
      <c r="H237" s="3"/>
      <c r="M237" s="1">
        <f t="shared" si="23"/>
        <v>7.050000000000014</v>
      </c>
      <c r="N237" s="1">
        <f t="shared" si="24"/>
        <v>-8.1758520857656301</v>
      </c>
      <c r="O237" s="1">
        <f t="shared" si="25"/>
        <v>-5.8804800472586827</v>
      </c>
      <c r="P237" s="1">
        <f t="shared" si="26"/>
        <v>5.1533143849754106</v>
      </c>
      <c r="R237" s="3">
        <f t="shared" si="21"/>
        <v>0.64016481586117291</v>
      </c>
      <c r="S237" s="3">
        <f t="shared" si="22"/>
        <v>-1.3565356643057456</v>
      </c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</row>
    <row r="238" spans="1:100" x14ac:dyDescent="0.2">
      <c r="A238" s="32"/>
      <c r="F238" s="3"/>
      <c r="G238" s="3"/>
      <c r="H238" s="3"/>
      <c r="M238" s="1">
        <f t="shared" si="23"/>
        <v>7.0800000000000143</v>
      </c>
      <c r="N238" s="1">
        <f t="shared" si="24"/>
        <v>-5.8724049543584487</v>
      </c>
      <c r="O238" s="1">
        <f t="shared" si="25"/>
        <v>-6.0566521958894359</v>
      </c>
      <c r="P238" s="1">
        <f t="shared" si="26"/>
        <v>4.9716148190987273</v>
      </c>
      <c r="R238" s="3">
        <f t="shared" si="21"/>
        <v>0.38449849983177697</v>
      </c>
      <c r="S238" s="3">
        <f t="shared" si="22"/>
        <v>-1.4498830655011847</v>
      </c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</row>
    <row r="239" spans="1:100" x14ac:dyDescent="0.2">
      <c r="A239" s="32"/>
      <c r="F239" s="3"/>
      <c r="G239" s="3"/>
      <c r="H239" s="3"/>
      <c r="M239" s="1">
        <f t="shared" si="23"/>
        <v>7.1100000000000145</v>
      </c>
      <c r="N239" s="1">
        <f t="shared" si="24"/>
        <v>-3.2998863006877208</v>
      </c>
      <c r="O239" s="1">
        <f t="shared" si="25"/>
        <v>-6.1556487849100678</v>
      </c>
      <c r="P239" s="1">
        <f t="shared" si="26"/>
        <v>4.786945355551425</v>
      </c>
      <c r="R239" s="3">
        <f t="shared" si="21"/>
        <v>0.11173098328633307</v>
      </c>
      <c r="S239" s="3">
        <f t="shared" si="22"/>
        <v>-1.4958329409977136</v>
      </c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</row>
    <row r="240" spans="1:100" x14ac:dyDescent="0.2">
      <c r="A240" s="32"/>
      <c r="F240" s="3"/>
      <c r="G240" s="3"/>
      <c r="H240" s="3"/>
      <c r="M240" s="1">
        <f t="shared" si="23"/>
        <v>7.1400000000000148</v>
      </c>
      <c r="N240" s="1">
        <f t="shared" si="24"/>
        <v>-0.56330144222142475</v>
      </c>
      <c r="O240" s="1">
        <f t="shared" si="25"/>
        <v>-6.172547828176711</v>
      </c>
      <c r="P240" s="1">
        <f t="shared" si="26"/>
        <v>4.6017689207061236</v>
      </c>
      <c r="R240" s="3">
        <f t="shared" si="21"/>
        <v>-0.16559188768925895</v>
      </c>
      <c r="S240" s="3">
        <f t="shared" si="22"/>
        <v>-1.49083175668199</v>
      </c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</row>
    <row r="241" spans="1:100" x14ac:dyDescent="0.2">
      <c r="A241" s="32"/>
      <c r="F241" s="3"/>
      <c r="G241" s="3"/>
      <c r="H241" s="3"/>
      <c r="M241" s="1">
        <f t="shared" si="23"/>
        <v>7.170000000000015</v>
      </c>
      <c r="N241" s="1">
        <f t="shared" si="24"/>
        <v>2.2114481814284934</v>
      </c>
      <c r="O241" s="1">
        <f t="shared" si="25"/>
        <v>-6.1062043827338561</v>
      </c>
      <c r="P241" s="1">
        <f t="shared" si="26"/>
        <v>4.4185827892241081</v>
      </c>
      <c r="R241" s="3">
        <f t="shared" si="21"/>
        <v>-0.43439610654249372</v>
      </c>
      <c r="S241" s="3">
        <f t="shared" si="22"/>
        <v>-1.4357228223514185</v>
      </c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</row>
    <row r="242" spans="1:100" x14ac:dyDescent="0.2">
      <c r="A242" s="32"/>
      <c r="F242" s="3"/>
      <c r="G242" s="3"/>
      <c r="H242" s="3"/>
      <c r="M242" s="1">
        <f t="shared" si="23"/>
        <v>7.2000000000000153</v>
      </c>
      <c r="N242" s="1">
        <f t="shared" si="24"/>
        <v>4.8935194598709835</v>
      </c>
      <c r="O242" s="1">
        <f t="shared" si="25"/>
        <v>-5.9593987989377268</v>
      </c>
      <c r="P242" s="1">
        <f t="shared" si="26"/>
        <v>4.2398008252559762</v>
      </c>
      <c r="R242" s="3">
        <f t="shared" si="21"/>
        <v>-0.68278842450211663</v>
      </c>
      <c r="S242" s="3">
        <f t="shared" si="22"/>
        <v>-1.3355897451560181</v>
      </c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</row>
    <row r="243" spans="1:100" x14ac:dyDescent="0.2">
      <c r="A243" s="32"/>
      <c r="F243" s="3"/>
      <c r="G243" s="3"/>
      <c r="H243" s="3"/>
      <c r="M243" s="1">
        <f t="shared" si="23"/>
        <v>7.2300000000000155</v>
      </c>
      <c r="N243" s="1">
        <f t="shared" si="24"/>
        <v>7.3642301369255616</v>
      </c>
      <c r="O243" s="1">
        <f t="shared" si="25"/>
        <v>-5.73847189482996</v>
      </c>
      <c r="P243" s="1">
        <f t="shared" si="26"/>
        <v>4.0676466684110775</v>
      </c>
      <c r="R243" s="3">
        <f t="shared" si="21"/>
        <v>-0.90148875017064611</v>
      </c>
      <c r="S243" s="3">
        <f t="shared" si="22"/>
        <v>-1.1988819930734496</v>
      </c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</row>
    <row r="244" spans="1:100" x14ac:dyDescent="0.2">
      <c r="A244" s="32"/>
      <c r="F244" s="3"/>
      <c r="G244" s="3"/>
      <c r="H244" s="3"/>
      <c r="M244" s="1">
        <f t="shared" si="23"/>
        <v>7.2600000000000158</v>
      </c>
      <c r="N244" s="1">
        <f t="shared" si="24"/>
        <v>9.5313499722411574</v>
      </c>
      <c r="O244" s="1">
        <f t="shared" si="25"/>
        <v>-5.4525313956627253</v>
      </c>
      <c r="P244" s="1">
        <f t="shared" si="26"/>
        <v>3.9040707265411956</v>
      </c>
      <c r="R244" s="3">
        <f t="shared" si="21"/>
        <v>-1.0846898840063257</v>
      </c>
      <c r="S244" s="3">
        <f t="shared" si="22"/>
        <v>-1.0360732867583953</v>
      </c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</row>
    <row r="245" spans="1:100" x14ac:dyDescent="0.2">
      <c r="A245" s="32"/>
      <c r="F245" s="3"/>
      <c r="G245" s="3"/>
      <c r="H245" s="3"/>
      <c r="M245" s="1">
        <f t="shared" si="23"/>
        <v>7.290000000000016</v>
      </c>
      <c r="N245" s="1">
        <f t="shared" si="24"/>
        <v>11.337626665672904</v>
      </c>
      <c r="O245" s="1">
        <f t="shared" si="25"/>
        <v>-5.1124025956925383</v>
      </c>
      <c r="P245" s="1">
        <f t="shared" si="26"/>
        <v>3.7506986486704195</v>
      </c>
      <c r="R245" s="3">
        <f t="shared" si="21"/>
        <v>-1.2302397548325785</v>
      </c>
      <c r="S245" s="3">
        <f t="shared" si="22"/>
        <v>-0.85820169286099501</v>
      </c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</row>
    <row r="246" spans="1:100" x14ac:dyDescent="0.2">
      <c r="A246" s="32"/>
      <c r="F246" s="3"/>
      <c r="G246" s="3"/>
      <c r="H246" s="3"/>
      <c r="M246" s="1">
        <f t="shared" si="23"/>
        <v>7.3200000000000163</v>
      </c>
      <c r="N246" s="1">
        <f t="shared" si="24"/>
        <v>12.762513781938113</v>
      </c>
      <c r="O246" s="1">
        <f t="shared" si="25"/>
        <v>-4.7295271822343947</v>
      </c>
      <c r="P246" s="1">
        <f t="shared" si="26"/>
        <v>3.6088128332033875</v>
      </c>
      <c r="R246" s="3">
        <f t="shared" si="21"/>
        <v>-1.3392356765279478</v>
      </c>
      <c r="S246" s="3">
        <f t="shared" si="22"/>
        <v>-0.6756092085775105</v>
      </c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</row>
    <row r="247" spans="1:100" x14ac:dyDescent="0.2">
      <c r="A247" s="32"/>
      <c r="F247" s="3"/>
      <c r="G247" s="3"/>
      <c r="H247" s="3"/>
      <c r="M247" s="1">
        <f t="shared" si="23"/>
        <v>7.3500000000000165</v>
      </c>
      <c r="N247" s="1">
        <f t="shared" si="24"/>
        <v>13.818014211680573</v>
      </c>
      <c r="O247" s="1">
        <f t="shared" si="25"/>
        <v>-4.3149867558839778</v>
      </c>
      <c r="P247" s="1">
        <f t="shared" si="26"/>
        <v>3.479363230526868</v>
      </c>
      <c r="R247" s="3">
        <f t="shared" si="21"/>
        <v>-1.4152437087423824</v>
      </c>
      <c r="S247" s="3">
        <f t="shared" si="22"/>
        <v>-0.49707669917740704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</row>
    <row r="248" spans="1:100" x14ac:dyDescent="0.2">
      <c r="A248" s="32"/>
      <c r="F248" s="3"/>
      <c r="G248" s="3"/>
      <c r="H248" s="3"/>
      <c r="M248" s="1">
        <f t="shared" si="23"/>
        <v>7.3800000000000168</v>
      </c>
      <c r="N248" s="1">
        <f t="shared" si="24"/>
        <v>14.540785895453384</v>
      </c>
      <c r="O248" s="1">
        <f t="shared" si="25"/>
        <v>-3.8787631790203765</v>
      </c>
      <c r="P248" s="1">
        <f t="shared" si="26"/>
        <v>3.363000335156257</v>
      </c>
      <c r="R248" s="3">
        <f t="shared" si="21"/>
        <v>-1.4633839270669071</v>
      </c>
      <c r="S248" s="3">
        <f t="shared" si="22"/>
        <v>-0.3294047388885552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</row>
    <row r="249" spans="1:100" x14ac:dyDescent="0.2">
      <c r="A249" s="32"/>
      <c r="F249" s="3"/>
      <c r="G249" s="3"/>
      <c r="H249" s="3"/>
      <c r="M249" s="1">
        <f t="shared" si="23"/>
        <v>7.410000000000017</v>
      </c>
      <c r="N249" s="1">
        <f t="shared" si="24"/>
        <v>14.982927956780905</v>
      </c>
      <c r="O249" s="1">
        <f t="shared" si="25"/>
        <v>-3.4292753403169494</v>
      </c>
      <c r="P249" s="1">
        <f t="shared" si="26"/>
        <v>3.2601220749467483</v>
      </c>
      <c r="R249" s="3">
        <f t="shared" si="21"/>
        <v>-1.4894754127218186</v>
      </c>
      <c r="S249" s="3">
        <f t="shared" si="22"/>
        <v>-0.17737811279063598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</row>
    <row r="250" spans="1:100" x14ac:dyDescent="0.2">
      <c r="A250" s="32"/>
      <c r="F250" s="3"/>
      <c r="G250" s="3"/>
      <c r="H250" s="3"/>
      <c r="M250" s="1">
        <f t="shared" si="23"/>
        <v>7.4400000000000173</v>
      </c>
      <c r="N250" s="1">
        <f t="shared" si="24"/>
        <v>15.203388907846712</v>
      </c>
      <c r="O250" s="1">
        <f t="shared" si="25"/>
        <v>-2.9731736730815479</v>
      </c>
      <c r="P250" s="1">
        <f t="shared" si="26"/>
        <v>3.1709268647543021</v>
      </c>
      <c r="R250" s="3">
        <f t="shared" si="21"/>
        <v>-1.4993546743185191</v>
      </c>
      <c r="S250" s="3">
        <f t="shared" si="22"/>
        <v>-4.3995006525828759E-2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</row>
    <row r="251" spans="1:100" x14ac:dyDescent="0.2">
      <c r="A251" s="32"/>
      <c r="F251" s="3"/>
      <c r="G251" s="3"/>
      <c r="H251" s="3"/>
      <c r="M251" s="1">
        <f t="shared" si="23"/>
        <v>7.4700000000000175</v>
      </c>
      <c r="N251" s="1">
        <f t="shared" si="24"/>
        <v>15.26113237376253</v>
      </c>
      <c r="O251" s="1">
        <f t="shared" si="25"/>
        <v>-2.5153397018686721</v>
      </c>
      <c r="P251" s="1">
        <f t="shared" si="26"/>
        <v>3.0954666736982421</v>
      </c>
      <c r="R251" s="3">
        <f t="shared" si="21"/>
        <v>-1.4984045783834306</v>
      </c>
      <c r="S251" s="3">
        <f t="shared" si="22"/>
        <v>6.9164437969044673E-2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</row>
    <row r="252" spans="1:100" x14ac:dyDescent="0.2">
      <c r="A252" s="32"/>
      <c r="F252" s="3"/>
      <c r="G252" s="3"/>
      <c r="H252" s="3"/>
      <c r="M252" s="1">
        <f t="shared" si="23"/>
        <v>7.5000000000000178</v>
      </c>
      <c r="N252" s="1">
        <f t="shared" si="24"/>
        <v>15.210426357002486</v>
      </c>
      <c r="O252" s="1">
        <f t="shared" si="25"/>
        <v>-2.0590269111585977</v>
      </c>
      <c r="P252" s="1">
        <f t="shared" si="26"/>
        <v>3.0336958663634843</v>
      </c>
      <c r="R252" s="3">
        <f t="shared" si="21"/>
        <v>-1.4912771797912607</v>
      </c>
      <c r="S252" s="3">
        <f t="shared" si="22"/>
        <v>0.16153133762160271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</row>
    <row r="253" spans="1:100" x14ac:dyDescent="0.2">
      <c r="A253" s="32"/>
      <c r="F253" s="3"/>
      <c r="G253" s="3"/>
      <c r="H253" s="3"/>
      <c r="M253" s="1">
        <f t="shared" si="23"/>
        <v>7.530000000000018</v>
      </c>
      <c r="N253" s="1">
        <f t="shared" si="24"/>
        <v>15.098084219916879</v>
      </c>
      <c r="O253" s="1">
        <f t="shared" si="25"/>
        <v>-1.6060843845610913</v>
      </c>
      <c r="P253" s="1">
        <f t="shared" si="26"/>
        <v>2.9855133348266514</v>
      </c>
      <c r="R253" s="3">
        <f t="shared" si="21"/>
        <v>-1.4817664949807814</v>
      </c>
      <c r="S253" s="3">
        <f t="shared" si="22"/>
        <v>0.23316958281982175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</row>
    <row r="254" spans="1:100" x14ac:dyDescent="0.2">
      <c r="A254" s="32"/>
      <c r="F254" s="3"/>
      <c r="G254" s="3"/>
      <c r="H254" s="3"/>
      <c r="M254" s="1">
        <f t="shared" si="23"/>
        <v>7.5600000000000183</v>
      </c>
      <c r="N254" s="1">
        <f t="shared" si="24"/>
        <v>14.962212544418314</v>
      </c>
      <c r="O254" s="1">
        <f t="shared" si="25"/>
        <v>-1.1572180082285419</v>
      </c>
      <c r="P254" s="1">
        <f t="shared" si="26"/>
        <v>2.9507967945797953</v>
      </c>
      <c r="R254" s="3">
        <f t="shared" si="21"/>
        <v>-1.4727804286250539</v>
      </c>
      <c r="S254" s="3">
        <f t="shared" si="22"/>
        <v>0.28446055800233916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</row>
    <row r="255" spans="1:100" x14ac:dyDescent="0.2">
      <c r="A255" s="32"/>
      <c r="F255" s="3"/>
      <c r="G255" s="3"/>
      <c r="H255" s="3"/>
      <c r="M255" s="1">
        <f t="shared" si="23"/>
        <v>7.5900000000000185</v>
      </c>
      <c r="N255" s="1">
        <f t="shared" si="24"/>
        <v>14.83195390699111</v>
      </c>
      <c r="O255" s="1">
        <f t="shared" si="25"/>
        <v>-0.71225939101880864</v>
      </c>
      <c r="P255" s="1">
        <f t="shared" si="26"/>
        <v>2.9294290128492309</v>
      </c>
      <c r="R255" s="3">
        <f t="shared" si="21"/>
        <v>-1.4663663902449482</v>
      </c>
      <c r="S255" s="3">
        <f t="shared" si="22"/>
        <v>0.31586327668787334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</row>
    <row r="256" spans="1:100" x14ac:dyDescent="0.2">
      <c r="A256" s="32"/>
      <c r="F256" s="3"/>
      <c r="G256" s="3"/>
      <c r="H256" s="3"/>
      <c r="M256" s="1">
        <f t="shared" si="23"/>
        <v>7.6200000000000188</v>
      </c>
      <c r="N256" s="1">
        <f t="shared" si="24"/>
        <v>14.727767247641177</v>
      </c>
      <c r="O256" s="1">
        <f t="shared" si="25"/>
        <v>-0.27042637358957333</v>
      </c>
      <c r="P256" s="1">
        <f t="shared" si="26"/>
        <v>2.9213162216415438</v>
      </c>
      <c r="R256" s="3">
        <f t="shared" si="21"/>
        <v>-1.4637556296076242</v>
      </c>
      <c r="S256" s="3">
        <f t="shared" si="22"/>
        <v>0.32774907595901503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</row>
    <row r="257" spans="1:100" x14ac:dyDescent="0.2">
      <c r="A257" s="32"/>
      <c r="F257" s="3"/>
      <c r="G257" s="3"/>
      <c r="H257" s="3"/>
      <c r="M257" s="1">
        <f t="shared" si="23"/>
        <v>7.650000000000019</v>
      </c>
      <c r="N257" s="1">
        <f t="shared" si="24"/>
        <v>14.661894669699302</v>
      </c>
      <c r="O257" s="1">
        <f t="shared" si="25"/>
        <v>0.16943046650140575</v>
      </c>
      <c r="P257" s="1">
        <f t="shared" si="26"/>
        <v>2.9263991356365859</v>
      </c>
      <c r="R257" s="3">
        <f t="shared" si="21"/>
        <v>-1.465402634033973</v>
      </c>
      <c r="S257" s="3">
        <f t="shared" si="22"/>
        <v>0.32030473016534394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</row>
    <row r="258" spans="1:100" x14ac:dyDescent="0.2">
      <c r="A258" s="32"/>
      <c r="F258" s="3"/>
      <c r="G258" s="3"/>
      <c r="H258" s="3"/>
      <c r="M258" s="1">
        <f t="shared" si="23"/>
        <v>7.6800000000000193</v>
      </c>
      <c r="N258" s="1">
        <f t="shared" si="24"/>
        <v>14.638777598354604</v>
      </c>
      <c r="O258" s="1">
        <f t="shared" si="25"/>
        <v>0.60859379445204387</v>
      </c>
      <c r="P258" s="1">
        <f t="shared" si="26"/>
        <v>2.9446569494701471</v>
      </c>
      <c r="R258" s="3">
        <f t="shared" ref="R258:R321" si="27">$B$3*COS(P258)</f>
        <v>-1.471006135703862</v>
      </c>
      <c r="S258" s="3">
        <f t="shared" ref="S258:S321" si="28">$B$3*SIN(P258)</f>
        <v>0.2934977831629938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</row>
    <row r="259" spans="1:100" x14ac:dyDescent="0.2">
      <c r="A259" s="32"/>
      <c r="F259" s="3"/>
      <c r="G259" s="3"/>
      <c r="H259" s="3"/>
      <c r="M259" s="1">
        <f t="shared" ref="M259:M322" si="29">M258+B$13</f>
        <v>7.7100000000000195</v>
      </c>
      <c r="N259" s="1">
        <f t="shared" ref="N259:N322" si="30">-$B$12*$B$3*COS(P258)-B$10*O258</f>
        <v>14.655287915537935</v>
      </c>
      <c r="O259" s="1">
        <f t="shared" ref="O259:O322" si="31">N259*$B$13+O258</f>
        <v>1.0482524319181818</v>
      </c>
      <c r="P259" s="1">
        <f t="shared" ref="P259:P322" si="32">O259*$B$13+P258</f>
        <v>2.9761045224276925</v>
      </c>
      <c r="R259" s="3">
        <f t="shared" si="27"/>
        <v>-1.4795070917255659</v>
      </c>
      <c r="S259" s="3">
        <f t="shared" si="28"/>
        <v>0.24710071941165657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</row>
    <row r="260" spans="1:100" x14ac:dyDescent="0.2">
      <c r="A260" s="32"/>
      <c r="F260" s="3"/>
      <c r="G260" s="3"/>
      <c r="H260" s="3"/>
      <c r="M260" s="1">
        <f t="shared" si="29"/>
        <v>7.7400000000000198</v>
      </c>
      <c r="N260" s="1">
        <f t="shared" si="30"/>
        <v>14.700728198383022</v>
      </c>
      <c r="O260" s="1">
        <f t="shared" si="31"/>
        <v>1.4892742778696726</v>
      </c>
      <c r="P260" s="1">
        <f t="shared" si="32"/>
        <v>3.0207827507637828</v>
      </c>
      <c r="R260" s="3">
        <f t="shared" si="27"/>
        <v>-1.4890670324951394</v>
      </c>
      <c r="S260" s="3">
        <f t="shared" si="28"/>
        <v>0.18077436968807215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</row>
    <row r="261" spans="1:100" x14ac:dyDescent="0.2">
      <c r="A261" s="32"/>
      <c r="F261" s="3"/>
      <c r="G261" s="3"/>
      <c r="H261" s="3"/>
      <c r="M261" s="1">
        <f t="shared" si="29"/>
        <v>7.77000000000002</v>
      </c>
      <c r="N261" s="1">
        <f t="shared" si="30"/>
        <v>14.756635639943124</v>
      </c>
      <c r="O261" s="1">
        <f t="shared" si="31"/>
        <v>1.9319733470679663</v>
      </c>
      <c r="P261" s="1">
        <f t="shared" si="32"/>
        <v>3.0787419511758216</v>
      </c>
      <c r="R261" s="3">
        <f t="shared" si="27"/>
        <v>-1.4970383170364781</v>
      </c>
      <c r="S261" s="3">
        <f t="shared" si="28"/>
        <v>9.4213997498193439E-2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</row>
    <row r="262" spans="1:100" x14ac:dyDescent="0.2">
      <c r="A262" s="32"/>
      <c r="F262" s="3"/>
      <c r="G262" s="3"/>
      <c r="H262" s="3"/>
      <c r="M262" s="1">
        <f t="shared" si="29"/>
        <v>7.8000000000000203</v>
      </c>
      <c r="N262" s="1">
        <f t="shared" si="30"/>
        <v>14.796505569128662</v>
      </c>
      <c r="O262" s="1">
        <f t="shared" si="31"/>
        <v>2.3758685141418261</v>
      </c>
      <c r="P262" s="1">
        <f t="shared" si="32"/>
        <v>3.1500180066000762</v>
      </c>
      <c r="R262" s="3">
        <f t="shared" si="27"/>
        <v>-1.4999467603849317</v>
      </c>
      <c r="S262" s="3">
        <f t="shared" si="28"/>
        <v>-1.2637879994220353E-2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</row>
    <row r="263" spans="1:100" x14ac:dyDescent="0.2">
      <c r="A263" s="32"/>
      <c r="F263" s="3"/>
      <c r="G263" s="3"/>
      <c r="H263" s="3"/>
      <c r="M263" s="1">
        <f t="shared" si="29"/>
        <v>7.8300000000000205</v>
      </c>
      <c r="N263" s="1">
        <f t="shared" si="30"/>
        <v>14.785639437576553</v>
      </c>
      <c r="O263" s="1">
        <f t="shared" si="31"/>
        <v>2.8194376972691226</v>
      </c>
      <c r="P263" s="1">
        <f t="shared" si="32"/>
        <v>3.2346011375181498</v>
      </c>
      <c r="R263" s="3">
        <f t="shared" si="27"/>
        <v>-1.4935167421209083</v>
      </c>
      <c r="S263" s="3">
        <f t="shared" si="28"/>
        <v>-0.13931166858719352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</row>
    <row r="264" spans="1:100" x14ac:dyDescent="0.2">
      <c r="A264" s="32"/>
      <c r="F264" s="3"/>
      <c r="G264" s="3"/>
      <c r="H264" s="3"/>
      <c r="M264" s="1">
        <f t="shared" si="29"/>
        <v>7.8600000000000207</v>
      </c>
      <c r="N264" s="1">
        <f t="shared" si="30"/>
        <v>14.681418028454862</v>
      </c>
      <c r="O264" s="1">
        <f t="shared" si="31"/>
        <v>3.2598802381227685</v>
      </c>
      <c r="P264" s="1">
        <f t="shared" si="32"/>
        <v>3.3323975446618328</v>
      </c>
      <c r="R264" s="3">
        <f t="shared" si="27"/>
        <v>-1.4727778592995724</v>
      </c>
      <c r="S264" s="3">
        <f t="shared" si="28"/>
        <v>-0.28447386023494103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</row>
    <row r="265" spans="1:100" x14ac:dyDescent="0.2">
      <c r="A265" s="32"/>
      <c r="F265" s="3"/>
      <c r="G265" s="3"/>
      <c r="H265" s="3"/>
      <c r="M265" s="1">
        <f t="shared" si="29"/>
        <v>7.890000000000021</v>
      </c>
      <c r="N265" s="1">
        <f t="shared" si="30"/>
        <v>14.434389371564675</v>
      </c>
      <c r="O265" s="1">
        <f t="shared" si="31"/>
        <v>3.6929119192697089</v>
      </c>
      <c r="P265" s="1">
        <f t="shared" si="32"/>
        <v>3.4431849022399241</v>
      </c>
      <c r="R265" s="3">
        <f t="shared" si="27"/>
        <v>-1.4322971049950588</v>
      </c>
      <c r="S265" s="3">
        <f t="shared" si="28"/>
        <v>-0.44556144696637884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</row>
    <row r="266" spans="1:100" x14ac:dyDescent="0.2">
      <c r="A266" s="32"/>
      <c r="F266" s="3"/>
      <c r="G266" s="3"/>
      <c r="H266" s="3"/>
      <c r="M266" s="1">
        <f t="shared" si="29"/>
        <v>7.9200000000000212</v>
      </c>
      <c r="N266" s="1">
        <f t="shared" si="30"/>
        <v>13.990608977216315</v>
      </c>
      <c r="O266" s="1">
        <f t="shared" si="31"/>
        <v>4.1126301885861984</v>
      </c>
      <c r="P266" s="1">
        <f t="shared" si="32"/>
        <v>3.5665638078975102</v>
      </c>
      <c r="R266" s="3">
        <f t="shared" si="27"/>
        <v>-1.3665759393800974</v>
      </c>
      <c r="S266" s="3">
        <f t="shared" si="28"/>
        <v>-0.61844175304340843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</row>
    <row r="267" spans="1:100" x14ac:dyDescent="0.2">
      <c r="A267" s="32"/>
      <c r="F267" s="3"/>
      <c r="G267" s="3"/>
      <c r="H267" s="3"/>
      <c r="M267" s="1">
        <f t="shared" si="29"/>
        <v>7.9500000000000215</v>
      </c>
      <c r="N267" s="1">
        <f t="shared" si="30"/>
        <v>13.295622676828216</v>
      </c>
      <c r="O267" s="1">
        <f t="shared" si="31"/>
        <v>4.5114988688910449</v>
      </c>
      <c r="P267" s="1">
        <f t="shared" si="32"/>
        <v>3.7019087739642416</v>
      </c>
      <c r="R267" s="3">
        <f t="shared" si="27"/>
        <v>-1.2706307248536557</v>
      </c>
      <c r="S267" s="3">
        <f t="shared" si="28"/>
        <v>-0.79718100896714361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</row>
    <row r="268" spans="1:100" x14ac:dyDescent="0.2">
      <c r="A268" s="32"/>
      <c r="F268" s="3"/>
      <c r="G268" s="3"/>
      <c r="H268" s="3"/>
      <c r="M268" s="1">
        <f t="shared" si="29"/>
        <v>7.9800000000000217</v>
      </c>
      <c r="N268" s="1">
        <f t="shared" si="30"/>
        <v>12.300272350336364</v>
      </c>
      <c r="O268" s="1">
        <f t="shared" si="31"/>
        <v>4.8805070394011354</v>
      </c>
      <c r="P268" s="1">
        <f t="shared" si="32"/>
        <v>3.8483239851462754</v>
      </c>
      <c r="R268" s="3">
        <f t="shared" si="27"/>
        <v>-1.140732674153091</v>
      </c>
      <c r="S268" s="3">
        <f t="shared" si="28"/>
        <v>-0.97402718962025792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</row>
    <row r="269" spans="1:100" x14ac:dyDescent="0.2">
      <c r="A269" s="32"/>
      <c r="F269" s="3"/>
      <c r="G269" s="3"/>
      <c r="H269" s="3"/>
      <c r="M269" s="1">
        <f t="shared" si="29"/>
        <v>8.0100000000000211</v>
      </c>
      <c r="N269" s="1">
        <f t="shared" si="30"/>
        <v>10.968081107984808</v>
      </c>
      <c r="O269" s="1">
        <f t="shared" si="31"/>
        <v>5.2095494726406795</v>
      </c>
      <c r="P269" s="1">
        <f t="shared" si="32"/>
        <v>4.0046104693254954</v>
      </c>
      <c r="R269" s="3">
        <f t="shared" si="27"/>
        <v>-0.97522120722467331</v>
      </c>
      <c r="S269" s="3">
        <f t="shared" si="28"/>
        <v>-1.1397120675763903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</row>
    <row r="270" spans="1:100" x14ac:dyDescent="0.2">
      <c r="A270" s="32"/>
      <c r="F270" s="3"/>
      <c r="G270" s="3"/>
      <c r="H270" s="3"/>
      <c r="M270" s="1">
        <f t="shared" si="29"/>
        <v>8.0400000000000205</v>
      </c>
      <c r="N270" s="1">
        <f t="shared" si="30"/>
        <v>9.2833526197090723</v>
      </c>
      <c r="O270" s="1">
        <f t="shared" si="31"/>
        <v>5.4880500512319514</v>
      </c>
      <c r="P270" s="1">
        <f t="shared" si="32"/>
        <v>4.1692519708624536</v>
      </c>
      <c r="R270" s="3">
        <f t="shared" si="27"/>
        <v>-0.77523614667118346</v>
      </c>
      <c r="S270" s="3">
        <f t="shared" si="28"/>
        <v>-1.2841374213433761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</row>
    <row r="271" spans="1:100" x14ac:dyDescent="0.2">
      <c r="A271" s="32"/>
      <c r="F271" s="3"/>
      <c r="G271" s="3"/>
      <c r="H271" s="3"/>
      <c r="M271" s="1">
        <f t="shared" si="29"/>
        <v>8.0700000000000198</v>
      </c>
      <c r="N271" s="1">
        <f t="shared" si="30"/>
        <v>7.2584369621009586</v>
      </c>
      <c r="O271" s="1">
        <f t="shared" si="31"/>
        <v>5.7058031600949803</v>
      </c>
      <c r="P271" s="1">
        <f t="shared" si="32"/>
        <v>4.3404260656653033</v>
      </c>
      <c r="R271" s="3">
        <f t="shared" si="27"/>
        <v>-0.54516721980243577</v>
      </c>
      <c r="S271" s="3">
        <f t="shared" si="28"/>
        <v>-1.3974235944955571</v>
      </c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</row>
    <row r="272" spans="1:100" x14ac:dyDescent="0.2">
      <c r="A272" s="32"/>
      <c r="F272" s="3"/>
      <c r="G272" s="3"/>
      <c r="H272" s="3"/>
      <c r="M272" s="1">
        <f t="shared" si="29"/>
        <v>8.1000000000000192</v>
      </c>
      <c r="N272" s="1">
        <f t="shared" si="30"/>
        <v>4.9381499136158098</v>
      </c>
      <c r="O272" s="1">
        <f t="shared" si="31"/>
        <v>5.853947657503455</v>
      </c>
      <c r="P272" s="1">
        <f t="shared" si="32"/>
        <v>4.5160444953904069</v>
      </c>
      <c r="R272" s="3">
        <f t="shared" si="27"/>
        <v>-0.29262804495809014</v>
      </c>
      <c r="S272" s="3">
        <f t="shared" si="28"/>
        <v>-1.471179400108636</v>
      </c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</row>
    <row r="273" spans="1:100" x14ac:dyDescent="0.2">
      <c r="A273" s="32"/>
      <c r="F273" s="3"/>
      <c r="G273" s="3"/>
      <c r="H273" s="3"/>
      <c r="M273" s="1">
        <f t="shared" si="29"/>
        <v>8.1300000000000185</v>
      </c>
      <c r="N273" s="1">
        <f t="shared" si="30"/>
        <v>2.399425160405591</v>
      </c>
      <c r="O273" s="1">
        <f t="shared" si="31"/>
        <v>5.9259304123156227</v>
      </c>
      <c r="P273" s="1">
        <f t="shared" si="32"/>
        <v>4.6938224077598756</v>
      </c>
      <c r="R273" s="3">
        <f t="shared" si="27"/>
        <v>-2.7848258908622359E-2</v>
      </c>
      <c r="S273" s="3">
        <f t="shared" si="28"/>
        <v>-1.4997414692125302</v>
      </c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</row>
    <row r="274" spans="1:100" x14ac:dyDescent="0.2">
      <c r="A274" s="32"/>
      <c r="F274" s="3"/>
      <c r="G274" s="3"/>
      <c r="H274" s="3"/>
      <c r="M274" s="1">
        <f t="shared" si="29"/>
        <v>8.1600000000000179</v>
      </c>
      <c r="N274" s="1">
        <f t="shared" si="30"/>
        <v>-0.25485114802218245</v>
      </c>
      <c r="O274" s="1">
        <f t="shared" si="31"/>
        <v>5.9182848778749575</v>
      </c>
      <c r="P274" s="1">
        <f t="shared" si="32"/>
        <v>4.8713709540961245</v>
      </c>
      <c r="R274" s="3">
        <f t="shared" si="27"/>
        <v>0.23746965135552112</v>
      </c>
      <c r="S274" s="3">
        <f t="shared" si="28"/>
        <v>-1.4810834428502289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</row>
    <row r="275" spans="1:100" x14ac:dyDescent="0.2">
      <c r="A275" s="32"/>
      <c r="F275" s="3"/>
      <c r="G275" s="3"/>
      <c r="H275" s="3"/>
      <c r="M275" s="1">
        <f t="shared" si="29"/>
        <v>8.1900000000000173</v>
      </c>
      <c r="N275" s="1">
        <f t="shared" si="30"/>
        <v>-2.9073421525639578</v>
      </c>
      <c r="O275" s="1">
        <f t="shared" si="31"/>
        <v>5.8310646132980386</v>
      </c>
      <c r="P275" s="1">
        <f t="shared" si="32"/>
        <v>5.0463028924950653</v>
      </c>
      <c r="R275" s="3">
        <f t="shared" si="27"/>
        <v>0.49161489535431413</v>
      </c>
      <c r="S275" s="3">
        <f t="shared" si="28"/>
        <v>-1.4171502371540452</v>
      </c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</row>
    <row r="276" spans="1:100" x14ac:dyDescent="0.2">
      <c r="A276" s="32"/>
      <c r="F276" s="3"/>
      <c r="G276" s="3"/>
      <c r="H276" s="3"/>
      <c r="M276" s="1">
        <f t="shared" si="29"/>
        <v>8.2200000000000166</v>
      </c>
      <c r="N276" s="1">
        <f t="shared" si="30"/>
        <v>-5.4409447687399641</v>
      </c>
      <c r="O276" s="1">
        <f t="shared" si="31"/>
        <v>5.6678362702358394</v>
      </c>
      <c r="P276" s="1">
        <f t="shared" si="32"/>
        <v>5.2163379806021402</v>
      </c>
      <c r="R276" s="3">
        <f t="shared" si="27"/>
        <v>0.72433104765603884</v>
      </c>
      <c r="S276" s="3">
        <f t="shared" si="28"/>
        <v>-1.3135237087321663</v>
      </c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</row>
    <row r="277" spans="1:100" x14ac:dyDescent="0.2">
      <c r="A277" s="32"/>
      <c r="F277" s="3"/>
      <c r="G277" s="3"/>
      <c r="H277" s="3"/>
      <c r="M277" s="1">
        <f t="shared" si="29"/>
        <v>8.250000000000016</v>
      </c>
      <c r="N277" s="1">
        <f t="shared" si="30"/>
        <v>-7.7534157408816142</v>
      </c>
      <c r="O277" s="1">
        <f t="shared" si="31"/>
        <v>5.4352337980093912</v>
      </c>
      <c r="P277" s="1">
        <f t="shared" si="32"/>
        <v>5.3793949945424222</v>
      </c>
      <c r="R277" s="3">
        <f t="shared" si="27"/>
        <v>0.92795468449515739</v>
      </c>
      <c r="S277" s="3">
        <f t="shared" si="28"/>
        <v>-1.1785160599344808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</row>
    <row r="278" spans="1:100" x14ac:dyDescent="0.2">
      <c r="A278" s="32"/>
      <c r="F278" s="3"/>
      <c r="G278" s="3"/>
      <c r="H278" s="3"/>
      <c r="M278" s="1">
        <f t="shared" si="29"/>
        <v>8.2800000000000153</v>
      </c>
      <c r="N278" s="1">
        <f t="shared" si="30"/>
        <v>-9.7687178867724178</v>
      </c>
      <c r="O278" s="1">
        <f t="shared" si="31"/>
        <v>5.1421722614062189</v>
      </c>
      <c r="P278" s="1">
        <f t="shared" si="32"/>
        <v>5.5336601623846091</v>
      </c>
      <c r="R278" s="3">
        <f t="shared" si="27"/>
        <v>1.0980186991221992</v>
      </c>
      <c r="S278" s="3">
        <f t="shared" si="28"/>
        <v>-1.0219368553770793</v>
      </c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</row>
    <row r="279" spans="1:100" x14ac:dyDescent="0.2">
      <c r="A279" s="32"/>
      <c r="F279" s="3"/>
      <c r="G279" s="3"/>
      <c r="H279" s="3"/>
      <c r="M279" s="1">
        <f t="shared" si="29"/>
        <v>8.3100000000000147</v>
      </c>
      <c r="N279" s="1">
        <f t="shared" si="30"/>
        <v>-11.44298249474855</v>
      </c>
      <c r="O279" s="1">
        <f t="shared" si="31"/>
        <v>4.7988827865637624</v>
      </c>
      <c r="P279" s="1">
        <f t="shared" si="32"/>
        <v>5.6776266459815217</v>
      </c>
      <c r="R279" s="3">
        <f t="shared" si="27"/>
        <v>1.233276335990344</v>
      </c>
      <c r="S279" s="3">
        <f t="shared" si="28"/>
        <v>-0.8538322312294333</v>
      </c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</row>
    <row r="280" spans="1:100" x14ac:dyDescent="0.2">
      <c r="A280" s="32"/>
      <c r="F280" s="3"/>
      <c r="G280" s="3"/>
      <c r="H280" s="3"/>
      <c r="M280" s="1">
        <f t="shared" si="29"/>
        <v>8.3400000000000141</v>
      </c>
      <c r="N280" s="1">
        <f t="shared" si="30"/>
        <v>-12.764662810694178</v>
      </c>
      <c r="O280" s="1">
        <f t="shared" si="31"/>
        <v>4.4159429022429375</v>
      </c>
      <c r="P280" s="1">
        <f t="shared" si="32"/>
        <v>5.8101049330488097</v>
      </c>
      <c r="R280" s="3">
        <f t="shared" si="27"/>
        <v>1.3352535019396252</v>
      </c>
      <c r="S280" s="3">
        <f t="shared" si="28"/>
        <v>-0.68344574441426409</v>
      </c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</row>
    <row r="281" spans="1:100" x14ac:dyDescent="0.2">
      <c r="A281" s="32"/>
      <c r="F281" s="3"/>
      <c r="G281" s="3"/>
      <c r="H281" s="3"/>
      <c r="M281" s="1">
        <f t="shared" si="29"/>
        <v>8.3700000000000134</v>
      </c>
      <c r="N281" s="1">
        <f t="shared" si="30"/>
        <v>-13.749969880598115</v>
      </c>
      <c r="O281" s="1">
        <f t="shared" si="31"/>
        <v>4.0034438058249942</v>
      </c>
      <c r="P281" s="1">
        <f t="shared" si="32"/>
        <v>5.9302082472235593</v>
      </c>
      <c r="R281" s="3">
        <f t="shared" si="27"/>
        <v>1.4075215863752342</v>
      </c>
      <c r="S281" s="3">
        <f t="shared" si="28"/>
        <v>-0.51853927902112096</v>
      </c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</row>
    <row r="282" spans="1:100" x14ac:dyDescent="0.2">
      <c r="A282" s="32"/>
      <c r="F282" s="3"/>
      <c r="G282" s="3"/>
      <c r="H282" s="3"/>
      <c r="M282" s="1">
        <f t="shared" si="29"/>
        <v>8.4000000000000128</v>
      </c>
      <c r="N282" s="1">
        <f t="shared" si="30"/>
        <v>-14.435525806276591</v>
      </c>
      <c r="O282" s="1">
        <f t="shared" si="31"/>
        <v>3.5703780316366966</v>
      </c>
      <c r="P282" s="1">
        <f t="shared" si="32"/>
        <v>6.03731958817266</v>
      </c>
      <c r="R282" s="3">
        <f t="shared" si="27"/>
        <v>1.4548904637512237</v>
      </c>
      <c r="S282" s="3">
        <f t="shared" si="28"/>
        <v>-0.36509415016643226</v>
      </c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</row>
    <row r="283" spans="1:100" x14ac:dyDescent="0.2">
      <c r="A283" s="32"/>
      <c r="F283" s="3"/>
      <c r="G283" s="3"/>
      <c r="H283" s="3"/>
      <c r="M283" s="1">
        <f t="shared" si="29"/>
        <v>8.4300000000000122</v>
      </c>
      <c r="N283" s="1">
        <f t="shared" si="30"/>
        <v>-14.87023866035954</v>
      </c>
      <c r="O283" s="1">
        <f t="shared" si="31"/>
        <v>3.1242708718259102</v>
      </c>
      <c r="P283" s="1">
        <f t="shared" si="32"/>
        <v>6.1310477143274369</v>
      </c>
      <c r="R283" s="3">
        <f t="shared" si="27"/>
        <v>1.4826740719483955</v>
      </c>
      <c r="S283" s="3">
        <f t="shared" si="28"/>
        <v>-0.22732706915799564</v>
      </c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</row>
    <row r="284" spans="1:100" x14ac:dyDescent="0.2">
      <c r="A284" s="32"/>
      <c r="F284" s="3"/>
      <c r="G284" s="3"/>
      <c r="H284" s="3"/>
      <c r="M284" s="1">
        <f t="shared" si="29"/>
        <v>8.4600000000000115</v>
      </c>
      <c r="N284" s="1">
        <f t="shared" si="30"/>
        <v>-15.107925097948286</v>
      </c>
      <c r="O284" s="1">
        <f t="shared" si="31"/>
        <v>2.6710331188874616</v>
      </c>
      <c r="P284" s="1">
        <f t="shared" si="32"/>
        <v>6.211178707894061</v>
      </c>
      <c r="R284" s="3">
        <f t="shared" si="27"/>
        <v>1.4961129671860069</v>
      </c>
      <c r="S284" s="3">
        <f t="shared" si="28"/>
        <v>-0.10791658546248396</v>
      </c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</row>
    <row r="285" spans="1:100" x14ac:dyDescent="0.2">
      <c r="A285" s="32"/>
      <c r="F285" s="3"/>
      <c r="G285" s="3"/>
      <c r="H285" s="3"/>
      <c r="M285" s="1">
        <f t="shared" si="29"/>
        <v>8.4900000000000109</v>
      </c>
      <c r="N285" s="1">
        <f t="shared" si="30"/>
        <v>-15.201522652559943</v>
      </c>
      <c r="O285" s="1">
        <f t="shared" si="31"/>
        <v>2.2149874393106632</v>
      </c>
      <c r="P285" s="1">
        <f t="shared" si="32"/>
        <v>6.2776283310733811</v>
      </c>
      <c r="R285" s="3">
        <f t="shared" si="27"/>
        <v>1.4999768400720146</v>
      </c>
      <c r="S285" s="3">
        <f t="shared" si="28"/>
        <v>-8.3354212595417015E-3</v>
      </c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</row>
    <row r="286" spans="1:100" x14ac:dyDescent="0.2">
      <c r="A286" s="32"/>
      <c r="F286" s="3"/>
      <c r="G286" s="3"/>
      <c r="H286" s="3"/>
      <c r="M286" s="1">
        <f t="shared" si="29"/>
        <v>8.5200000000000102</v>
      </c>
      <c r="N286" s="1">
        <f t="shared" si="30"/>
        <v>-15.199117270258107</v>
      </c>
      <c r="O286" s="1">
        <f t="shared" si="31"/>
        <v>1.7590139212029201</v>
      </c>
      <c r="P286" s="1">
        <f t="shared" si="32"/>
        <v>6.3303987487094684</v>
      </c>
      <c r="R286" s="3">
        <f t="shared" si="27"/>
        <v>1.4983284787390541</v>
      </c>
      <c r="S286" s="3">
        <f t="shared" si="28"/>
        <v>7.0793854249589228E-2</v>
      </c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</row>
    <row r="287" spans="1:100" x14ac:dyDescent="0.2">
      <c r="A287" s="32"/>
      <c r="F287" s="3"/>
      <c r="G287" s="3"/>
      <c r="H287" s="3"/>
      <c r="M287" s="1">
        <f t="shared" si="29"/>
        <v>8.5500000000000096</v>
      </c>
      <c r="N287" s="1">
        <f t="shared" si="30"/>
        <v>-15.141596040298802</v>
      </c>
      <c r="O287" s="1">
        <f t="shared" si="31"/>
        <v>1.304766039993956</v>
      </c>
      <c r="P287" s="1">
        <f t="shared" si="32"/>
        <v>6.3695417299092867</v>
      </c>
      <c r="R287" s="3">
        <f t="shared" si="27"/>
        <v>1.4944104011566024</v>
      </c>
      <c r="S287" s="3">
        <f t="shared" si="28"/>
        <v>0.1293736948338518</v>
      </c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</row>
    <row r="288" spans="1:100" x14ac:dyDescent="0.2">
      <c r="A288" s="32"/>
      <c r="F288" s="3"/>
      <c r="G288" s="3"/>
      <c r="H288" s="3"/>
      <c r="M288" s="1">
        <f t="shared" si="29"/>
        <v>8.580000000000009</v>
      </c>
      <c r="N288" s="1">
        <f t="shared" si="30"/>
        <v>-15.061532955165481</v>
      </c>
      <c r="O288" s="1">
        <f t="shared" si="31"/>
        <v>0.85292005133899162</v>
      </c>
      <c r="P288" s="1">
        <f t="shared" si="32"/>
        <v>6.3951293314494562</v>
      </c>
      <c r="R288" s="3">
        <f t="shared" si="27"/>
        <v>1.4906112123240689</v>
      </c>
      <c r="S288" s="3">
        <f t="shared" si="28"/>
        <v>0.16756555043853616</v>
      </c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</row>
    <row r="289" spans="1:100" x14ac:dyDescent="0.2">
      <c r="A289" s="32"/>
      <c r="F289" s="3"/>
      <c r="G289" s="3"/>
      <c r="H289" s="3"/>
      <c r="M289" s="1">
        <f t="shared" si="29"/>
        <v>8.6100000000000083</v>
      </c>
      <c r="N289" s="1">
        <f t="shared" si="30"/>
        <v>-14.982874927861198</v>
      </c>
      <c r="O289" s="1">
        <f t="shared" si="31"/>
        <v>0.40343380350315566</v>
      </c>
      <c r="P289" s="1">
        <f t="shared" si="32"/>
        <v>6.4072323455545508</v>
      </c>
      <c r="R289" s="3">
        <f t="shared" si="27"/>
        <v>1.4884740403841519</v>
      </c>
      <c r="S289" s="3">
        <f t="shared" si="28"/>
        <v>0.18559372592433826</v>
      </c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</row>
    <row r="290" spans="1:100" x14ac:dyDescent="0.2">
      <c r="A290" s="32"/>
      <c r="F290" s="3"/>
      <c r="G290" s="3"/>
      <c r="H290" s="3"/>
      <c r="M290" s="1">
        <f t="shared" si="29"/>
        <v>8.6400000000000077</v>
      </c>
      <c r="N290" s="1">
        <f t="shared" si="30"/>
        <v>-14.921049446156802</v>
      </c>
      <c r="O290" s="1">
        <f t="shared" si="31"/>
        <v>-4.419767988154838E-2</v>
      </c>
      <c r="P290" s="1">
        <f t="shared" si="32"/>
        <v>6.4059064151581042</v>
      </c>
      <c r="R290" s="3">
        <f t="shared" si="27"/>
        <v>1.4887188162381131</v>
      </c>
      <c r="S290" s="3">
        <f t="shared" si="28"/>
        <v>0.18361995038282558</v>
      </c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</row>
    <row r="291" spans="1:100" x14ac:dyDescent="0.2">
      <c r="A291" s="32"/>
      <c r="F291" s="3"/>
      <c r="G291" s="3"/>
      <c r="H291" s="3"/>
      <c r="M291" s="1">
        <f t="shared" si="29"/>
        <v>8.670000000000007</v>
      </c>
      <c r="N291" s="1">
        <f t="shared" si="30"/>
        <v>-14.883210371191792</v>
      </c>
      <c r="O291" s="1">
        <f t="shared" si="31"/>
        <v>-0.4906939910173021</v>
      </c>
      <c r="P291" s="1">
        <f t="shared" si="32"/>
        <v>6.3911855954275856</v>
      </c>
      <c r="R291" s="3">
        <f t="shared" si="27"/>
        <v>1.491260453145187</v>
      </c>
      <c r="S291" s="3">
        <f t="shared" si="28"/>
        <v>0.16168568546785966</v>
      </c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</row>
    <row r="292" spans="1:100" x14ac:dyDescent="0.2">
      <c r="A292" s="32"/>
      <c r="F292" s="3"/>
      <c r="G292" s="3"/>
      <c r="H292" s="3"/>
      <c r="M292" s="1">
        <f t="shared" si="29"/>
        <v>8.7000000000000064</v>
      </c>
      <c r="N292" s="1">
        <f t="shared" si="30"/>
        <v>-14.868442072260311</v>
      </c>
      <c r="O292" s="1">
        <f t="shared" si="31"/>
        <v>-0.93674725318511143</v>
      </c>
      <c r="P292" s="1">
        <f t="shared" si="32"/>
        <v>6.3630831778320323</v>
      </c>
      <c r="R292" s="3">
        <f t="shared" si="27"/>
        <v>1.4952147941094573</v>
      </c>
      <c r="S292" s="3">
        <f t="shared" si="28"/>
        <v>0.11971933626700917</v>
      </c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</row>
    <row r="293" spans="1:100" x14ac:dyDescent="0.2">
      <c r="A293" s="32"/>
      <c r="F293" s="3"/>
      <c r="G293" s="3"/>
      <c r="H293" s="3"/>
      <c r="M293" s="1">
        <f t="shared" si="29"/>
        <v>8.7300000000000058</v>
      </c>
      <c r="N293" s="1">
        <f t="shared" si="30"/>
        <v>-14.867840688307913</v>
      </c>
      <c r="O293" s="1">
        <f t="shared" si="31"/>
        <v>-1.3827824738343488</v>
      </c>
      <c r="P293" s="1">
        <f t="shared" si="32"/>
        <v>6.321599703617002</v>
      </c>
      <c r="R293" s="3">
        <f t="shared" si="27"/>
        <v>1.4988933867024243</v>
      </c>
      <c r="S293" s="3">
        <f t="shared" si="28"/>
        <v>5.7607423998443597E-2</v>
      </c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</row>
    <row r="294" spans="1:100" x14ac:dyDescent="0.2">
      <c r="A294" s="32"/>
      <c r="F294" s="3"/>
      <c r="G294" s="3"/>
      <c r="H294" s="3"/>
      <c r="M294" s="1">
        <f t="shared" si="29"/>
        <v>8.7600000000000051</v>
      </c>
      <c r="N294" s="1">
        <f t="shared" si="30"/>
        <v>-14.864483444379152</v>
      </c>
      <c r="O294" s="1">
        <f t="shared" si="31"/>
        <v>-1.8287169771657235</v>
      </c>
      <c r="P294" s="1">
        <f t="shared" si="32"/>
        <v>6.2667381943020306</v>
      </c>
      <c r="R294" s="3">
        <f t="shared" si="27"/>
        <v>1.4997971239318484</v>
      </c>
      <c r="S294" s="3">
        <f t="shared" si="28"/>
        <v>-2.4669557064440364E-2</v>
      </c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</row>
    <row r="295" spans="1:100" x14ac:dyDescent="0.2">
      <c r="A295" s="32"/>
      <c r="F295" s="3"/>
      <c r="G295" s="3"/>
      <c r="H295" s="3"/>
      <c r="M295" s="1">
        <f t="shared" si="29"/>
        <v>8.7900000000000045</v>
      </c>
      <c r="N295" s="1">
        <f t="shared" si="30"/>
        <v>-14.833386711373569</v>
      </c>
      <c r="O295" s="1">
        <f t="shared" si="31"/>
        <v>-2.2737185785069305</v>
      </c>
      <c r="P295" s="1">
        <f t="shared" si="32"/>
        <v>6.1985266369468226</v>
      </c>
      <c r="R295" s="3">
        <f t="shared" si="27"/>
        <v>1.4946278918480183</v>
      </c>
      <c r="S295" s="3">
        <f t="shared" si="28"/>
        <v>-0.12683637061170075</v>
      </c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</row>
    <row r="296" spans="1:100" x14ac:dyDescent="0.2">
      <c r="A296" s="32"/>
      <c r="F296" s="3"/>
      <c r="G296" s="3"/>
      <c r="H296" s="3"/>
      <c r="M296" s="1">
        <f t="shared" si="29"/>
        <v>8.8200000000000038</v>
      </c>
      <c r="N296" s="1">
        <f t="shared" si="30"/>
        <v>-14.741644246414561</v>
      </c>
      <c r="O296" s="1">
        <f t="shared" si="31"/>
        <v>-2.7159679058993671</v>
      </c>
      <c r="P296" s="1">
        <f t="shared" si="32"/>
        <v>6.1170475997698412</v>
      </c>
      <c r="R296" s="3">
        <f t="shared" si="27"/>
        <v>1.479346268840267</v>
      </c>
      <c r="S296" s="3">
        <f t="shared" si="28"/>
        <v>-0.24806171987709102</v>
      </c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</row>
    <row r="297" spans="1:100" x14ac:dyDescent="0.2">
      <c r="A297" s="32"/>
      <c r="F297" s="3"/>
      <c r="G297" s="3"/>
      <c r="H297" s="3"/>
      <c r="M297" s="1">
        <f t="shared" si="29"/>
        <v>8.8500000000000032</v>
      </c>
      <c r="N297" s="1">
        <f t="shared" si="30"/>
        <v>-14.549025576871729</v>
      </c>
      <c r="O297" s="1">
        <f t="shared" si="31"/>
        <v>-3.152438673205519</v>
      </c>
      <c r="P297" s="1">
        <f t="shared" si="32"/>
        <v>6.022474439573676</v>
      </c>
      <c r="R297" s="3">
        <f t="shared" si="27"/>
        <v>1.4493104756088169</v>
      </c>
      <c r="S297" s="3">
        <f t="shared" si="28"/>
        <v>-0.38665119331323017</v>
      </c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</row>
    <row r="298" spans="1:100" x14ac:dyDescent="0.2">
      <c r="A298" s="32"/>
      <c r="F298" s="3"/>
      <c r="G298" s="3"/>
      <c r="H298" s="3"/>
      <c r="M298" s="1">
        <f t="shared" si="29"/>
        <v>8.8800000000000026</v>
      </c>
      <c r="N298" s="1">
        <f t="shared" si="30"/>
        <v>-14.209385275499674</v>
      </c>
      <c r="O298" s="1">
        <f t="shared" si="31"/>
        <v>-3.5787202314705091</v>
      </c>
      <c r="P298" s="1">
        <f t="shared" si="32"/>
        <v>5.9151128326295606</v>
      </c>
      <c r="R298" s="3">
        <f t="shared" si="27"/>
        <v>1.3995339542399066</v>
      </c>
      <c r="S298" s="3">
        <f t="shared" si="28"/>
        <v>-0.53972651494030877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</row>
    <row r="299" spans="1:100" x14ac:dyDescent="0.2">
      <c r="A299" s="32"/>
      <c r="F299" s="3"/>
      <c r="G299" s="3"/>
      <c r="H299" s="3"/>
      <c r="M299" s="1">
        <f t="shared" si="29"/>
        <v>8.9100000000000019</v>
      </c>
      <c r="N299" s="1">
        <f t="shared" si="30"/>
        <v>-13.673254721566718</v>
      </c>
      <c r="O299" s="1">
        <f t="shared" si="31"/>
        <v>-3.9889178731175106</v>
      </c>
      <c r="P299" s="1">
        <f t="shared" si="32"/>
        <v>5.7954452964360357</v>
      </c>
      <c r="R299" s="3">
        <f t="shared" si="27"/>
        <v>1.3250913208147752</v>
      </c>
      <c r="S299" s="3">
        <f t="shared" si="28"/>
        <v>-0.70294593782264247</v>
      </c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</row>
    <row r="300" spans="1:100" x14ac:dyDescent="0.2">
      <c r="A300" s="32"/>
      <c r="F300" s="3"/>
      <c r="G300" s="3"/>
      <c r="H300" s="3"/>
      <c r="M300" s="1">
        <f t="shared" si="29"/>
        <v>8.9400000000000013</v>
      </c>
      <c r="N300" s="1">
        <f t="shared" si="30"/>
        <v>-12.891910599567176</v>
      </c>
      <c r="O300" s="1">
        <f t="shared" si="31"/>
        <v>-4.3756751911045262</v>
      </c>
      <c r="P300" s="1">
        <f t="shared" si="32"/>
        <v>5.6641750407028999</v>
      </c>
      <c r="R300" s="3">
        <f t="shared" si="27"/>
        <v>1.2216796918782467</v>
      </c>
      <c r="S300" s="3">
        <f t="shared" si="28"/>
        <v>-0.87034402994004167</v>
      </c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</row>
    <row r="301" spans="1:100" x14ac:dyDescent="0.2">
      <c r="A301" s="32"/>
      <c r="F301" s="3"/>
      <c r="G301" s="3"/>
      <c r="H301" s="3"/>
      <c r="M301" s="1">
        <f t="shared" si="29"/>
        <v>8.9700000000000006</v>
      </c>
      <c r="N301" s="1">
        <f t="shared" si="30"/>
        <v>-11.822986151583059</v>
      </c>
      <c r="O301" s="1">
        <f t="shared" si="31"/>
        <v>-4.730364775652018</v>
      </c>
      <c r="P301" s="1">
        <f t="shared" si="32"/>
        <v>5.5222640974333395</v>
      </c>
      <c r="R301" s="3">
        <f t="shared" si="27"/>
        <v>1.0863015931848097</v>
      </c>
      <c r="S301" s="3">
        <f t="shared" si="28"/>
        <v>-1.0343833180422741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</row>
    <row r="302" spans="1:100" x14ac:dyDescent="0.2">
      <c r="A302" s="32"/>
      <c r="F302" s="3"/>
      <c r="G302" s="3"/>
      <c r="H302" s="3"/>
      <c r="M302" s="1">
        <f t="shared" si="29"/>
        <v>9</v>
      </c>
      <c r="N302" s="1">
        <f t="shared" si="30"/>
        <v>-10.437283102039414</v>
      </c>
      <c r="O302" s="1">
        <f t="shared" si="31"/>
        <v>-5.0434832687132003</v>
      </c>
      <c r="P302" s="1">
        <f t="shared" si="32"/>
        <v>5.3709595993719432</v>
      </c>
      <c r="R302" s="3">
        <f t="shared" si="27"/>
        <v>0.91798053918509481</v>
      </c>
      <c r="S302" s="3">
        <f t="shared" si="28"/>
        <v>-1.186301702636156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</row>
    <row r="303" spans="1:100" x14ac:dyDescent="0.2">
      <c r="A303" s="32"/>
      <c r="F303" s="3"/>
      <c r="G303" s="3"/>
      <c r="H303" s="3"/>
      <c r="M303" s="1">
        <f t="shared" si="29"/>
        <v>9.0299999999999994</v>
      </c>
      <c r="N303" s="1">
        <f t="shared" si="30"/>
        <v>-8.7258918976667594</v>
      </c>
      <c r="O303" s="1">
        <f t="shared" si="31"/>
        <v>-5.3052600256432028</v>
      </c>
      <c r="P303" s="1">
        <f t="shared" si="32"/>
        <v>5.2118017986026475</v>
      </c>
      <c r="R303" s="3">
        <f t="shared" si="27"/>
        <v>0.71836523323872248</v>
      </c>
      <c r="S303" s="3">
        <f t="shared" si="28"/>
        <v>-1.3167958807931759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</row>
    <row r="304" spans="1:100" x14ac:dyDescent="0.2">
      <c r="A304" s="32"/>
      <c r="F304" s="3"/>
      <c r="G304" s="3"/>
      <c r="H304" s="3"/>
      <c r="M304" s="1">
        <f t="shared" si="29"/>
        <v>9.0599999999999987</v>
      </c>
      <c r="N304" s="1">
        <f t="shared" si="30"/>
        <v>-6.7061789300793357</v>
      </c>
      <c r="O304" s="1">
        <f t="shared" si="31"/>
        <v>-5.506445393545583</v>
      </c>
      <c r="P304" s="1">
        <f t="shared" si="32"/>
        <v>5.04660843679628</v>
      </c>
      <c r="R304" s="3">
        <f t="shared" si="27"/>
        <v>0.49204787457858001</v>
      </c>
      <c r="S304" s="3">
        <f t="shared" si="28"/>
        <v>-1.4169999608760411</v>
      </c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</row>
    <row r="305" spans="1:100" x14ac:dyDescent="0.2">
      <c r="A305" s="32"/>
      <c r="F305" s="3"/>
      <c r="G305" s="3"/>
      <c r="H305" s="3"/>
      <c r="M305" s="1">
        <f t="shared" si="29"/>
        <v>9.0899999999999981</v>
      </c>
      <c r="N305" s="1">
        <f t="shared" si="30"/>
        <v>-4.4248986603666971</v>
      </c>
      <c r="O305" s="1">
        <f t="shared" si="31"/>
        <v>-5.6391923533565835</v>
      </c>
      <c r="P305" s="1">
        <f t="shared" si="32"/>
        <v>4.8774326661955829</v>
      </c>
      <c r="R305" s="3">
        <f t="shared" si="27"/>
        <v>0.24644313497920001</v>
      </c>
      <c r="S305" s="3">
        <f t="shared" si="28"/>
        <v>-1.4796167683632218</v>
      </c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</row>
    <row r="306" spans="1:100" x14ac:dyDescent="0.2">
      <c r="A306" s="32"/>
      <c r="F306" s="3"/>
      <c r="G306" s="3"/>
      <c r="H306" s="3"/>
      <c r="M306" s="1">
        <f t="shared" si="29"/>
        <v>9.1199999999999974</v>
      </c>
      <c r="N306" s="1">
        <f t="shared" si="30"/>
        <v>-1.9569040379899074</v>
      </c>
      <c r="O306" s="1">
        <f t="shared" si="31"/>
        <v>-5.697899474496281</v>
      </c>
      <c r="P306" s="1">
        <f t="shared" si="32"/>
        <v>4.7064956819606945</v>
      </c>
      <c r="R306" s="3">
        <f t="shared" si="27"/>
        <v>-8.8398964660947026E-3</v>
      </c>
      <c r="S306" s="3">
        <f t="shared" si="28"/>
        <v>-1.4999739518506541</v>
      </c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</row>
    <row r="307" spans="1:100" x14ac:dyDescent="0.2">
      <c r="A307" s="32"/>
      <c r="F307" s="3"/>
      <c r="G307" s="3"/>
      <c r="H307" s="3"/>
      <c r="M307" s="1">
        <f t="shared" si="29"/>
        <v>9.1499999999999968</v>
      </c>
      <c r="N307" s="1">
        <f t="shared" si="30"/>
        <v>0.60120991736561225</v>
      </c>
      <c r="O307" s="1">
        <f t="shared" si="31"/>
        <v>-5.6798631769753127</v>
      </c>
      <c r="P307" s="1">
        <f t="shared" si="32"/>
        <v>4.5360997866514348</v>
      </c>
      <c r="R307" s="3">
        <f t="shared" si="27"/>
        <v>-0.26306624375886017</v>
      </c>
      <c r="S307" s="3">
        <f t="shared" si="28"/>
        <v>-1.4767518922942351</v>
      </c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</row>
    <row r="308" spans="1:100" x14ac:dyDescent="0.2">
      <c r="A308" s="32"/>
      <c r="F308" s="3"/>
      <c r="G308" s="3"/>
      <c r="H308" s="3"/>
      <c r="M308" s="1">
        <f t="shared" si="29"/>
        <v>9.1799999999999962</v>
      </c>
      <c r="N308" s="1">
        <f t="shared" si="30"/>
        <v>3.14185012351638</v>
      </c>
      <c r="O308" s="1">
        <f t="shared" si="31"/>
        <v>-5.5856076732698217</v>
      </c>
      <c r="P308" s="1">
        <f t="shared" si="32"/>
        <v>4.3685315564533402</v>
      </c>
      <c r="R308" s="3">
        <f t="shared" si="27"/>
        <v>-0.50568180965447151</v>
      </c>
      <c r="S308" s="3">
        <f t="shared" si="28"/>
        <v>-1.4121918805121982</v>
      </c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</row>
    <row r="309" spans="1:100" x14ac:dyDescent="0.2">
      <c r="A309" s="32"/>
      <c r="F309" s="3"/>
      <c r="G309" s="3"/>
      <c r="H309" s="3"/>
      <c r="M309" s="1">
        <f t="shared" si="29"/>
        <v>9.2099999999999955</v>
      </c>
      <c r="N309" s="1">
        <f t="shared" si="30"/>
        <v>5.5595227871389987</v>
      </c>
      <c r="O309" s="1">
        <f t="shared" si="31"/>
        <v>-5.418821989655652</v>
      </c>
      <c r="P309" s="1">
        <f t="shared" si="32"/>
        <v>4.2059668967636705</v>
      </c>
      <c r="R309" s="3">
        <f t="shared" si="27"/>
        <v>-0.72757728297449731</v>
      </c>
      <c r="S309" s="3">
        <f t="shared" si="28"/>
        <v>-1.3117283626191241</v>
      </c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</row>
    <row r="310" spans="1:100" x14ac:dyDescent="0.2">
      <c r="A310" s="32"/>
      <c r="F310" s="3"/>
      <c r="G310" s="3"/>
      <c r="H310" s="3"/>
      <c r="M310" s="1">
        <f t="shared" si="29"/>
        <v>9.2399999999999949</v>
      </c>
      <c r="N310" s="1">
        <f t="shared" si="30"/>
        <v>7.7634668088139804</v>
      </c>
      <c r="O310" s="1">
        <f t="shared" si="31"/>
        <v>-5.1859179853912325</v>
      </c>
      <c r="P310" s="1">
        <f t="shared" si="32"/>
        <v>4.0503893572019338</v>
      </c>
      <c r="R310" s="3">
        <f t="shared" si="27"/>
        <v>-0.92204296789459894</v>
      </c>
      <c r="S310" s="3">
        <f t="shared" si="28"/>
        <v>-1.1831469753822303</v>
      </c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</row>
    <row r="311" spans="1:100" x14ac:dyDescent="0.2">
      <c r="A311" s="32"/>
      <c r="F311" s="3"/>
      <c r="G311" s="3"/>
      <c r="H311" s="3"/>
      <c r="M311" s="1">
        <f t="shared" si="29"/>
        <v>9.2699999999999942</v>
      </c>
      <c r="N311" s="1">
        <f t="shared" si="30"/>
        <v>9.6871622976311986</v>
      </c>
      <c r="O311" s="1">
        <f t="shared" si="31"/>
        <v>-4.8953031164622969</v>
      </c>
      <c r="P311" s="1">
        <f t="shared" si="32"/>
        <v>3.9035302637080651</v>
      </c>
      <c r="R311" s="3">
        <f t="shared" si="27"/>
        <v>-1.0852496846639634</v>
      </c>
      <c r="S311" s="3">
        <f t="shared" si="28"/>
        <v>-1.0354869009006189</v>
      </c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</row>
    <row r="312" spans="1:100" x14ac:dyDescent="0.2">
      <c r="A312" s="32"/>
      <c r="F312" s="3"/>
      <c r="G312" s="3"/>
      <c r="H312" s="3"/>
      <c r="M312" s="1">
        <f t="shared" si="29"/>
        <v>9.2999999999999936</v>
      </c>
      <c r="N312" s="1">
        <f t="shared" si="30"/>
        <v>11.293074127121242</v>
      </c>
      <c r="O312" s="1">
        <f t="shared" si="31"/>
        <v>-4.5565108926486593</v>
      </c>
      <c r="P312" s="1">
        <f t="shared" si="32"/>
        <v>3.7668349369286052</v>
      </c>
      <c r="R312" s="3">
        <f t="shared" si="27"/>
        <v>-1.2162320045752897</v>
      </c>
      <c r="S312" s="3">
        <f t="shared" si="28"/>
        <v>-0.87794060792673934</v>
      </c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</row>
    <row r="313" spans="1:100" x14ac:dyDescent="0.2">
      <c r="A313" s="32"/>
      <c r="F313" s="3"/>
      <c r="G313" s="3"/>
      <c r="H313" s="3"/>
      <c r="M313" s="1">
        <f t="shared" si="29"/>
        <v>9.329999999999993</v>
      </c>
      <c r="N313" s="1">
        <f t="shared" si="30"/>
        <v>12.572406026091276</v>
      </c>
      <c r="O313" s="1">
        <f t="shared" si="31"/>
        <v>-4.1793387118659213</v>
      </c>
      <c r="P313" s="1">
        <f t="shared" si="32"/>
        <v>3.6414547755726274</v>
      </c>
      <c r="R313" s="3">
        <f t="shared" si="27"/>
        <v>-1.3164729836868447</v>
      </c>
      <c r="S313" s="3">
        <f t="shared" si="28"/>
        <v>-0.71895680205604584</v>
      </c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</row>
    <row r="314" spans="1:100" x14ac:dyDescent="0.2">
      <c r="A314" s="32"/>
      <c r="F314" s="3"/>
      <c r="G314" s="3"/>
      <c r="H314" s="3"/>
      <c r="M314" s="1">
        <f t="shared" si="29"/>
        <v>9.3599999999999923</v>
      </c>
      <c r="N314" s="1">
        <f t="shared" si="30"/>
        <v>13.540870320936381</v>
      </c>
      <c r="O314" s="1">
        <f t="shared" si="31"/>
        <v>-3.7731126022378301</v>
      </c>
      <c r="P314" s="1">
        <f t="shared" si="32"/>
        <v>3.5282613975054926</v>
      </c>
      <c r="R314" s="3">
        <f t="shared" si="27"/>
        <v>-1.3892556457638341</v>
      </c>
      <c r="S314" s="3">
        <f t="shared" si="28"/>
        <v>-0.56565780354673123</v>
      </c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</row>
    <row r="315" spans="1:100" x14ac:dyDescent="0.2">
      <c r="A315" s="32"/>
      <c r="F315" s="3"/>
      <c r="G315" s="3"/>
      <c r="H315" s="3"/>
      <c r="M315" s="1">
        <f t="shared" si="29"/>
        <v>9.3899999999999917</v>
      </c>
      <c r="N315" s="1">
        <f t="shared" si="30"/>
        <v>14.232136591839748</v>
      </c>
      <c r="O315" s="1">
        <f t="shared" si="31"/>
        <v>-3.3461485044826378</v>
      </c>
      <c r="P315" s="1">
        <f t="shared" si="32"/>
        <v>3.4278769423710136</v>
      </c>
      <c r="R315" s="3">
        <f t="shared" si="27"/>
        <v>-1.4389496609467034</v>
      </c>
      <c r="S315" s="3">
        <f t="shared" si="28"/>
        <v>-0.42358455267085371</v>
      </c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</row>
    <row r="316" spans="1:100" x14ac:dyDescent="0.2">
      <c r="A316" s="32"/>
      <c r="F316" s="3"/>
      <c r="G316" s="3"/>
      <c r="H316" s="3"/>
      <c r="M316" s="1">
        <f t="shared" si="29"/>
        <v>9.419999999999991</v>
      </c>
      <c r="N316" s="1">
        <f t="shared" si="30"/>
        <v>14.690649974870471</v>
      </c>
      <c r="O316" s="1">
        <f t="shared" si="31"/>
        <v>-2.9054290052365235</v>
      </c>
      <c r="P316" s="1">
        <f t="shared" si="32"/>
        <v>3.3407140722139177</v>
      </c>
      <c r="R316" s="3">
        <f t="shared" si="27"/>
        <v>-1.4703611201003159</v>
      </c>
      <c r="S316" s="3">
        <f t="shared" si="28"/>
        <v>-0.29671227897972868</v>
      </c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</row>
    <row r="317" spans="1:100" x14ac:dyDescent="0.2">
      <c r="A317" s="32"/>
      <c r="F317" s="3"/>
      <c r="G317" s="3"/>
      <c r="H317" s="3"/>
      <c r="M317" s="1">
        <f t="shared" si="29"/>
        <v>9.4499999999999904</v>
      </c>
      <c r="N317" s="1">
        <f t="shared" si="30"/>
        <v>14.965099811474447</v>
      </c>
      <c r="O317" s="1">
        <f t="shared" si="31"/>
        <v>-2.4564760108922901</v>
      </c>
      <c r="P317" s="1">
        <f t="shared" si="32"/>
        <v>3.2670197918871491</v>
      </c>
      <c r="R317" s="3">
        <f t="shared" si="27"/>
        <v>-1.4882164850487036</v>
      </c>
      <c r="S317" s="3">
        <f t="shared" si="28"/>
        <v>-0.18764779143193244</v>
      </c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</row>
    <row r="318" spans="1:100" x14ac:dyDescent="0.2">
      <c r="A318" s="32"/>
      <c r="F318" s="3"/>
      <c r="G318" s="3"/>
      <c r="H318" s="3"/>
      <c r="M318" s="1">
        <f t="shared" si="29"/>
        <v>9.4799999999999898</v>
      </c>
      <c r="N318" s="1">
        <f t="shared" si="30"/>
        <v>15.103247691467342</v>
      </c>
      <c r="O318" s="1">
        <f t="shared" si="31"/>
        <v>-2.00337858014827</v>
      </c>
      <c r="P318" s="1">
        <f t="shared" si="32"/>
        <v>3.2069184344827009</v>
      </c>
      <c r="R318" s="3">
        <f t="shared" si="27"/>
        <v>-1.4968005448008281</v>
      </c>
      <c r="S318" s="3">
        <f t="shared" si="28"/>
        <v>-9.7918992457765613E-2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</row>
    <row r="319" spans="1:100" x14ac:dyDescent="0.2">
      <c r="A319" s="32"/>
      <c r="F319" s="3"/>
      <c r="G319" s="3"/>
      <c r="H319" s="3"/>
      <c r="M319" s="1">
        <f t="shared" si="29"/>
        <v>9.5099999999999891</v>
      </c>
      <c r="N319" s="1">
        <f t="shared" si="30"/>
        <v>15.148309520221625</v>
      </c>
      <c r="O319" s="1">
        <f t="shared" si="31"/>
        <v>-1.5489292945416213</v>
      </c>
      <c r="P319" s="1">
        <f t="shared" si="32"/>
        <v>3.1604505556464524</v>
      </c>
      <c r="R319" s="3">
        <f t="shared" si="27"/>
        <v>-1.4997332925515423</v>
      </c>
      <c r="S319" s="3">
        <f t="shared" si="28"/>
        <v>-2.8285176550801441E-2</v>
      </c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</row>
    <row r="320" spans="1:100" x14ac:dyDescent="0.2">
      <c r="A320" s="32"/>
      <c r="F320" s="3"/>
      <c r="G320" s="3"/>
      <c r="H320" s="3"/>
      <c r="M320" s="1">
        <f t="shared" si="29"/>
        <v>9.5399999999999885</v>
      </c>
      <c r="N320" s="1">
        <f t="shared" si="30"/>
        <v>15.136736562024169</v>
      </c>
      <c r="O320" s="1">
        <f t="shared" si="31"/>
        <v>-1.0948271976808963</v>
      </c>
      <c r="P320" s="1">
        <f t="shared" si="32"/>
        <v>3.1276057397160253</v>
      </c>
      <c r="R320" s="3">
        <f t="shared" si="27"/>
        <v>-1.4998532770722357</v>
      </c>
      <c r="S320" s="3">
        <f t="shared" si="28"/>
        <v>2.0979686739206357E-2</v>
      </c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</row>
    <row r="321" spans="1:100" x14ac:dyDescent="0.2">
      <c r="A321" s="32"/>
      <c r="F321" s="3"/>
      <c r="G321" s="3"/>
      <c r="H321" s="3"/>
      <c r="M321" s="1">
        <f t="shared" si="29"/>
        <v>9.5699999999999878</v>
      </c>
      <c r="N321" s="1">
        <f t="shared" si="30"/>
        <v>15.097067218513638</v>
      </c>
      <c r="O321" s="1">
        <f t="shared" si="31"/>
        <v>-0.64191518112548718</v>
      </c>
      <c r="P321" s="1">
        <f t="shared" si="32"/>
        <v>3.1083482842822607</v>
      </c>
      <c r="R321" s="3">
        <f t="shared" si="27"/>
        <v>-1.4991711852692409</v>
      </c>
      <c r="S321" s="3">
        <f t="shared" si="28"/>
        <v>4.9857369148600728E-2</v>
      </c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</row>
    <row r="322" spans="1:100" x14ac:dyDescent="0.2">
      <c r="A322" s="32"/>
      <c r="F322" s="3"/>
      <c r="G322" s="3"/>
      <c r="H322" s="3"/>
      <c r="M322" s="1">
        <f t="shared" si="29"/>
        <v>9.5999999999999872</v>
      </c>
      <c r="N322" s="1">
        <f t="shared" si="30"/>
        <v>15.049484218993701</v>
      </c>
      <c r="O322" s="1">
        <f t="shared" si="31"/>
        <v>-0.19043065455567615</v>
      </c>
      <c r="P322" s="1">
        <f t="shared" si="32"/>
        <v>3.1026353646455904</v>
      </c>
      <c r="R322" s="3">
        <f t="shared" ref="R322:R385" si="33">$B$3*COS(P322)</f>
        <v>-1.4988618911790139</v>
      </c>
      <c r="S322" s="3">
        <f t="shared" ref="S322:S385" si="34">$B$3*SIN(P322)</f>
        <v>5.8421153457201627E-2</v>
      </c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</row>
    <row r="323" spans="1:100" x14ac:dyDescent="0.2">
      <c r="A323" s="32"/>
      <c r="F323" s="3"/>
      <c r="G323" s="3"/>
      <c r="H323" s="3"/>
      <c r="M323" s="1">
        <f t="shared" ref="M323:M386" si="35">M322+B$13</f>
        <v>9.6299999999999866</v>
      </c>
      <c r="N323" s="1">
        <f t="shared" ref="N323:N386" si="36">-$B$12*$B$3*COS(P322)-B$10*O322</f>
        <v>15.005757670700151</v>
      </c>
      <c r="O323" s="1">
        <f t="shared" ref="O323:O386" si="37">N323*$B$13+O322</f>
        <v>0.25974207556532836</v>
      </c>
      <c r="P323" s="1">
        <f t="shared" ref="P323:P386" si="38">O323*$B$13+P322</f>
        <v>3.1104276269125504</v>
      </c>
      <c r="R323" s="3">
        <f t="shared" si="33"/>
        <v>-1.4992716147912355</v>
      </c>
      <c r="S323" s="3">
        <f t="shared" si="34"/>
        <v>4.6739973056060355E-2</v>
      </c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</row>
    <row r="324" spans="1:100" x14ac:dyDescent="0.2">
      <c r="A324" s="32"/>
      <c r="F324" s="3"/>
      <c r="G324" s="3"/>
      <c r="H324" s="3"/>
      <c r="M324" s="1">
        <f t="shared" si="35"/>
        <v>9.6599999999999859</v>
      </c>
      <c r="N324" s="1">
        <f t="shared" si="36"/>
        <v>14.969339361111475</v>
      </c>
      <c r="O324" s="1">
        <f t="shared" si="37"/>
        <v>0.70882225639867258</v>
      </c>
      <c r="P324" s="1">
        <f t="shared" si="38"/>
        <v>3.1316922946045107</v>
      </c>
      <c r="R324" s="3">
        <f t="shared" si="33"/>
        <v>-1.4999264877694296</v>
      </c>
      <c r="S324" s="3">
        <f t="shared" si="34"/>
        <v>1.4850295877973679E-2</v>
      </c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</row>
    <row r="325" spans="1:100" x14ac:dyDescent="0.2">
      <c r="A325" s="32"/>
      <c r="F325" s="3"/>
      <c r="G325" s="3"/>
      <c r="H325" s="3"/>
      <c r="M325" s="1">
        <f t="shared" si="35"/>
        <v>9.6899999999999853</v>
      </c>
      <c r="N325" s="1">
        <f t="shared" si="36"/>
        <v>14.935470874618414</v>
      </c>
      <c r="O325" s="1">
        <f t="shared" si="37"/>
        <v>1.1568863826372251</v>
      </c>
      <c r="P325" s="1">
        <f t="shared" si="38"/>
        <v>3.1663988860836274</v>
      </c>
      <c r="R325" s="3">
        <f t="shared" si="33"/>
        <v>-1.4995385117875235</v>
      </c>
      <c r="S325" s="3">
        <f t="shared" si="34"/>
        <v>-3.7205532734514643E-2</v>
      </c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</row>
    <row r="326" spans="1:100" x14ac:dyDescent="0.2">
      <c r="A326" s="32"/>
      <c r="F326" s="3"/>
      <c r="G326" s="3"/>
      <c r="H326" s="3"/>
      <c r="M326" s="1">
        <f t="shared" si="35"/>
        <v>9.7199999999999847</v>
      </c>
      <c r="N326" s="1">
        <f t="shared" si="36"/>
        <v>14.891265343437885</v>
      </c>
      <c r="O326" s="1">
        <f t="shared" si="37"/>
        <v>1.6036243429403616</v>
      </c>
      <c r="P326" s="1">
        <f t="shared" si="38"/>
        <v>3.2145076163718382</v>
      </c>
      <c r="R326" s="3">
        <f t="shared" si="33"/>
        <v>-1.4960143224730884</v>
      </c>
      <c r="S326" s="3">
        <f t="shared" si="34"/>
        <v>-0.10927555515936033</v>
      </c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</row>
    <row r="327" spans="1:100" x14ac:dyDescent="0.2">
      <c r="A327" s="32"/>
      <c r="F327" s="3"/>
      <c r="G327" s="3"/>
      <c r="H327" s="3"/>
      <c r="M327" s="1">
        <f t="shared" si="35"/>
        <v>9.749999999999984</v>
      </c>
      <c r="N327" s="1">
        <f t="shared" si="36"/>
        <v>14.815817033866251</v>
      </c>
      <c r="O327" s="1">
        <f t="shared" si="37"/>
        <v>2.0480988539563492</v>
      </c>
      <c r="P327" s="1">
        <f t="shared" si="38"/>
        <v>3.2759505819905286</v>
      </c>
      <c r="R327" s="3">
        <f t="shared" si="33"/>
        <v>-1.4864813153435583</v>
      </c>
      <c r="S327" s="3">
        <f t="shared" si="34"/>
        <v>-0.20093108055869502</v>
      </c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</row>
    <row r="328" spans="1:100" x14ac:dyDescent="0.2">
      <c r="A328" s="32"/>
      <c r="F328" s="3"/>
      <c r="G328" s="3"/>
      <c r="H328" s="3"/>
      <c r="M328" s="1">
        <f t="shared" si="35"/>
        <v>9.7799999999999834</v>
      </c>
      <c r="N328" s="1">
        <f t="shared" si="36"/>
        <v>14.680484256579511</v>
      </c>
      <c r="O328" s="1">
        <f t="shared" si="37"/>
        <v>2.4885133816537346</v>
      </c>
      <c r="P328" s="1">
        <f t="shared" si="38"/>
        <v>3.3506059834401407</v>
      </c>
      <c r="R328" s="3">
        <f t="shared" si="33"/>
        <v>-1.4673541796790748</v>
      </c>
      <c r="S328" s="3">
        <f t="shared" si="34"/>
        <v>-0.3112422069359318</v>
      </c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</row>
    <row r="329" spans="1:100" x14ac:dyDescent="0.2">
      <c r="A329" s="32"/>
      <c r="F329" s="3"/>
      <c r="G329" s="3"/>
      <c r="H329" s="3"/>
      <c r="M329" s="1">
        <f t="shared" si="35"/>
        <v>9.8099999999999827</v>
      </c>
      <c r="N329" s="1">
        <f t="shared" si="36"/>
        <v>14.449575592441912</v>
      </c>
      <c r="O329" s="1">
        <f t="shared" si="37"/>
        <v>2.9220006494269919</v>
      </c>
      <c r="P329" s="1">
        <f t="shared" si="38"/>
        <v>3.4382660029229504</v>
      </c>
      <c r="R329" s="3">
        <f t="shared" si="33"/>
        <v>-1.4344714404662509</v>
      </c>
      <c r="S329" s="3">
        <f t="shared" si="34"/>
        <v>-0.43851075982999421</v>
      </c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</row>
    <row r="330" spans="1:100" x14ac:dyDescent="0.2">
      <c r="A330" s="32"/>
      <c r="F330" s="3"/>
      <c r="G330" s="3"/>
      <c r="H330" s="3"/>
      <c r="M330" s="1">
        <f t="shared" si="35"/>
        <v>9.8399999999999821</v>
      </c>
      <c r="N330" s="1">
        <f t="shared" si="36"/>
        <v>14.08173434621408</v>
      </c>
      <c r="O330" s="1">
        <f t="shared" si="37"/>
        <v>3.3444526798134144</v>
      </c>
      <c r="P330" s="1">
        <f t="shared" si="38"/>
        <v>3.5385995833173527</v>
      </c>
      <c r="R330" s="3">
        <f t="shared" si="33"/>
        <v>-1.3833336346216845</v>
      </c>
      <c r="S330" s="3">
        <f t="shared" si="34"/>
        <v>-0.57998970277442008</v>
      </c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</row>
    <row r="331" spans="1:100" x14ac:dyDescent="0.2">
      <c r="A331" s="32"/>
      <c r="F331" s="3"/>
      <c r="G331" s="3"/>
      <c r="H331" s="3"/>
      <c r="M331" s="1">
        <f t="shared" si="35"/>
        <v>9.8699999999999815</v>
      </c>
      <c r="N331" s="1">
        <f t="shared" si="36"/>
        <v>13.532335605033635</v>
      </c>
      <c r="O331" s="1">
        <f t="shared" si="37"/>
        <v>3.7504227479644237</v>
      </c>
      <c r="P331" s="1">
        <f t="shared" si="38"/>
        <v>3.6511122657562853</v>
      </c>
      <c r="R331" s="3">
        <f t="shared" si="33"/>
        <v>-1.3094683820160422</v>
      </c>
      <c r="S331" s="3">
        <f t="shared" si="34"/>
        <v>-0.7316369020902983</v>
      </c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</row>
    <row r="332" spans="1:100" x14ac:dyDescent="0.2">
      <c r="A332" s="32"/>
      <c r="F332" s="3"/>
      <c r="G332" s="3"/>
      <c r="H332" s="3"/>
      <c r="M332" s="1">
        <f t="shared" si="35"/>
        <v>9.8999999999999808</v>
      </c>
      <c r="N332" s="1">
        <f t="shared" si="36"/>
        <v>12.757145772843623</v>
      </c>
      <c r="O332" s="1">
        <f t="shared" si="37"/>
        <v>4.1331371211497325</v>
      </c>
      <c r="P332" s="1">
        <f t="shared" si="38"/>
        <v>3.7751063793907775</v>
      </c>
      <c r="R332" s="3">
        <f t="shared" si="33"/>
        <v>-1.2089286470669234</v>
      </c>
      <c r="S332" s="3">
        <f t="shared" si="34"/>
        <v>-0.88797045350672454</v>
      </c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</row>
    <row r="333" spans="1:100" x14ac:dyDescent="0.2">
      <c r="A333" s="32"/>
      <c r="F333" s="3"/>
      <c r="G333" s="3"/>
      <c r="H333" s="3"/>
      <c r="M333" s="1">
        <f t="shared" si="35"/>
        <v>9.9299999999999802</v>
      </c>
      <c r="N333" s="1">
        <f t="shared" si="36"/>
        <v>11.717304129765758</v>
      </c>
      <c r="O333" s="1">
        <f t="shared" si="37"/>
        <v>4.4846562450427054</v>
      </c>
      <c r="P333" s="1">
        <f t="shared" si="38"/>
        <v>3.9096460667420585</v>
      </c>
      <c r="R333" s="3">
        <f t="shared" si="33"/>
        <v>-1.0788965944524964</v>
      </c>
      <c r="S333" s="3">
        <f t="shared" si="34"/>
        <v>-1.042104667717598</v>
      </c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</row>
    <row r="334" spans="1:100" x14ac:dyDescent="0.2">
      <c r="A334" s="32"/>
      <c r="F334" s="3"/>
      <c r="G334" s="3"/>
      <c r="H334" s="3"/>
      <c r="M334" s="1">
        <f t="shared" si="35"/>
        <v>9.9599999999999795</v>
      </c>
      <c r="N334" s="1">
        <f t="shared" si="36"/>
        <v>10.38534688247112</v>
      </c>
      <c r="O334" s="1">
        <f t="shared" si="37"/>
        <v>4.796216651516839</v>
      </c>
      <c r="P334" s="1">
        <f t="shared" si="38"/>
        <v>4.0535325662875641</v>
      </c>
      <c r="R334" s="3">
        <f t="shared" si="33"/>
        <v>-0.91831954091613133</v>
      </c>
      <c r="S334" s="3">
        <f t="shared" si="34"/>
        <v>-1.1860392998427942</v>
      </c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</row>
    <row r="335" spans="1:100" x14ac:dyDescent="0.2">
      <c r="A335" s="32"/>
      <c r="F335" s="3"/>
      <c r="G335" s="3"/>
      <c r="H335" s="3"/>
      <c r="M335" s="1">
        <f t="shared" si="35"/>
        <v>9.9899999999999789</v>
      </c>
      <c r="N335" s="1">
        <f t="shared" si="36"/>
        <v>8.7515359105247992</v>
      </c>
      <c r="O335" s="1">
        <f t="shared" si="37"/>
        <v>5.0587627288325834</v>
      </c>
      <c r="P335" s="1">
        <f t="shared" si="38"/>
        <v>4.2052954481525413</v>
      </c>
      <c r="R335" s="3">
        <f t="shared" si="33"/>
        <v>-0.72845787708393339</v>
      </c>
      <c r="S335" s="3">
        <f t="shared" si="34"/>
        <v>-1.3112395362077705</v>
      </c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</row>
    <row r="336" spans="1:100" x14ac:dyDescent="0.2">
      <c r="A336" s="32"/>
      <c r="F336" s="3"/>
      <c r="G336" s="3"/>
      <c r="H336" s="3"/>
      <c r="M336" s="1">
        <f t="shared" si="35"/>
        <v>10.019999999999978</v>
      </c>
      <c r="N336" s="1">
        <f t="shared" si="36"/>
        <v>6.8292901252444009</v>
      </c>
      <c r="O336" s="1">
        <f t="shared" si="37"/>
        <v>5.2636414325899157</v>
      </c>
      <c r="P336" s="1">
        <f t="shared" si="38"/>
        <v>4.3632046911302389</v>
      </c>
      <c r="R336" s="3">
        <f t="shared" si="33"/>
        <v>-0.51319715556769119</v>
      </c>
      <c r="S336" s="3">
        <f t="shared" si="34"/>
        <v>-1.409478158581122</v>
      </c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</row>
    <row r="337" spans="1:100" x14ac:dyDescent="0.2">
      <c r="A337" s="32"/>
      <c r="F337" s="3"/>
      <c r="G337" s="3"/>
      <c r="H337" s="3"/>
      <c r="M337" s="1">
        <f t="shared" si="35"/>
        <v>10.049999999999978</v>
      </c>
      <c r="N337" s="1">
        <f t="shared" si="36"/>
        <v>4.6582438267438189</v>
      </c>
      <c r="O337" s="1">
        <f t="shared" si="37"/>
        <v>5.4033887473922304</v>
      </c>
      <c r="P337" s="1">
        <f t="shared" si="38"/>
        <v>4.5253063535520059</v>
      </c>
      <c r="R337" s="3">
        <f t="shared" si="33"/>
        <v>-0.27898983380988318</v>
      </c>
      <c r="S337" s="3">
        <f t="shared" si="34"/>
        <v>-1.473826540889644</v>
      </c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</row>
    <row r="338" spans="1:100" x14ac:dyDescent="0.2">
      <c r="A338" s="32"/>
      <c r="F338" s="3"/>
      <c r="G338" s="3"/>
      <c r="H338" s="3"/>
      <c r="M338" s="1">
        <f t="shared" si="35"/>
        <v>10.079999999999977</v>
      </c>
      <c r="N338" s="1">
        <f t="shared" si="36"/>
        <v>2.3035933508335309</v>
      </c>
      <c r="O338" s="1">
        <f t="shared" si="37"/>
        <v>5.4724965479172365</v>
      </c>
      <c r="P338" s="1">
        <f t="shared" si="38"/>
        <v>4.6894812499895231</v>
      </c>
      <c r="R338" s="3">
        <f t="shared" si="33"/>
        <v>-3.4358590382903675E-2</v>
      </c>
      <c r="S338" s="3">
        <f t="shared" si="34"/>
        <v>-1.4996064441268915</v>
      </c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</row>
    <row r="339" spans="1:100" x14ac:dyDescent="0.2">
      <c r="A339" s="32"/>
      <c r="F339" s="3"/>
      <c r="G339" s="3"/>
      <c r="H339" s="3"/>
      <c r="M339" s="1">
        <f t="shared" si="35"/>
        <v>10.109999999999976</v>
      </c>
      <c r="N339" s="1">
        <f t="shared" si="36"/>
        <v>-0.14893878548351452</v>
      </c>
      <c r="O339" s="1">
        <f t="shared" si="37"/>
        <v>5.4680283843527313</v>
      </c>
      <c r="P339" s="1">
        <f t="shared" si="38"/>
        <v>4.8535221015201051</v>
      </c>
      <c r="R339" s="3">
        <f t="shared" si="33"/>
        <v>0.21099758924090822</v>
      </c>
      <c r="S339" s="3">
        <f t="shared" si="34"/>
        <v>-1.4850858619401524</v>
      </c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</row>
    <row r="340" spans="1:100" x14ac:dyDescent="0.2">
      <c r="A340" s="32"/>
      <c r="F340" s="3"/>
      <c r="G340" s="3"/>
      <c r="H340" s="3"/>
      <c r="M340" s="1">
        <f t="shared" si="35"/>
        <v>10.139999999999976</v>
      </c>
      <c r="N340" s="1">
        <f t="shared" si="36"/>
        <v>-2.6020984470008282</v>
      </c>
      <c r="O340" s="1">
        <f t="shared" si="37"/>
        <v>5.3899654309427065</v>
      </c>
      <c r="P340" s="1">
        <f t="shared" si="38"/>
        <v>5.0152210644483866</v>
      </c>
      <c r="R340" s="3">
        <f t="shared" si="33"/>
        <v>0.44733691672826953</v>
      </c>
      <c r="S340" s="3">
        <f t="shared" si="34"/>
        <v>-1.4317435814181412</v>
      </c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</row>
    <row r="341" spans="1:100" x14ac:dyDescent="0.2">
      <c r="A341" s="32"/>
      <c r="F341" s="3"/>
      <c r="G341" s="3"/>
      <c r="H341" s="3"/>
      <c r="M341" s="1">
        <f t="shared" si="35"/>
        <v>10.169999999999975</v>
      </c>
      <c r="N341" s="1">
        <f t="shared" si="36"/>
        <v>-4.9584660560675387</v>
      </c>
      <c r="O341" s="1">
        <f t="shared" si="37"/>
        <v>5.2412114492606801</v>
      </c>
      <c r="P341" s="1">
        <f t="shared" si="38"/>
        <v>5.1724574079262071</v>
      </c>
      <c r="R341" s="3">
        <f t="shared" si="33"/>
        <v>0.6660141308933889</v>
      </c>
      <c r="S341" s="3">
        <f t="shared" si="34"/>
        <v>-1.344033175725333</v>
      </c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</row>
    <row r="342" spans="1:100" x14ac:dyDescent="0.2">
      <c r="A342" s="32"/>
      <c r="F342" s="3"/>
      <c r="G342" s="3"/>
      <c r="H342" s="3"/>
      <c r="M342" s="1">
        <f t="shared" si="35"/>
        <v>10.199999999999974</v>
      </c>
      <c r="N342" s="1">
        <f t="shared" si="36"/>
        <v>-7.1318503393673494</v>
      </c>
      <c r="O342" s="1">
        <f t="shared" si="37"/>
        <v>5.0272559390796596</v>
      </c>
      <c r="P342" s="1">
        <f t="shared" si="38"/>
        <v>5.3232750860985973</v>
      </c>
      <c r="R342" s="3">
        <f t="shared" si="33"/>
        <v>0.86039029484169649</v>
      </c>
      <c r="S342" s="3">
        <f t="shared" si="34"/>
        <v>-1.2287101124928608</v>
      </c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</row>
    <row r="343" spans="1:100" x14ac:dyDescent="0.2">
      <c r="A343" s="32"/>
      <c r="F343" s="3"/>
      <c r="G343" s="3"/>
      <c r="H343" s="3"/>
      <c r="M343" s="1">
        <f t="shared" si="35"/>
        <v>10.229999999999974</v>
      </c>
      <c r="N343" s="1">
        <f t="shared" si="36"/>
        <v>-9.056355982934134</v>
      </c>
      <c r="O343" s="1">
        <f t="shared" si="37"/>
        <v>4.755565259591636</v>
      </c>
      <c r="P343" s="1">
        <f t="shared" si="38"/>
        <v>5.4659420438863462</v>
      </c>
      <c r="R343" s="3">
        <f t="shared" si="33"/>
        <v>1.0263512834698769</v>
      </c>
      <c r="S343" s="3">
        <f t="shared" si="34"/>
        <v>-1.093893524489352</v>
      </c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</row>
    <row r="344" spans="1:100" x14ac:dyDescent="0.2">
      <c r="A344" s="32"/>
      <c r="F344" s="3"/>
      <c r="G344" s="3"/>
      <c r="H344" s="3"/>
      <c r="M344" s="1">
        <f t="shared" si="35"/>
        <v>10.259999999999973</v>
      </c>
      <c r="N344" s="1">
        <f t="shared" si="36"/>
        <v>-10.691513708062017</v>
      </c>
      <c r="O344" s="1">
        <f t="shared" si="37"/>
        <v>4.4348198483497754</v>
      </c>
      <c r="P344" s="1">
        <f t="shared" si="38"/>
        <v>5.5989866393368395</v>
      </c>
      <c r="R344" s="3">
        <f t="shared" si="33"/>
        <v>1.1623886694401211</v>
      </c>
      <c r="S344" s="3">
        <f t="shared" si="34"/>
        <v>-0.9480783623505098</v>
      </c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</row>
    <row r="345" spans="1:100" x14ac:dyDescent="0.2">
      <c r="A345" s="32"/>
      <c r="F345" s="3"/>
      <c r="G345" s="3"/>
      <c r="H345" s="3"/>
      <c r="M345" s="1">
        <f t="shared" si="35"/>
        <v>10.289999999999973</v>
      </c>
      <c r="N345" s="1">
        <f t="shared" si="36"/>
        <v>-12.023020480752692</v>
      </c>
      <c r="O345" s="1">
        <f t="shared" si="37"/>
        <v>4.0741292339271951</v>
      </c>
      <c r="P345" s="1">
        <f t="shared" si="38"/>
        <v>5.7212105163546552</v>
      </c>
      <c r="R345" s="3">
        <f t="shared" si="33"/>
        <v>1.269306717005307</v>
      </c>
      <c r="S345" s="3">
        <f t="shared" si="34"/>
        <v>-0.79928746904052606</v>
      </c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</row>
    <row r="346" spans="1:100" x14ac:dyDescent="0.2">
      <c r="A346" s="32"/>
      <c r="F346" s="3"/>
      <c r="G346" s="3"/>
      <c r="H346" s="3"/>
      <c r="M346" s="1">
        <f t="shared" si="35"/>
        <v>10.319999999999972</v>
      </c>
      <c r="N346" s="1">
        <f t="shared" si="36"/>
        <v>-13.059738801106517</v>
      </c>
      <c r="O346" s="1">
        <f t="shared" si="37"/>
        <v>3.6823370698939994</v>
      </c>
      <c r="P346" s="1">
        <f t="shared" si="38"/>
        <v>5.8316806284514753</v>
      </c>
      <c r="R346" s="3">
        <f t="shared" si="33"/>
        <v>1.3496873998213932</v>
      </c>
      <c r="S346" s="3">
        <f t="shared" si="34"/>
        <v>-0.65447988721072781</v>
      </c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</row>
    <row r="347" spans="1:100" x14ac:dyDescent="0.2">
      <c r="A347" s="32"/>
      <c r="F347" s="3"/>
      <c r="G347" s="3"/>
      <c r="H347" s="3"/>
      <c r="M347" s="1">
        <f t="shared" si="35"/>
        <v>10.349999999999971</v>
      </c>
      <c r="N347" s="1">
        <f t="shared" si="36"/>
        <v>-13.82828433450439</v>
      </c>
      <c r="O347" s="1">
        <f t="shared" si="37"/>
        <v>3.2674885398588676</v>
      </c>
      <c r="P347" s="1">
        <f t="shared" si="38"/>
        <v>5.9297052846472411</v>
      </c>
      <c r="R347" s="3">
        <f t="shared" si="33"/>
        <v>1.4072606025032153</v>
      </c>
      <c r="S347" s="3">
        <f t="shared" si="34"/>
        <v>-0.51924714408678996</v>
      </c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</row>
    <row r="348" spans="1:100" x14ac:dyDescent="0.2">
      <c r="A348" s="32"/>
      <c r="F348" s="3"/>
      <c r="G348" s="3"/>
      <c r="H348" s="3"/>
      <c r="M348" s="1">
        <f t="shared" si="35"/>
        <v>10.379999999999971</v>
      </c>
      <c r="N348" s="1">
        <f t="shared" si="36"/>
        <v>-14.366679993619451</v>
      </c>
      <c r="O348" s="1">
        <f t="shared" si="37"/>
        <v>2.8364881400502839</v>
      </c>
      <c r="P348" s="1">
        <f t="shared" si="38"/>
        <v>6.0147999288487499</v>
      </c>
      <c r="R348" s="3">
        <f t="shared" si="33"/>
        <v>1.4463004653895319</v>
      </c>
      <c r="S348" s="3">
        <f t="shared" si="34"/>
        <v>-0.39776244646022496</v>
      </c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</row>
    <row r="349" spans="1:100" x14ac:dyDescent="0.2">
      <c r="A349" s="32"/>
      <c r="F349" s="3"/>
      <c r="G349" s="3"/>
      <c r="H349" s="3"/>
      <c r="M349" s="1">
        <f t="shared" si="35"/>
        <v>10.40999999999997</v>
      </c>
      <c r="N349" s="1">
        <f t="shared" si="36"/>
        <v>-14.718288586499845</v>
      </c>
      <c r="O349" s="1">
        <f t="shared" si="37"/>
        <v>2.3949394824552885</v>
      </c>
      <c r="P349" s="1">
        <f t="shared" si="38"/>
        <v>6.0866481133224086</v>
      </c>
      <c r="R349" s="3">
        <f t="shared" si="33"/>
        <v>1.4711229807738118</v>
      </c>
      <c r="S349" s="3">
        <f t="shared" si="34"/>
        <v>-0.29291154883202386</v>
      </c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</row>
    <row r="350" spans="1:100" x14ac:dyDescent="0.2">
      <c r="A350" s="32"/>
      <c r="F350" s="3"/>
      <c r="G350" s="3"/>
      <c r="H350" s="3"/>
      <c r="M350" s="1">
        <f t="shared" si="35"/>
        <v>10.439999999999969</v>
      </c>
      <c r="N350" s="1">
        <f t="shared" si="36"/>
        <v>-14.926774361159094</v>
      </c>
      <c r="O350" s="1">
        <f t="shared" si="37"/>
        <v>1.9471362516205157</v>
      </c>
      <c r="P350" s="1">
        <f t="shared" si="38"/>
        <v>6.1450622008710241</v>
      </c>
      <c r="R350" s="3">
        <f t="shared" si="33"/>
        <v>1.4857142392787608</v>
      </c>
      <c r="S350" s="3">
        <f t="shared" si="34"/>
        <v>-0.20652650968902975</v>
      </c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</row>
    <row r="351" spans="1:100" x14ac:dyDescent="0.2">
      <c r="A351" s="32"/>
      <c r="F351" s="3"/>
      <c r="G351" s="3"/>
      <c r="H351" s="3"/>
      <c r="M351" s="1">
        <f t="shared" si="35"/>
        <v>10.469999999999969</v>
      </c>
      <c r="N351" s="1">
        <f t="shared" si="36"/>
        <v>-15.032384655433455</v>
      </c>
      <c r="O351" s="1">
        <f t="shared" si="37"/>
        <v>1.4961647119575121</v>
      </c>
      <c r="P351" s="1">
        <f t="shared" si="38"/>
        <v>6.1899471422297498</v>
      </c>
      <c r="R351" s="3">
        <f t="shared" si="33"/>
        <v>1.4934847054808229</v>
      </c>
      <c r="S351" s="3">
        <f t="shared" si="34"/>
        <v>-0.1396546973605253</v>
      </c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</row>
    <row r="352" spans="1:100" x14ac:dyDescent="0.2">
      <c r="A352" s="32"/>
      <c r="F352" s="3"/>
      <c r="G352" s="3"/>
      <c r="H352" s="3"/>
      <c r="M352" s="1">
        <f t="shared" si="35"/>
        <v>10.499999999999968</v>
      </c>
      <c r="N352" s="1">
        <f t="shared" si="36"/>
        <v>-15.069501878884404</v>
      </c>
      <c r="O352" s="1">
        <f t="shared" si="37"/>
        <v>1.0440796555909799</v>
      </c>
      <c r="P352" s="1">
        <f t="shared" si="38"/>
        <v>6.2212695318974793</v>
      </c>
      <c r="R352" s="3">
        <f t="shared" si="33"/>
        <v>1.4971257459739864</v>
      </c>
      <c r="S352" s="3">
        <f t="shared" si="34"/>
        <v>-9.2814334786359962E-2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</row>
    <row r="353" spans="1:100" x14ac:dyDescent="0.2">
      <c r="A353" s="32"/>
      <c r="F353" s="3"/>
      <c r="G353" s="3"/>
      <c r="H353" s="3"/>
      <c r="M353" s="1">
        <f t="shared" si="35"/>
        <v>10.529999999999967</v>
      </c>
      <c r="N353" s="1">
        <f t="shared" si="36"/>
        <v>-15.065224628743051</v>
      </c>
      <c r="O353" s="1">
        <f t="shared" si="37"/>
        <v>0.59212291672868833</v>
      </c>
      <c r="P353" s="1">
        <f t="shared" si="38"/>
        <v>6.2390332193993396</v>
      </c>
      <c r="R353" s="3">
        <f t="shared" si="33"/>
        <v>1.4985381823547439</v>
      </c>
      <c r="S353" s="3">
        <f t="shared" si="34"/>
        <v>-6.6206616171951088E-2</v>
      </c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</row>
    <row r="354" spans="1:100" x14ac:dyDescent="0.2">
      <c r="A354" s="32"/>
      <c r="F354" s="3"/>
      <c r="G354" s="3"/>
      <c r="H354" s="3"/>
      <c r="M354" s="1">
        <f t="shared" si="35"/>
        <v>10.559999999999967</v>
      </c>
      <c r="N354" s="1">
        <f t="shared" si="36"/>
        <v>-15.038672886053023</v>
      </c>
      <c r="O354" s="1">
        <f t="shared" si="37"/>
        <v>0.14096273014709765</v>
      </c>
      <c r="P354" s="1">
        <f t="shared" si="38"/>
        <v>6.2432621013037526</v>
      </c>
      <c r="R354" s="3">
        <f t="shared" si="33"/>
        <v>1.4988047619908396</v>
      </c>
      <c r="S354" s="3">
        <f t="shared" si="34"/>
        <v>-5.9868902057604846E-2</v>
      </c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</row>
    <row r="355" spans="1:100" x14ac:dyDescent="0.2">
      <c r="A355" s="32"/>
      <c r="F355" s="3"/>
      <c r="G355" s="3"/>
      <c r="H355" s="3"/>
      <c r="M355" s="1">
        <f t="shared" si="35"/>
        <v>10.589999999999966</v>
      </c>
      <c r="N355" s="1">
        <f t="shared" si="36"/>
        <v>-15.000734265621633</v>
      </c>
      <c r="O355" s="1">
        <f t="shared" si="37"/>
        <v>-0.30905929782155134</v>
      </c>
      <c r="P355" s="1">
        <f t="shared" si="38"/>
        <v>6.233990322369106</v>
      </c>
      <c r="R355" s="3">
        <f t="shared" si="33"/>
        <v>1.4981852561419191</v>
      </c>
      <c r="S355" s="3">
        <f t="shared" si="34"/>
        <v>-7.3762716049316362E-2</v>
      </c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</row>
    <row r="356" spans="1:100" x14ac:dyDescent="0.2">
      <c r="A356" s="32"/>
      <c r="F356" s="3"/>
      <c r="G356" s="3"/>
      <c r="H356" s="3"/>
      <c r="M356" s="1">
        <f t="shared" si="35"/>
        <v>10.619999999999965</v>
      </c>
      <c r="N356" s="1">
        <f t="shared" si="36"/>
        <v>-14.954037224615252</v>
      </c>
      <c r="O356" s="1">
        <f t="shared" si="37"/>
        <v>-0.7576804145600089</v>
      </c>
      <c r="P356" s="1">
        <f t="shared" si="38"/>
        <v>6.2112599099323056</v>
      </c>
      <c r="R356" s="3">
        <f t="shared" si="33"/>
        <v>1.4961217253001844</v>
      </c>
      <c r="S356" s="3">
        <f t="shared" si="34"/>
        <v>-0.1077950976844492</v>
      </c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</row>
    <row r="357" spans="1:100" x14ac:dyDescent="0.2">
      <c r="A357" s="32"/>
      <c r="F357" s="3"/>
      <c r="G357" s="3"/>
      <c r="H357" s="3"/>
      <c r="M357" s="1">
        <f t="shared" si="35"/>
        <v>10.649999999999965</v>
      </c>
      <c r="N357" s="1">
        <f t="shared" si="36"/>
        <v>-14.893026015691442</v>
      </c>
      <c r="O357" s="1">
        <f t="shared" si="37"/>
        <v>-1.2044711950307521</v>
      </c>
      <c r="P357" s="1">
        <f t="shared" si="38"/>
        <v>6.1751257740813834</v>
      </c>
      <c r="R357" s="3">
        <f t="shared" si="33"/>
        <v>1.4912508714838504</v>
      </c>
      <c r="S357" s="3">
        <f t="shared" si="34"/>
        <v>-0.16177403468621515</v>
      </c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</row>
    <row r="358" spans="1:100" x14ac:dyDescent="0.2">
      <c r="A358" s="32"/>
      <c r="F358" s="3"/>
      <c r="G358" s="3"/>
      <c r="H358" s="3"/>
      <c r="M358" s="1">
        <f t="shared" si="35"/>
        <v>10.679999999999964</v>
      </c>
      <c r="N358" s="1">
        <f t="shared" si="36"/>
        <v>-14.804106307285736</v>
      </c>
      <c r="O358" s="1">
        <f t="shared" si="37"/>
        <v>-1.648594384249324</v>
      </c>
      <c r="P358" s="1">
        <f t="shared" si="38"/>
        <v>6.1256679425539033</v>
      </c>
      <c r="R358" s="3">
        <f t="shared" si="33"/>
        <v>1.4814296544140668</v>
      </c>
      <c r="S358" s="3">
        <f t="shared" si="34"/>
        <v>-0.23530018916825973</v>
      </c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</row>
    <row r="359" spans="1:100" x14ac:dyDescent="0.2">
      <c r="A359" s="32"/>
      <c r="F359" s="3"/>
      <c r="G359" s="3"/>
      <c r="H359" s="3"/>
      <c r="M359" s="1">
        <f t="shared" si="35"/>
        <v>10.709999999999964</v>
      </c>
      <c r="N359" s="1">
        <f t="shared" si="36"/>
        <v>-14.665923049558229</v>
      </c>
      <c r="O359" s="1">
        <f t="shared" si="37"/>
        <v>-2.0885720757360708</v>
      </c>
      <c r="P359" s="1">
        <f t="shared" si="38"/>
        <v>6.0630107802818216</v>
      </c>
      <c r="R359" s="3">
        <f t="shared" si="33"/>
        <v>1.463789021293411</v>
      </c>
      <c r="S359" s="3">
        <f t="shared" si="34"/>
        <v>-0.32759991016616297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</row>
    <row r="360" spans="1:100" x14ac:dyDescent="0.2">
      <c r="A360" s="32"/>
      <c r="F360" s="3"/>
      <c r="G360" s="3"/>
      <c r="H360" s="3"/>
      <c r="M360" s="1">
        <f t="shared" si="35"/>
        <v>10.739999999999963</v>
      </c>
      <c r="N360" s="1">
        <f t="shared" si="36"/>
        <v>-14.449918726117863</v>
      </c>
      <c r="O360" s="1">
        <f t="shared" si="37"/>
        <v>-2.5220696375196066</v>
      </c>
      <c r="P360" s="1">
        <f t="shared" si="38"/>
        <v>5.9873486911562335</v>
      </c>
      <c r="R360" s="3">
        <f t="shared" si="33"/>
        <v>1.4348378548299632</v>
      </c>
      <c r="S360" s="3">
        <f t="shared" si="34"/>
        <v>-0.43731033642820483</v>
      </c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</row>
    <row r="361" spans="1:100" x14ac:dyDescent="0.2">
      <c r="A361" s="32"/>
      <c r="F361" s="3"/>
      <c r="G361" s="3"/>
      <c r="H361" s="3"/>
      <c r="M361" s="1">
        <f t="shared" si="35"/>
        <v>10.769999999999962</v>
      </c>
      <c r="N361" s="1">
        <f t="shared" si="36"/>
        <v>-14.121392280922867</v>
      </c>
      <c r="O361" s="1">
        <f t="shared" si="37"/>
        <v>-2.9457114059472924</v>
      </c>
      <c r="P361" s="1">
        <f t="shared" si="38"/>
        <v>5.898977348977815</v>
      </c>
      <c r="R361" s="3">
        <f t="shared" si="33"/>
        <v>1.3906434007076729</v>
      </c>
      <c r="S361" s="3">
        <f t="shared" si="34"/>
        <v>-0.5622374338908771</v>
      </c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</row>
    <row r="362" spans="1:100" x14ac:dyDescent="0.2">
      <c r="A362" s="32"/>
      <c r="F362" s="3"/>
      <c r="G362" s="3"/>
      <c r="H362" s="3"/>
      <c r="M362" s="1">
        <f t="shared" si="35"/>
        <v>10.799999999999962</v>
      </c>
      <c r="N362" s="1">
        <f t="shared" si="36"/>
        <v>-13.641319980541473</v>
      </c>
      <c r="O362" s="1">
        <f t="shared" si="37"/>
        <v>-3.3549510053635365</v>
      </c>
      <c r="P362" s="1">
        <f t="shared" si="38"/>
        <v>5.7983288188169091</v>
      </c>
      <c r="R362" s="3">
        <f t="shared" si="33"/>
        <v>1.3271127694846432</v>
      </c>
      <c r="S362" s="3">
        <f t="shared" si="34"/>
        <v>-0.69912209024661842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</row>
    <row r="363" spans="1:100" x14ac:dyDescent="0.2">
      <c r="A363" s="32"/>
      <c r="F363" s="3"/>
      <c r="G363" s="3"/>
      <c r="H363" s="3"/>
      <c r="M363" s="1">
        <f t="shared" si="35"/>
        <v>10.829999999999961</v>
      </c>
      <c r="N363" s="1">
        <f t="shared" si="36"/>
        <v>-12.969182104363712</v>
      </c>
      <c r="O363" s="1">
        <f t="shared" si="37"/>
        <v>-3.744026468494448</v>
      </c>
      <c r="P363" s="1">
        <f t="shared" si="38"/>
        <v>5.6860080247620752</v>
      </c>
      <c r="R363" s="3">
        <f t="shared" si="33"/>
        <v>1.2403892265078844</v>
      </c>
      <c r="S363" s="3">
        <f t="shared" si="34"/>
        <v>-0.84346580651688052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</row>
    <row r="364" spans="1:100" x14ac:dyDescent="0.2">
      <c r="A364" s="32"/>
      <c r="F364" s="3"/>
      <c r="G364" s="3"/>
      <c r="H364" s="3"/>
      <c r="M364" s="1">
        <f t="shared" si="35"/>
        <v>10.85999999999996</v>
      </c>
      <c r="N364" s="1">
        <f t="shared" si="36"/>
        <v>-12.066929882914344</v>
      </c>
      <c r="O364" s="1">
        <f t="shared" si="37"/>
        <v>-4.1060343649818787</v>
      </c>
      <c r="P364" s="1">
        <f t="shared" si="38"/>
        <v>5.5628269938126191</v>
      </c>
      <c r="R364" s="3">
        <f t="shared" si="33"/>
        <v>1.1273541218136256</v>
      </c>
      <c r="S364" s="3">
        <f t="shared" si="34"/>
        <v>-0.98948101751869344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</row>
    <row r="365" spans="1:100" x14ac:dyDescent="0.2">
      <c r="A365" s="32"/>
      <c r="F365" s="3"/>
      <c r="G365" s="3"/>
      <c r="H365" s="3"/>
      <c r="M365" s="1">
        <f t="shared" si="35"/>
        <v>10.88999999999996</v>
      </c>
      <c r="N365" s="1">
        <f t="shared" si="36"/>
        <v>-10.903998125287888</v>
      </c>
      <c r="O365" s="1">
        <f t="shared" si="37"/>
        <v>-4.433154308740515</v>
      </c>
      <c r="P365" s="1">
        <f t="shared" si="38"/>
        <v>5.4298323645504034</v>
      </c>
      <c r="R365" s="3">
        <f t="shared" si="33"/>
        <v>0.98619066100826891</v>
      </c>
      <c r="S365" s="3">
        <f t="shared" si="34"/>
        <v>-1.1302335953864024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</row>
    <row r="366" spans="1:100" x14ac:dyDescent="0.2">
      <c r="A366" s="32"/>
      <c r="F366" s="3"/>
      <c r="G366" s="3"/>
      <c r="H366" s="3"/>
      <c r="M366" s="1">
        <f t="shared" si="35"/>
        <v>10.919999999999959</v>
      </c>
      <c r="N366" s="1">
        <f t="shared" si="36"/>
        <v>-9.4629227222960406</v>
      </c>
      <c r="O366" s="1">
        <f t="shared" si="37"/>
        <v>-4.7170419904093963</v>
      </c>
      <c r="P366" s="1">
        <f t="shared" si="38"/>
        <v>5.2883211048381211</v>
      </c>
      <c r="R366" s="3">
        <f t="shared" si="33"/>
        <v>0.81692517896931505</v>
      </c>
      <c r="S366" s="3">
        <f t="shared" si="34"/>
        <v>-1.2580275243276486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</row>
    <row r="367" spans="1:100" x14ac:dyDescent="0.2">
      <c r="A367" s="32"/>
      <c r="F367" s="3"/>
      <c r="G367" s="3"/>
      <c r="H367" s="3"/>
      <c r="M367" s="1">
        <f t="shared" si="35"/>
        <v>10.949999999999958</v>
      </c>
      <c r="N367" s="1">
        <f t="shared" si="36"/>
        <v>-7.7447180105563032</v>
      </c>
      <c r="O367" s="1">
        <f t="shared" si="37"/>
        <v>-4.9493835307260854</v>
      </c>
      <c r="P367" s="1">
        <f t="shared" si="38"/>
        <v>5.139839598916339</v>
      </c>
      <c r="R367" s="3">
        <f t="shared" si="33"/>
        <v>0.62182822471312316</v>
      </c>
      <c r="S367" s="3">
        <f t="shared" si="34"/>
        <v>-1.3650383360734326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</row>
    <row r="368" spans="1:100" x14ac:dyDescent="0.2">
      <c r="A368" s="32"/>
      <c r="F368" s="3"/>
      <c r="G368" s="3"/>
      <c r="H368" s="3"/>
      <c r="M368" s="1">
        <f t="shared" si="35"/>
        <v>10.979999999999958</v>
      </c>
      <c r="N368" s="1">
        <f t="shared" si="36"/>
        <v>-5.7728377293658841</v>
      </c>
      <c r="O368" s="1">
        <f t="shared" si="37"/>
        <v>-5.1225686626070619</v>
      </c>
      <c r="P368" s="1">
        <f t="shared" si="38"/>
        <v>4.9861625390381272</v>
      </c>
      <c r="R368" s="3">
        <f t="shared" si="33"/>
        <v>0.40554956245785162</v>
      </c>
      <c r="S368" s="3">
        <f t="shared" si="34"/>
        <v>-1.4441362651738392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</row>
    <row r="369" spans="1:100" x14ac:dyDescent="0.2">
      <c r="A369" s="32"/>
      <c r="F369" s="3"/>
      <c r="G369" s="3"/>
      <c r="H369" s="3"/>
      <c r="M369" s="1">
        <f t="shared" si="35"/>
        <v>11.009999999999957</v>
      </c>
      <c r="N369" s="1">
        <f t="shared" si="36"/>
        <v>-3.5944644449438812</v>
      </c>
      <c r="O369" s="1">
        <f t="shared" si="37"/>
        <v>-5.2304025959553782</v>
      </c>
      <c r="P369" s="1">
        <f t="shared" si="38"/>
        <v>4.8292504611594662</v>
      </c>
      <c r="R369" s="3">
        <f t="shared" si="33"/>
        <v>0.17489351072033904</v>
      </c>
      <c r="S369" s="3">
        <f t="shared" si="34"/>
        <v>-1.4897691968583304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</row>
    <row r="370" spans="1:100" x14ac:dyDescent="0.2">
      <c r="A370" s="32"/>
      <c r="F370" s="3"/>
      <c r="G370" s="3"/>
      <c r="H370" s="3"/>
      <c r="M370" s="1">
        <f t="shared" si="35"/>
        <v>11.039999999999957</v>
      </c>
      <c r="N370" s="1">
        <f t="shared" si="36"/>
        <v>-1.2781988735674066</v>
      </c>
      <c r="O370" s="1">
        <f t="shared" si="37"/>
        <v>-5.2687485621624006</v>
      </c>
      <c r="P370" s="1">
        <f t="shared" si="38"/>
        <v>4.6711880042945939</v>
      </c>
      <c r="R370" s="3">
        <f t="shared" si="33"/>
        <v>-6.1783980744460315E-2</v>
      </c>
      <c r="S370" s="3">
        <f t="shared" si="34"/>
        <v>-1.4987270397652028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</row>
    <row r="371" spans="1:100" x14ac:dyDescent="0.2">
      <c r="A371" s="32"/>
      <c r="F371" s="3"/>
      <c r="G371" s="3"/>
      <c r="H371" s="3"/>
      <c r="M371" s="1">
        <f t="shared" si="35"/>
        <v>11.069999999999956</v>
      </c>
      <c r="N371" s="1">
        <f t="shared" si="36"/>
        <v>1.0920271780392192</v>
      </c>
      <c r="O371" s="1">
        <f t="shared" si="37"/>
        <v>-5.2359877468212241</v>
      </c>
      <c r="P371" s="1">
        <f t="shared" si="38"/>
        <v>4.5141083718899573</v>
      </c>
      <c r="R371" s="3">
        <f t="shared" si="33"/>
        <v>-0.29547587971965461</v>
      </c>
      <c r="S371" s="3">
        <f t="shared" si="34"/>
        <v>-1.4706100790161531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</row>
    <row r="372" spans="1:100" x14ac:dyDescent="0.2">
      <c r="A372" s="32"/>
      <c r="F372" s="3"/>
      <c r="G372" s="3"/>
      <c r="H372" s="3"/>
      <c r="M372" s="1">
        <f t="shared" si="35"/>
        <v>11.099999999999955</v>
      </c>
      <c r="N372" s="1">
        <f t="shared" si="36"/>
        <v>3.4259976944104569</v>
      </c>
      <c r="O372" s="1">
        <f t="shared" si="37"/>
        <v>-5.1332078159889107</v>
      </c>
      <c r="P372" s="1">
        <f t="shared" si="38"/>
        <v>4.3601121374102902</v>
      </c>
      <c r="R372" s="3">
        <f t="shared" si="33"/>
        <v>-0.51755358146398212</v>
      </c>
      <c r="S372" s="3">
        <f t="shared" si="34"/>
        <v>-1.4078843312977829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</row>
    <row r="373" spans="1:100" x14ac:dyDescent="0.2">
      <c r="A373" s="32"/>
      <c r="F373" s="3"/>
      <c r="G373" s="3"/>
      <c r="H373" s="3"/>
      <c r="M373" s="1">
        <f t="shared" si="35"/>
        <v>11.129999999999955</v>
      </c>
      <c r="N373" s="1">
        <f t="shared" si="36"/>
        <v>5.6375245180788225</v>
      </c>
      <c r="O373" s="1">
        <f t="shared" si="37"/>
        <v>-4.9640820804465458</v>
      </c>
      <c r="P373" s="1">
        <f t="shared" si="38"/>
        <v>4.211189674996894</v>
      </c>
      <c r="R373" s="3">
        <f t="shared" si="33"/>
        <v>-0.72071652458964652</v>
      </c>
      <c r="S373" s="3">
        <f t="shared" si="34"/>
        <v>-1.3155104299029414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</row>
    <row r="374" spans="1:100" x14ac:dyDescent="0.2">
      <c r="A374" s="32"/>
      <c r="F374" s="3"/>
      <c r="G374" s="3"/>
      <c r="H374" s="3"/>
      <c r="M374" s="1">
        <f t="shared" si="35"/>
        <v>11.159999999999954</v>
      </c>
      <c r="N374" s="1">
        <f t="shared" si="36"/>
        <v>7.6539326331366544</v>
      </c>
      <c r="O374" s="1">
        <f t="shared" si="37"/>
        <v>-4.7344641014524464</v>
      </c>
      <c r="P374" s="1">
        <f t="shared" si="38"/>
        <v>4.0691557519533204</v>
      </c>
      <c r="R374" s="3">
        <f t="shared" si="33"/>
        <v>-0.89967851127759713</v>
      </c>
      <c r="S374" s="3">
        <f t="shared" si="34"/>
        <v>-1.2002410492669071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</row>
    <row r="375" spans="1:100" x14ac:dyDescent="0.2">
      <c r="A375" s="32"/>
      <c r="F375" s="3"/>
      <c r="G375" s="3"/>
      <c r="H375" s="3"/>
      <c r="M375" s="1">
        <f t="shared" si="35"/>
        <v>11.189999999999953</v>
      </c>
      <c r="N375" s="1">
        <f t="shared" si="36"/>
        <v>9.4228868819066935</v>
      </c>
      <c r="O375" s="1">
        <f t="shared" si="37"/>
        <v>-4.4517774949952456</v>
      </c>
      <c r="P375" s="1">
        <f t="shared" si="38"/>
        <v>3.9356024271034631</v>
      </c>
      <c r="R375" s="3">
        <f t="shared" si="33"/>
        <v>-1.0514869638647886</v>
      </c>
      <c r="S375" s="3">
        <f t="shared" si="34"/>
        <v>-1.0697547218042129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</row>
    <row r="376" spans="1:100" x14ac:dyDescent="0.2">
      <c r="A376" s="32"/>
      <c r="F376" s="3"/>
      <c r="G376" s="3"/>
      <c r="H376" s="3"/>
      <c r="M376" s="1">
        <f t="shared" si="35"/>
        <v>11.219999999999953</v>
      </c>
      <c r="N376" s="1">
        <f t="shared" si="36"/>
        <v>10.915529613197457</v>
      </c>
      <c r="O376" s="1">
        <f t="shared" si="37"/>
        <v>-4.1243116065993215</v>
      </c>
      <c r="P376" s="1">
        <f t="shared" si="38"/>
        <v>3.8118730789054833</v>
      </c>
      <c r="R376" s="3">
        <f t="shared" si="33"/>
        <v>-1.1754712423086806</v>
      </c>
      <c r="S376" s="3">
        <f t="shared" si="34"/>
        <v>-0.93180864908267902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</row>
    <row r="377" spans="1:100" x14ac:dyDescent="0.2">
      <c r="A377" s="32"/>
      <c r="F377" s="3"/>
      <c r="G377" s="3"/>
      <c r="H377" s="3"/>
      <c r="M377" s="1">
        <f t="shared" si="35"/>
        <v>11.249999999999952</v>
      </c>
      <c r="N377" s="1">
        <f t="shared" si="36"/>
        <v>12.125900467680745</v>
      </c>
      <c r="O377" s="1">
        <f t="shared" si="37"/>
        <v>-3.7605345925688991</v>
      </c>
      <c r="P377" s="1">
        <f t="shared" si="38"/>
        <v>3.6990570411284165</v>
      </c>
      <c r="R377" s="3">
        <f t="shared" si="33"/>
        <v>-1.2728989024091857</v>
      </c>
      <c r="S377" s="3">
        <f t="shared" si="34"/>
        <v>-0.7935542730308307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</row>
    <row r="378" spans="1:100" x14ac:dyDescent="0.2">
      <c r="A378" s="32"/>
      <c r="F378" s="3"/>
      <c r="G378" s="3"/>
      <c r="H378" s="3"/>
      <c r="M378" s="1">
        <f t="shared" si="35"/>
        <v>11.279999999999951</v>
      </c>
      <c r="N378" s="1">
        <f t="shared" si="36"/>
        <v>13.067437137423058</v>
      </c>
      <c r="O378" s="1">
        <f t="shared" si="37"/>
        <v>-3.3685114784462074</v>
      </c>
      <c r="P378" s="1">
        <f t="shared" si="38"/>
        <v>3.5980016967750301</v>
      </c>
      <c r="R378" s="3">
        <f t="shared" si="33"/>
        <v>-1.3464613729503576</v>
      </c>
      <c r="S378" s="3">
        <f t="shared" si="34"/>
        <v>-0.66109134856889351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</row>
    <row r="379" spans="1:100" x14ac:dyDescent="0.2">
      <c r="A379" s="32"/>
      <c r="F379" s="3"/>
      <c r="G379" s="3"/>
      <c r="H379" s="3"/>
      <c r="M379" s="1">
        <f t="shared" si="35"/>
        <v>11.309999999999951</v>
      </c>
      <c r="N379" s="1">
        <f t="shared" si="36"/>
        <v>13.767779762563734</v>
      </c>
      <c r="O379" s="1">
        <f t="shared" si="37"/>
        <v>-2.9554780855692955</v>
      </c>
      <c r="P379" s="1">
        <f t="shared" si="38"/>
        <v>3.5093373542079513</v>
      </c>
      <c r="R379" s="3">
        <f t="shared" si="33"/>
        <v>-1.3997107873386845</v>
      </c>
      <c r="S379" s="3">
        <f t="shared" si="34"/>
        <v>-0.53926775520859771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</row>
    <row r="380" spans="1:100" x14ac:dyDescent="0.2">
      <c r="A380" s="32"/>
      <c r="F380" s="3"/>
      <c r="G380" s="3"/>
      <c r="H380" s="3"/>
      <c r="M380" s="1">
        <f t="shared" si="35"/>
        <v>11.33999999999995</v>
      </c>
      <c r="N380" s="1">
        <f t="shared" si="36"/>
        <v>14.263100901088082</v>
      </c>
      <c r="O380" s="1">
        <f t="shared" si="37"/>
        <v>-2.5275850585366531</v>
      </c>
      <c r="P380" s="1">
        <f t="shared" si="38"/>
        <v>3.4335098024518516</v>
      </c>
      <c r="R380" s="3">
        <f t="shared" si="33"/>
        <v>-1.4365408528090411</v>
      </c>
      <c r="S380" s="3">
        <f t="shared" si="34"/>
        <v>-0.43168319194829974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</row>
    <row r="381" spans="1:100" x14ac:dyDescent="0.2">
      <c r="A381" s="32"/>
      <c r="F381" s="3"/>
      <c r="G381" s="3"/>
      <c r="H381" s="3"/>
      <c r="M381" s="1">
        <f t="shared" si="35"/>
        <v>11.369999999999949</v>
      </c>
      <c r="N381" s="1">
        <f t="shared" si="36"/>
        <v>14.592891183358709</v>
      </c>
      <c r="O381" s="1">
        <f t="shared" si="37"/>
        <v>-2.0897983230358919</v>
      </c>
      <c r="P381" s="1">
        <f t="shared" si="38"/>
        <v>3.3708158527607748</v>
      </c>
      <c r="R381" s="3">
        <f t="shared" si="33"/>
        <v>-1.4607647915283013</v>
      </c>
      <c r="S381" s="3">
        <f t="shared" si="34"/>
        <v>-0.34083166494807748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</row>
    <row r="382" spans="1:100" x14ac:dyDescent="0.2">
      <c r="A382" s="32"/>
      <c r="F382" s="3"/>
      <c r="G382" s="3"/>
      <c r="H382" s="3"/>
      <c r="M382" s="1">
        <f t="shared" si="35"/>
        <v>11.399999999999949</v>
      </c>
      <c r="N382" s="1">
        <f t="shared" si="36"/>
        <v>14.795729764356242</v>
      </c>
      <c r="O382" s="1">
        <f t="shared" si="37"/>
        <v>-1.6459264301052046</v>
      </c>
      <c r="P382" s="1">
        <f t="shared" si="38"/>
        <v>3.3214380598576185</v>
      </c>
      <c r="R382" s="3">
        <f t="shared" si="33"/>
        <v>-1.475807036822081</v>
      </c>
      <c r="S382" s="3">
        <f t="shared" si="34"/>
        <v>-0.26831621282812734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</row>
    <row r="383" spans="1:100" x14ac:dyDescent="0.2">
      <c r="A383" s="32"/>
      <c r="F383" s="3"/>
      <c r="G383" s="3"/>
      <c r="H383" s="3"/>
      <c r="M383" s="1">
        <f t="shared" si="35"/>
        <v>11.429999999999948</v>
      </c>
      <c r="N383" s="1">
        <f t="shared" si="36"/>
        <v>14.906203746930279</v>
      </c>
      <c r="O383" s="1">
        <f t="shared" si="37"/>
        <v>-1.1987403176972962</v>
      </c>
      <c r="P383" s="1">
        <f t="shared" si="38"/>
        <v>3.2854758503266996</v>
      </c>
      <c r="R383" s="3">
        <f t="shared" si="33"/>
        <v>-1.4844999875632801</v>
      </c>
      <c r="S383" s="3">
        <f t="shared" si="34"/>
        <v>-0.21508088461000319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</row>
    <row r="384" spans="1:100" x14ac:dyDescent="0.2">
      <c r="A384" s="32"/>
      <c r="F384" s="3"/>
      <c r="G384" s="3"/>
      <c r="H384" s="3"/>
      <c r="M384" s="1">
        <f t="shared" si="35"/>
        <v>11.459999999999948</v>
      </c>
      <c r="N384" s="1">
        <f t="shared" si="36"/>
        <v>14.952886504225559</v>
      </c>
      <c r="O384" s="1">
        <f t="shared" si="37"/>
        <v>-0.75015372257052948</v>
      </c>
      <c r="P384" s="1">
        <f t="shared" si="38"/>
        <v>3.2629712386495839</v>
      </c>
      <c r="R384" s="3">
        <f t="shared" si="33"/>
        <v>-1.4889639885465682</v>
      </c>
      <c r="S384" s="3">
        <f t="shared" si="34"/>
        <v>-0.18162114637754914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</row>
    <row r="385" spans="1:100" x14ac:dyDescent="0.2">
      <c r="A385" s="32"/>
      <c r="F385" s="3"/>
      <c r="G385" s="3"/>
      <c r="H385" s="3"/>
      <c r="M385" s="1">
        <f t="shared" si="35"/>
        <v>11.489999999999947</v>
      </c>
      <c r="N385" s="1">
        <f t="shared" si="36"/>
        <v>14.957153720497029</v>
      </c>
      <c r="O385" s="1">
        <f t="shared" si="37"/>
        <v>-0.30143911095561865</v>
      </c>
      <c r="P385" s="1">
        <f t="shared" si="38"/>
        <v>3.2539280653209155</v>
      </c>
      <c r="R385" s="3">
        <f t="shared" si="33"/>
        <v>-1.4905455151013633</v>
      </c>
      <c r="S385" s="3">
        <f t="shared" si="34"/>
        <v>-0.16814894412755493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</row>
    <row r="386" spans="1:100" x14ac:dyDescent="0.2">
      <c r="A386" s="32"/>
      <c r="F386" s="3"/>
      <c r="G386" s="3"/>
      <c r="H386" s="3"/>
      <c r="M386" s="1">
        <f t="shared" si="35"/>
        <v>11.519999999999946</v>
      </c>
      <c r="N386" s="1">
        <f t="shared" si="36"/>
        <v>14.932584670999637</v>
      </c>
      <c r="O386" s="1">
        <f t="shared" si="37"/>
        <v>0.14653842917437043</v>
      </c>
      <c r="P386" s="1">
        <f t="shared" si="38"/>
        <v>3.2583242181961465</v>
      </c>
      <c r="R386" s="3">
        <f t="shared" ref="R386:R449" si="39">$B$3*COS(P386)</f>
        <v>-1.4897919057807418</v>
      </c>
      <c r="S386" s="3">
        <f t="shared" ref="S386:S449" si="40">$B$3*SIN(P386)</f>
        <v>-0.17469996413904815</v>
      </c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</row>
    <row r="387" spans="1:100" x14ac:dyDescent="0.2">
      <c r="A387" s="32"/>
      <c r="F387" s="3"/>
      <c r="G387" s="3"/>
      <c r="H387" s="3"/>
      <c r="M387" s="1">
        <f t="shared" ref="M387:M450" si="41">M386+B$13</f>
        <v>11.549999999999946</v>
      </c>
      <c r="N387" s="1">
        <f t="shared" ref="N387:N450" si="42">-$B$12*$B$3*COS(P386)-B$10*O386</f>
        <v>14.884730599181726</v>
      </c>
      <c r="O387" s="1">
        <f t="shared" ref="O387:O450" si="43">N387*$B$13+O386</f>
        <v>0.59308034714982227</v>
      </c>
      <c r="P387" s="1">
        <f t="shared" ref="P387:P450" si="44">O387*$B$13+P386</f>
        <v>3.2761166286106413</v>
      </c>
      <c r="R387" s="3">
        <f t="shared" si="39"/>
        <v>-1.4864479309246643</v>
      </c>
      <c r="S387" s="3">
        <f t="shared" si="40"/>
        <v>-0.20117790298585075</v>
      </c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</row>
    <row r="388" spans="1:100" x14ac:dyDescent="0.2">
      <c r="A388" s="32"/>
      <c r="F388" s="3"/>
      <c r="G388" s="3"/>
      <c r="H388" s="3"/>
      <c r="M388" s="1">
        <f t="shared" si="41"/>
        <v>11.579999999999945</v>
      </c>
      <c r="N388" s="1">
        <f t="shared" si="42"/>
        <v>14.811102078003158</v>
      </c>
      <c r="O388" s="1">
        <f t="shared" si="43"/>
        <v>1.037413409489917</v>
      </c>
      <c r="P388" s="1">
        <f t="shared" si="44"/>
        <v>3.3072390308953388</v>
      </c>
      <c r="R388" s="3">
        <f t="shared" si="39"/>
        <v>-1.4794679704650484</v>
      </c>
      <c r="S388" s="3">
        <f t="shared" si="40"/>
        <v>-0.24733484260821564</v>
      </c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</row>
    <row r="389" spans="1:100" x14ac:dyDescent="0.2">
      <c r="A389" s="32"/>
      <c r="F389" s="3"/>
      <c r="G389" s="3"/>
      <c r="H389" s="3"/>
      <c r="M389" s="1">
        <f t="shared" si="41"/>
        <v>11.609999999999944</v>
      </c>
      <c r="N389" s="1">
        <f t="shared" si="42"/>
        <v>14.70131249779639</v>
      </c>
      <c r="O389" s="1">
        <f t="shared" si="43"/>
        <v>1.4784527844238087</v>
      </c>
      <c r="P389" s="1">
        <f t="shared" si="44"/>
        <v>3.351592614428053</v>
      </c>
      <c r="R389" s="3">
        <f t="shared" si="39"/>
        <v>-1.4670463843316999</v>
      </c>
      <c r="S389" s="3">
        <f t="shared" si="40"/>
        <v>-0.31268979231706018</v>
      </c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</row>
    <row r="390" spans="1:100" x14ac:dyDescent="0.2">
      <c r="A390" s="32"/>
      <c r="F390" s="3"/>
      <c r="G390" s="3"/>
      <c r="H390" s="3"/>
      <c r="M390" s="1">
        <f t="shared" si="41"/>
        <v>11.639999999999944</v>
      </c>
      <c r="N390" s="1">
        <f t="shared" si="42"/>
        <v>14.537403092718856</v>
      </c>
      <c r="O390" s="1">
        <f t="shared" si="43"/>
        <v>1.9145748772053743</v>
      </c>
      <c r="P390" s="1">
        <f t="shared" si="44"/>
        <v>3.4090298607442144</v>
      </c>
      <c r="R390" s="3">
        <f t="shared" si="39"/>
        <v>-1.4466769620871369</v>
      </c>
      <c r="S390" s="3">
        <f t="shared" si="40"/>
        <v>-0.39639092745209525</v>
      </c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</row>
    <row r="391" spans="1:100" x14ac:dyDescent="0.2">
      <c r="A391" s="32"/>
      <c r="F391" s="3"/>
      <c r="G391" s="3"/>
      <c r="H391" s="3"/>
      <c r="M391" s="1">
        <f t="shared" si="41"/>
        <v>11.669999999999943</v>
      </c>
      <c r="N391" s="1">
        <f t="shared" si="42"/>
        <v>14.294457881922886</v>
      </c>
      <c r="O391" s="1">
        <f t="shared" si="43"/>
        <v>2.343408613663061</v>
      </c>
      <c r="P391" s="1">
        <f t="shared" si="44"/>
        <v>3.4793321191541065</v>
      </c>
      <c r="R391" s="3">
        <f t="shared" si="39"/>
        <v>-1.4152591727959396</v>
      </c>
      <c r="S391" s="3">
        <f t="shared" si="40"/>
        <v>-0.49703266876227842</v>
      </c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</row>
    <row r="392" spans="1:100" x14ac:dyDescent="0.2">
      <c r="A392" s="32"/>
      <c r="F392" s="3"/>
      <c r="G392" s="3"/>
      <c r="H392" s="3"/>
      <c r="M392" s="1">
        <f t="shared" si="41"/>
        <v>11.699999999999942</v>
      </c>
      <c r="N392" s="1">
        <f t="shared" si="42"/>
        <v>13.941684952729721</v>
      </c>
      <c r="O392" s="1">
        <f t="shared" si="43"/>
        <v>2.7616591622449524</v>
      </c>
      <c r="P392" s="1">
        <f t="shared" si="44"/>
        <v>3.5621818940214549</v>
      </c>
      <c r="R392" s="3">
        <f t="shared" si="39"/>
        <v>-1.3692727692999664</v>
      </c>
      <c r="S392" s="3">
        <f t="shared" si="40"/>
        <v>-0.61244761674252668</v>
      </c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</row>
    <row r="393" spans="1:100" x14ac:dyDescent="0.2">
      <c r="A393" s="32"/>
      <c r="F393" s="3"/>
      <c r="G393" s="3"/>
      <c r="H393" s="3"/>
      <c r="M393" s="1">
        <f t="shared" si="41"/>
        <v>11.729999999999942</v>
      </c>
      <c r="N393" s="1">
        <f t="shared" si="42"/>
        <v>13.444178368397619</v>
      </c>
      <c r="O393" s="1">
        <f t="shared" si="43"/>
        <v>3.164984513296881</v>
      </c>
      <c r="P393" s="1">
        <f t="shared" si="44"/>
        <v>3.6571314294203612</v>
      </c>
      <c r="R393" s="3">
        <f t="shared" si="39"/>
        <v>-1.3050408451867668</v>
      </c>
      <c r="S393" s="3">
        <f t="shared" si="40"/>
        <v>-0.7395055053170394</v>
      </c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</row>
    <row r="394" spans="1:100" x14ac:dyDescent="0.2">
      <c r="A394" s="32"/>
      <c r="F394" s="3"/>
      <c r="G394" s="3"/>
      <c r="H394" s="3"/>
      <c r="M394" s="1">
        <f t="shared" si="41"/>
        <v>11.759999999999941</v>
      </c>
      <c r="N394" s="1">
        <f t="shared" si="42"/>
        <v>12.765559845670946</v>
      </c>
      <c r="O394" s="1">
        <f t="shared" si="43"/>
        <v>3.5479513086670096</v>
      </c>
      <c r="P394" s="1">
        <f t="shared" si="44"/>
        <v>3.7635699686803714</v>
      </c>
      <c r="R394" s="3">
        <f t="shared" si="39"/>
        <v>-1.2190919651697105</v>
      </c>
      <c r="S394" s="3">
        <f t="shared" si="40"/>
        <v>-0.87396497667735717</v>
      </c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</row>
    <row r="395" spans="1:100" x14ac:dyDescent="0.2">
      <c r="A395" s="32"/>
      <c r="F395" s="3"/>
      <c r="G395" s="3"/>
      <c r="H395" s="3"/>
      <c r="M395" s="1">
        <f t="shared" si="41"/>
        <v>11.789999999999941</v>
      </c>
      <c r="N395" s="1">
        <f t="shared" si="42"/>
        <v>11.871604033917073</v>
      </c>
      <c r="O395" s="1">
        <f t="shared" si="43"/>
        <v>3.9040994296845217</v>
      </c>
      <c r="P395" s="1">
        <f t="shared" si="44"/>
        <v>3.8806929515709072</v>
      </c>
      <c r="R395" s="3">
        <f t="shared" si="39"/>
        <v>-1.108612376942117</v>
      </c>
      <c r="S395" s="3">
        <f t="shared" si="40"/>
        <v>-1.0104348557382359</v>
      </c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</row>
    <row r="396" spans="1:100" x14ac:dyDescent="0.2">
      <c r="A396" s="32"/>
      <c r="F396" s="3"/>
      <c r="G396" s="3"/>
      <c r="H396" s="3"/>
      <c r="M396" s="1">
        <f t="shared" si="41"/>
        <v>11.81999999999994</v>
      </c>
      <c r="N396" s="1">
        <f t="shared" si="42"/>
        <v>10.734754820749565</v>
      </c>
      <c r="O396" s="1">
        <f t="shared" si="43"/>
        <v>4.2261420743070088</v>
      </c>
      <c r="P396" s="1">
        <f t="shared" si="44"/>
        <v>4.0074772138001178</v>
      </c>
      <c r="R396" s="3">
        <f t="shared" si="39"/>
        <v>-0.9719499411371062</v>
      </c>
      <c r="S396" s="3">
        <f t="shared" si="40"/>
        <v>-1.1425030905531834</v>
      </c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</row>
    <row r="397" spans="1:100" x14ac:dyDescent="0.2">
      <c r="A397" s="32"/>
      <c r="F397" s="3"/>
      <c r="G397" s="3"/>
      <c r="H397" s="3"/>
      <c r="M397" s="1">
        <f t="shared" si="41"/>
        <v>11.849999999999939</v>
      </c>
      <c r="N397" s="1">
        <f t="shared" si="42"/>
        <v>9.3391466246834298</v>
      </c>
      <c r="O397" s="1">
        <f t="shared" si="43"/>
        <v>4.5063164730475114</v>
      </c>
      <c r="P397" s="1">
        <f t="shared" si="44"/>
        <v>4.1426667079915429</v>
      </c>
      <c r="R397" s="3">
        <f t="shared" si="39"/>
        <v>-0.80909731317347733</v>
      </c>
      <c r="S397" s="3">
        <f t="shared" si="40"/>
        <v>-1.2630762201132042</v>
      </c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</row>
    <row r="398" spans="1:100" x14ac:dyDescent="0.2">
      <c r="A398" s="32"/>
      <c r="F398" s="3"/>
      <c r="G398" s="3"/>
      <c r="H398" s="3"/>
      <c r="M398" s="1">
        <f t="shared" si="41"/>
        <v>11.879999999999939</v>
      </c>
      <c r="N398" s="1">
        <f t="shared" si="42"/>
        <v>7.6854046491604979</v>
      </c>
      <c r="O398" s="1">
        <f t="shared" si="43"/>
        <v>4.7368786125223261</v>
      </c>
      <c r="P398" s="1">
        <f t="shared" si="44"/>
        <v>4.2847730663672126</v>
      </c>
      <c r="R398" s="3">
        <f t="shared" si="39"/>
        <v>-0.62205385089204979</v>
      </c>
      <c r="S398" s="3">
        <f t="shared" si="40"/>
        <v>-1.3649355320271985</v>
      </c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</row>
    <row r="399" spans="1:100" x14ac:dyDescent="0.2">
      <c r="A399" s="32"/>
      <c r="F399" s="3"/>
      <c r="G399" s="3"/>
      <c r="H399" s="3"/>
      <c r="M399" s="1">
        <f t="shared" si="41"/>
        <v>11.909999999999938</v>
      </c>
      <c r="N399" s="1">
        <f t="shared" si="42"/>
        <v>5.7942194337934882</v>
      </c>
      <c r="O399" s="1">
        <f t="shared" si="43"/>
        <v>4.9107051955361305</v>
      </c>
      <c r="P399" s="1">
        <f t="shared" si="44"/>
        <v>4.4320942222332969</v>
      </c>
      <c r="R399" s="3">
        <f t="shared" si="39"/>
        <v>-0.41495837321876694</v>
      </c>
      <c r="S399" s="3">
        <f t="shared" si="40"/>
        <v>-1.4414609077237004</v>
      </c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</row>
    <row r="400" spans="1:100" x14ac:dyDescent="0.2">
      <c r="A400" s="32"/>
      <c r="F400" s="3"/>
      <c r="G400" s="3"/>
      <c r="H400" s="3"/>
      <c r="M400" s="1">
        <f t="shared" si="41"/>
        <v>11.939999999999937</v>
      </c>
      <c r="N400" s="1">
        <f t="shared" si="42"/>
        <v>3.7076202645894178</v>
      </c>
      <c r="O400" s="1">
        <f t="shared" si="43"/>
        <v>5.0219338034738135</v>
      </c>
      <c r="P400" s="1">
        <f t="shared" si="44"/>
        <v>4.5827522363375115</v>
      </c>
      <c r="R400" s="3">
        <f t="shared" si="39"/>
        <v>-0.19391091497130616</v>
      </c>
      <c r="S400" s="3">
        <f t="shared" si="40"/>
        <v>-1.4874133780005445</v>
      </c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</row>
    <row r="401" spans="1:100" x14ac:dyDescent="0.2">
      <c r="A401" s="32"/>
      <c r="F401" s="3"/>
      <c r="G401" s="3"/>
      <c r="H401" s="3"/>
      <c r="M401" s="1">
        <f t="shared" si="41"/>
        <v>11.969999999999937</v>
      </c>
      <c r="N401" s="1">
        <f t="shared" si="42"/>
        <v>1.4871351074004184</v>
      </c>
      <c r="O401" s="1">
        <f t="shared" si="43"/>
        <v>5.0665478566958262</v>
      </c>
      <c r="P401" s="1">
        <f t="shared" si="44"/>
        <v>4.7347486720383865</v>
      </c>
      <c r="R401" s="3">
        <f t="shared" si="39"/>
        <v>3.3536742835962988E-2</v>
      </c>
      <c r="S401" s="3">
        <f t="shared" si="40"/>
        <v>-1.4996250487638416</v>
      </c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</row>
    <row r="402" spans="1:100" x14ac:dyDescent="0.2">
      <c r="A402" s="32"/>
      <c r="F402" s="3"/>
      <c r="G402" s="3"/>
      <c r="H402" s="3"/>
      <c r="M402" s="1">
        <f t="shared" si="41"/>
        <v>11.999999999999936</v>
      </c>
      <c r="N402" s="1">
        <f t="shared" si="42"/>
        <v>-0.79135673546225416</v>
      </c>
      <c r="O402" s="1">
        <f t="shared" si="43"/>
        <v>5.0428071546319586</v>
      </c>
      <c r="P402" s="1">
        <f t="shared" si="44"/>
        <v>4.886032886677345</v>
      </c>
      <c r="R402" s="3">
        <f t="shared" si="39"/>
        <v>0.25915889467271069</v>
      </c>
      <c r="S402" s="3">
        <f t="shared" si="40"/>
        <v>-1.477442610496942</v>
      </c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</row>
    <row r="403" spans="1:100" x14ac:dyDescent="0.2">
      <c r="A403" s="32"/>
      <c r="F403" s="3"/>
      <c r="G403" s="3"/>
      <c r="H403" s="3"/>
      <c r="M403" s="1">
        <f t="shared" si="41"/>
        <v>12.029999999999935</v>
      </c>
      <c r="N403" s="1">
        <f t="shared" si="42"/>
        <v>-3.0454415906439833</v>
      </c>
      <c r="O403" s="1">
        <f t="shared" si="43"/>
        <v>4.9514439069126395</v>
      </c>
      <c r="P403" s="1">
        <f t="shared" si="44"/>
        <v>5.0345762038847246</v>
      </c>
      <c r="R403" s="3">
        <f t="shared" si="39"/>
        <v>0.47496299480954418</v>
      </c>
      <c r="S403" s="3">
        <f t="shared" si="40"/>
        <v>-1.4228176810686424</v>
      </c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</row>
    <row r="404" spans="1:100" x14ac:dyDescent="0.2">
      <c r="A404" s="32"/>
      <c r="F404" s="3"/>
      <c r="G404" s="3"/>
      <c r="H404" s="3"/>
      <c r="M404" s="1">
        <f t="shared" si="41"/>
        <v>12.059999999999935</v>
      </c>
      <c r="N404" s="1">
        <f t="shared" si="42"/>
        <v>-5.1952598997175796</v>
      </c>
      <c r="O404" s="1">
        <f t="shared" si="43"/>
        <v>4.7955861099211123</v>
      </c>
      <c r="P404" s="1">
        <f t="shared" si="44"/>
        <v>5.1784437871823581</v>
      </c>
      <c r="R404" s="3">
        <f t="shared" si="39"/>
        <v>0.67404804130894458</v>
      </c>
      <c r="S404" s="3">
        <f t="shared" si="40"/>
        <v>-1.3400221035518687</v>
      </c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</row>
    <row r="405" spans="1:100" x14ac:dyDescent="0.2">
      <c r="A405" s="32"/>
      <c r="F405" s="3"/>
      <c r="G405" s="3"/>
      <c r="H405" s="3"/>
      <c r="M405" s="1">
        <f t="shared" si="41"/>
        <v>12.089999999999934</v>
      </c>
      <c r="N405" s="1">
        <f t="shared" si="42"/>
        <v>-7.1720831629823465</v>
      </c>
      <c r="O405" s="1">
        <f t="shared" si="43"/>
        <v>4.5804236150316422</v>
      </c>
      <c r="P405" s="1">
        <f t="shared" si="44"/>
        <v>5.315856495633307</v>
      </c>
      <c r="R405" s="3">
        <f t="shared" si="39"/>
        <v>0.85125140543734035</v>
      </c>
      <c r="S405" s="3">
        <f t="shared" si="40"/>
        <v>-1.2350591260101487</v>
      </c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</row>
    <row r="406" spans="1:100" x14ac:dyDescent="0.2">
      <c r="A406" s="32"/>
      <c r="F406" s="3"/>
      <c r="G406" s="3"/>
      <c r="H406" s="3"/>
      <c r="M406" s="1">
        <f t="shared" si="41"/>
        <v>12.119999999999933</v>
      </c>
      <c r="N406" s="1">
        <f t="shared" si="42"/>
        <v>-8.9247521797262515</v>
      </c>
      <c r="O406" s="1">
        <f t="shared" si="43"/>
        <v>4.3126810496398544</v>
      </c>
      <c r="P406" s="1">
        <f t="shared" si="44"/>
        <v>5.4452369271225027</v>
      </c>
      <c r="R406" s="3">
        <f t="shared" si="39"/>
        <v>1.0034837170824726</v>
      </c>
      <c r="S406" s="3">
        <f t="shared" si="40"/>
        <v>-1.1149082605983076</v>
      </c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</row>
    <row r="407" spans="1:100" x14ac:dyDescent="0.2">
      <c r="A407" s="32"/>
      <c r="F407" s="3"/>
      <c r="G407" s="3"/>
      <c r="H407" s="3"/>
      <c r="M407" s="1">
        <f t="shared" si="41"/>
        <v>12.149999999999933</v>
      </c>
      <c r="N407" s="1">
        <f t="shared" si="42"/>
        <v>-10.422978465292315</v>
      </c>
      <c r="O407" s="1">
        <f t="shared" si="43"/>
        <v>3.9999916956810848</v>
      </c>
      <c r="P407" s="1">
        <f t="shared" si="44"/>
        <v>5.5652366779929352</v>
      </c>
      <c r="R407" s="3">
        <f t="shared" si="39"/>
        <v>1.1297351832276394</v>
      </c>
      <c r="S407" s="3">
        <f t="shared" si="40"/>
        <v>-0.98676158000684855</v>
      </c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</row>
    <row r="408" spans="1:100" x14ac:dyDescent="0.2">
      <c r="A408" s="32"/>
      <c r="F408" s="3"/>
      <c r="G408" s="3"/>
      <c r="H408" s="3"/>
      <c r="M408" s="1">
        <f t="shared" si="41"/>
        <v>12.179999999999932</v>
      </c>
      <c r="N408" s="1">
        <f t="shared" si="42"/>
        <v>-11.657351084887692</v>
      </c>
      <c r="O408" s="1">
        <f t="shared" si="43"/>
        <v>3.650271163134454</v>
      </c>
      <c r="P408" s="1">
        <f t="shared" si="44"/>
        <v>5.6747448128869689</v>
      </c>
      <c r="R408" s="3">
        <f t="shared" si="39"/>
        <v>1.230810616262058</v>
      </c>
      <c r="S408" s="3">
        <f t="shared" si="40"/>
        <v>-0.85738277735012458</v>
      </c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</row>
    <row r="409" spans="1:100" x14ac:dyDescent="0.2">
      <c r="A409" s="32"/>
      <c r="F409" s="3"/>
      <c r="G409" s="3"/>
      <c r="H409" s="3"/>
      <c r="M409" s="1">
        <f t="shared" si="41"/>
        <v>12.209999999999932</v>
      </c>
      <c r="N409" s="1">
        <f t="shared" si="42"/>
        <v>-12.63663056730268</v>
      </c>
      <c r="O409" s="1">
        <f t="shared" si="43"/>
        <v>3.2711722461153734</v>
      </c>
      <c r="P409" s="1">
        <f t="shared" si="44"/>
        <v>5.7728799802704298</v>
      </c>
      <c r="R409" s="3">
        <f t="shared" si="39"/>
        <v>1.3088931199763425</v>
      </c>
      <c r="S409" s="3">
        <f t="shared" si="40"/>
        <v>-0.73266554476008783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</row>
    <row r="410" spans="1:100" x14ac:dyDescent="0.2">
      <c r="A410" s="32"/>
      <c r="F410" s="3"/>
      <c r="G410" s="3"/>
      <c r="H410" s="3"/>
      <c r="M410" s="1">
        <f t="shared" si="41"/>
        <v>12.239999999999931</v>
      </c>
      <c r="N410" s="1">
        <f t="shared" si="42"/>
        <v>-13.383336701913807</v>
      </c>
      <c r="O410" s="1">
        <f t="shared" si="43"/>
        <v>2.869672145057959</v>
      </c>
      <c r="P410" s="1">
        <f t="shared" si="44"/>
        <v>5.8589701446221687</v>
      </c>
      <c r="R410" s="3">
        <f t="shared" si="39"/>
        <v>1.3670430856837725</v>
      </c>
      <c r="S410" s="3">
        <f t="shared" si="40"/>
        <v>-0.61740845627849117</v>
      </c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</row>
    <row r="411" spans="1:100" x14ac:dyDescent="0.2">
      <c r="A411" s="32"/>
      <c r="F411" s="3"/>
      <c r="G411" s="3"/>
      <c r="H411" s="3"/>
      <c r="M411" s="1">
        <f t="shared" si="41"/>
        <v>12.26999999999993</v>
      </c>
      <c r="N411" s="1">
        <f t="shared" si="42"/>
        <v>-13.928701349892942</v>
      </c>
      <c r="O411" s="1">
        <f t="shared" si="43"/>
        <v>2.4518111045611706</v>
      </c>
      <c r="P411" s="1">
        <f t="shared" si="44"/>
        <v>5.9325244777590038</v>
      </c>
      <c r="R411" s="3">
        <f t="shared" si="39"/>
        <v>1.4087188661917946</v>
      </c>
      <c r="S411" s="3">
        <f t="shared" si="40"/>
        <v>-0.51527774649726987</v>
      </c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</row>
    <row r="412" spans="1:100" x14ac:dyDescent="0.2">
      <c r="A412" s="32"/>
      <c r="F412" s="3"/>
      <c r="G412" s="3"/>
      <c r="H412" s="3"/>
      <c r="M412" s="1">
        <f t="shared" si="41"/>
        <v>12.29999999999993</v>
      </c>
      <c r="N412" s="1">
        <f t="shared" si="42"/>
        <v>-14.307851661328451</v>
      </c>
      <c r="O412" s="1">
        <f t="shared" si="43"/>
        <v>2.0225755547213171</v>
      </c>
      <c r="P412" s="1">
        <f t="shared" si="44"/>
        <v>5.9932017444006433</v>
      </c>
      <c r="R412" s="3">
        <f t="shared" si="39"/>
        <v>1.4373728634647738</v>
      </c>
      <c r="S412" s="3">
        <f t="shared" si="40"/>
        <v>-0.42890471129969765</v>
      </c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</row>
    <row r="413" spans="1:100" x14ac:dyDescent="0.2">
      <c r="A413" s="32"/>
      <c r="F413" s="3"/>
      <c r="G413" s="3"/>
      <c r="H413" s="3"/>
      <c r="M413" s="1">
        <f t="shared" si="41"/>
        <v>12.329999999999929</v>
      </c>
      <c r="N413" s="1">
        <f t="shared" si="42"/>
        <v>-14.555760434572655</v>
      </c>
      <c r="O413" s="1">
        <f t="shared" si="43"/>
        <v>1.5859027416841376</v>
      </c>
      <c r="P413" s="1">
        <f t="shared" si="44"/>
        <v>6.0407788266511675</v>
      </c>
      <c r="R413" s="3">
        <f t="shared" si="39"/>
        <v>1.4561447041233102</v>
      </c>
      <c r="S413" s="3">
        <f t="shared" si="40"/>
        <v>-0.36005916271307076</v>
      </c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</row>
    <row r="414" spans="1:100" x14ac:dyDescent="0.2">
      <c r="A414" s="32"/>
      <c r="F414" s="3"/>
      <c r="G414" s="3"/>
      <c r="H414" s="3"/>
      <c r="M414" s="1">
        <f t="shared" si="41"/>
        <v>12.359999999999928</v>
      </c>
      <c r="N414" s="1">
        <f t="shared" si="42"/>
        <v>-14.704178287984673</v>
      </c>
      <c r="O414" s="1">
        <f t="shared" si="43"/>
        <v>1.1447773930445975</v>
      </c>
      <c r="P414" s="1">
        <f t="shared" si="44"/>
        <v>6.0751221484425058</v>
      </c>
      <c r="R414" s="3">
        <f t="shared" si="39"/>
        <v>1.4676492506067607</v>
      </c>
      <c r="S414" s="3">
        <f t="shared" si="40"/>
        <v>-0.30984782909262698</v>
      </c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</row>
    <row r="415" spans="1:100" x14ac:dyDescent="0.2">
      <c r="A415" s="32"/>
      <c r="F415" s="3"/>
      <c r="G415" s="3"/>
      <c r="H415" s="3"/>
      <c r="M415" s="1">
        <f t="shared" si="41"/>
        <v>12.389999999999928</v>
      </c>
      <c r="N415" s="1">
        <f t="shared" si="42"/>
        <v>-14.779522471441618</v>
      </c>
      <c r="O415" s="1">
        <f t="shared" si="43"/>
        <v>0.70139171890134899</v>
      </c>
      <c r="P415" s="1">
        <f t="shared" si="44"/>
        <v>6.0961639000095467</v>
      </c>
      <c r="R415" s="3">
        <f t="shared" si="39"/>
        <v>1.4738436177913021</v>
      </c>
      <c r="S415" s="3">
        <f t="shared" si="40"/>
        <v>-0.27889960612350473</v>
      </c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</row>
    <row r="416" spans="1:100" x14ac:dyDescent="0.2">
      <c r="A416" s="32"/>
      <c r="F416" s="3"/>
      <c r="G416" s="3"/>
      <c r="H416" s="3"/>
      <c r="M416" s="1">
        <f t="shared" si="41"/>
        <v>12.419999999999927</v>
      </c>
      <c r="N416" s="1">
        <f t="shared" si="42"/>
        <v>-14.801561432614143</v>
      </c>
      <c r="O416" s="1">
        <f t="shared" si="43"/>
        <v>0.25734487592292471</v>
      </c>
      <c r="P416" s="1">
        <f t="shared" si="44"/>
        <v>6.103884246287234</v>
      </c>
      <c r="R416" s="3">
        <f t="shared" si="39"/>
        <v>1.4759528748549062</v>
      </c>
      <c r="S416" s="3">
        <f t="shared" si="40"/>
        <v>-0.26751282437957585</v>
      </c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</row>
    <row r="417" spans="1:100" x14ac:dyDescent="0.2">
      <c r="A417" s="32"/>
      <c r="F417" s="3"/>
      <c r="G417" s="3"/>
      <c r="H417" s="3"/>
      <c r="M417" s="1">
        <f t="shared" si="41"/>
        <v>12.449999999999926</v>
      </c>
      <c r="N417" s="1">
        <f t="shared" si="42"/>
        <v>-14.782689787382123</v>
      </c>
      <c r="O417" s="1">
        <f t="shared" si="43"/>
        <v>-0.18613581769853899</v>
      </c>
      <c r="P417" s="1">
        <f t="shared" si="44"/>
        <v>6.0983001717562777</v>
      </c>
      <c r="R417" s="3">
        <f t="shared" si="39"/>
        <v>1.4744360596297883</v>
      </c>
      <c r="S417" s="3">
        <f t="shared" si="40"/>
        <v>-0.27575044163769447</v>
      </c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</row>
    <row r="418" spans="1:100" x14ac:dyDescent="0.2">
      <c r="A418" s="32"/>
      <c r="F418" s="3"/>
      <c r="G418" s="3"/>
      <c r="H418" s="3"/>
      <c r="M418" s="1">
        <f t="shared" si="41"/>
        <v>12.479999999999926</v>
      </c>
      <c r="N418" s="1">
        <f t="shared" si="42"/>
        <v>-14.727608372705014</v>
      </c>
      <c r="O418" s="1">
        <f t="shared" si="43"/>
        <v>-0.62796406887968936</v>
      </c>
      <c r="P418" s="1">
        <f t="shared" si="44"/>
        <v>6.0794612496898868</v>
      </c>
      <c r="R418" s="3">
        <f t="shared" si="39"/>
        <v>1.4689798912082699</v>
      </c>
      <c r="S418" s="3">
        <f t="shared" si="40"/>
        <v>-0.30347665351018321</v>
      </c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</row>
    <row r="419" spans="1:100" x14ac:dyDescent="0.2">
      <c r="A419" s="32"/>
      <c r="F419" s="3"/>
      <c r="G419" s="3"/>
      <c r="H419" s="3"/>
      <c r="M419" s="1">
        <f t="shared" si="41"/>
        <v>12.509999999999925</v>
      </c>
      <c r="N419" s="1">
        <f t="shared" si="42"/>
        <v>-14.633282145883527</v>
      </c>
      <c r="O419" s="1">
        <f t="shared" si="43"/>
        <v>-1.0669625332561952</v>
      </c>
      <c r="P419" s="1">
        <f t="shared" si="44"/>
        <v>6.0474523736922006</v>
      </c>
      <c r="R419" s="3">
        <f t="shared" si="39"/>
        <v>1.4585151325699974</v>
      </c>
      <c r="S419" s="3">
        <f t="shared" si="40"/>
        <v>-0.35033356685353806</v>
      </c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</row>
    <row r="420" spans="1:100" x14ac:dyDescent="0.2">
      <c r="A420" s="32"/>
      <c r="F420" s="3"/>
      <c r="G420" s="3"/>
      <c r="H420" s="3"/>
      <c r="M420" s="1">
        <f t="shared" si="41"/>
        <v>12.539999999999925</v>
      </c>
      <c r="N420" s="1">
        <f t="shared" si="42"/>
        <v>-14.489124697706918</v>
      </c>
      <c r="O420" s="1">
        <f t="shared" si="43"/>
        <v>-1.5016362741874028</v>
      </c>
      <c r="P420" s="1">
        <f t="shared" si="44"/>
        <v>6.0024032854665785</v>
      </c>
      <c r="R420" s="3">
        <f t="shared" si="39"/>
        <v>1.4412585425168591</v>
      </c>
      <c r="S420" s="3">
        <f t="shared" si="40"/>
        <v>-0.41566069530589311</v>
      </c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</row>
    <row r="421" spans="1:100" x14ac:dyDescent="0.2">
      <c r="A421" s="32"/>
      <c r="F421" s="3"/>
      <c r="G421" s="3"/>
      <c r="H421" s="3"/>
      <c r="M421" s="1">
        <f t="shared" si="41"/>
        <v>12.569999999999924</v>
      </c>
      <c r="N421" s="1">
        <f t="shared" si="42"/>
        <v>-14.277438160491725</v>
      </c>
      <c r="O421" s="1">
        <f t="shared" si="43"/>
        <v>-1.9299594190021545</v>
      </c>
      <c r="P421" s="1">
        <f t="shared" si="44"/>
        <v>5.944504502896514</v>
      </c>
      <c r="R421" s="3">
        <f t="shared" si="39"/>
        <v>1.4147906697257639</v>
      </c>
      <c r="S421" s="3">
        <f t="shared" si="40"/>
        <v>-0.49836468660703104</v>
      </c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</row>
    <row r="422" spans="1:100" x14ac:dyDescent="0.2">
      <c r="A422" s="32"/>
      <c r="F422" s="3"/>
      <c r="G422" s="3"/>
      <c r="H422" s="3"/>
      <c r="M422" s="1">
        <f t="shared" si="41"/>
        <v>12.599999999999923</v>
      </c>
      <c r="N422" s="1">
        <f t="shared" si="42"/>
        <v>-13.974210349547446</v>
      </c>
      <c r="O422" s="1">
        <f t="shared" si="43"/>
        <v>-2.3491857294885778</v>
      </c>
      <c r="P422" s="1">
        <f t="shared" si="44"/>
        <v>5.874028931011857</v>
      </c>
      <c r="R422" s="3">
        <f t="shared" si="39"/>
        <v>1.376185159121412</v>
      </c>
      <c r="S422" s="3">
        <f t="shared" si="40"/>
        <v>-0.59675322187146529</v>
      </c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</row>
    <row r="423" spans="1:100" x14ac:dyDescent="0.2">
      <c r="A423" s="32"/>
      <c r="F423" s="3"/>
      <c r="G423" s="3"/>
      <c r="H423" s="3"/>
      <c r="M423" s="1">
        <f t="shared" si="41"/>
        <v>12.629999999999923</v>
      </c>
      <c r="N423" s="1">
        <f t="shared" si="42"/>
        <v>-13.550424875560147</v>
      </c>
      <c r="O423" s="1">
        <f t="shared" si="43"/>
        <v>-2.7556984757553824</v>
      </c>
      <c r="P423" s="1">
        <f t="shared" si="44"/>
        <v>5.7913579767391958</v>
      </c>
      <c r="R423" s="3">
        <f t="shared" si="39"/>
        <v>1.3222070954440501</v>
      </c>
      <c r="S423" s="3">
        <f t="shared" si="40"/>
        <v>-0.70835612283469973</v>
      </c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</row>
    <row r="424" spans="1:100" x14ac:dyDescent="0.2">
      <c r="A424" s="32"/>
      <c r="F424" s="3"/>
      <c r="G424" s="3"/>
      <c r="H424" s="3"/>
      <c r="M424" s="1">
        <f t="shared" si="41"/>
        <v>12.659999999999922</v>
      </c>
      <c r="N424" s="1">
        <f t="shared" si="42"/>
        <v>-12.974058091622517</v>
      </c>
      <c r="O424" s="1">
        <f t="shared" si="43"/>
        <v>-3.1449202185040579</v>
      </c>
      <c r="P424" s="1">
        <f t="shared" si="44"/>
        <v>5.6970103701840742</v>
      </c>
      <c r="R424" s="3">
        <f t="shared" si="39"/>
        <v>1.2495940666395366</v>
      </c>
      <c r="S424" s="3">
        <f t="shared" si="40"/>
        <v>-0.82976784019342742</v>
      </c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</row>
    <row r="425" spans="1:100" x14ac:dyDescent="0.2">
      <c r="A425" s="32"/>
      <c r="F425" s="3"/>
      <c r="G425" s="3"/>
      <c r="H425" s="3"/>
      <c r="M425" s="1">
        <f t="shared" si="41"/>
        <v>12.689999999999921</v>
      </c>
      <c r="N425" s="1">
        <f t="shared" si="42"/>
        <v>-12.212897846730002</v>
      </c>
      <c r="O425" s="1">
        <f t="shared" si="43"/>
        <v>-3.5113071539059577</v>
      </c>
      <c r="P425" s="1">
        <f t="shared" si="44"/>
        <v>5.5916711555668952</v>
      </c>
      <c r="R425" s="3">
        <f t="shared" si="39"/>
        <v>1.1554219761960014</v>
      </c>
      <c r="S425" s="3">
        <f t="shared" si="40"/>
        <v>-0.95655635323974852</v>
      </c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</row>
    <row r="426" spans="1:100" x14ac:dyDescent="0.2">
      <c r="A426" s="32"/>
      <c r="F426" s="3"/>
      <c r="G426" s="3"/>
      <c r="H426" s="3"/>
      <c r="M426" s="1">
        <f t="shared" si="41"/>
        <v>12.719999999999921</v>
      </c>
      <c r="N426" s="1">
        <f t="shared" si="42"/>
        <v>-11.238202118108479</v>
      </c>
      <c r="O426" s="1">
        <f t="shared" si="43"/>
        <v>-3.8484532174492121</v>
      </c>
      <c r="P426" s="1">
        <f t="shared" si="44"/>
        <v>5.4762175590434188</v>
      </c>
      <c r="R426" s="3">
        <f t="shared" si="39"/>
        <v>1.0375372213630307</v>
      </c>
      <c r="S426" s="3">
        <f t="shared" si="40"/>
        <v>-1.0832896723805141</v>
      </c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</row>
    <row r="427" spans="1:100" x14ac:dyDescent="0.2">
      <c r="A427" s="32"/>
      <c r="F427" s="3"/>
      <c r="G427" s="3"/>
      <c r="H427" s="3"/>
      <c r="M427" s="1">
        <f t="shared" si="41"/>
        <v>12.74999999999992</v>
      </c>
      <c r="N427" s="1">
        <f t="shared" si="42"/>
        <v>-10.029011424059878</v>
      </c>
      <c r="O427" s="1">
        <f t="shared" si="43"/>
        <v>-4.1493235601710081</v>
      </c>
      <c r="P427" s="1">
        <f t="shared" si="44"/>
        <v>5.3517378522382888</v>
      </c>
      <c r="R427" s="3">
        <f t="shared" si="39"/>
        <v>0.89500957151909355</v>
      </c>
      <c r="S427" s="3">
        <f t="shared" si="40"/>
        <v>-1.2037266578792747</v>
      </c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</row>
    <row r="428" spans="1:100" x14ac:dyDescent="0.2">
      <c r="A428" s="32"/>
      <c r="F428" s="3"/>
      <c r="G428" s="3"/>
      <c r="H428" s="3"/>
      <c r="M428" s="1">
        <f t="shared" si="41"/>
        <v>12.779999999999919</v>
      </c>
      <c r="N428" s="1">
        <f t="shared" si="42"/>
        <v>-8.5766565947755442</v>
      </c>
      <c r="O428" s="1">
        <f t="shared" si="43"/>
        <v>-4.4066232580142746</v>
      </c>
      <c r="P428" s="1">
        <f t="shared" si="44"/>
        <v>5.2195391544978609</v>
      </c>
      <c r="R428" s="3">
        <f t="shared" si="39"/>
        <v>0.72853214698913882</v>
      </c>
      <c r="S428" s="3">
        <f t="shared" si="40"/>
        <v>-1.3111982728799623</v>
      </c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</row>
    <row r="429" spans="1:100" x14ac:dyDescent="0.2">
      <c r="A429" s="32"/>
      <c r="F429" s="3"/>
      <c r="G429" s="3"/>
      <c r="H429" s="3"/>
      <c r="M429" s="1">
        <f t="shared" si="41"/>
        <v>12.809999999999919</v>
      </c>
      <c r="N429" s="1">
        <f t="shared" si="42"/>
        <v>-6.8887253766701031</v>
      </c>
      <c r="O429" s="1">
        <f t="shared" si="43"/>
        <v>-4.613285019314378</v>
      </c>
      <c r="P429" s="1">
        <f t="shared" si="44"/>
        <v>5.0811406039184295</v>
      </c>
      <c r="R429" s="3">
        <f t="shared" si="39"/>
        <v>0.54067688245730949</v>
      </c>
      <c r="S429" s="3">
        <f t="shared" si="40"/>
        <v>-1.3991670767911331</v>
      </c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</row>
    <row r="430" spans="1:100" x14ac:dyDescent="0.2">
      <c r="A430" s="32"/>
      <c r="F430" s="3"/>
      <c r="G430" s="3"/>
      <c r="H430" s="3"/>
      <c r="M430" s="1">
        <f t="shared" si="41"/>
        <v>12.839999999999918</v>
      </c>
      <c r="N430" s="1">
        <f t="shared" si="42"/>
        <v>-4.9915731728348014</v>
      </c>
      <c r="O430" s="1">
        <f t="shared" si="43"/>
        <v>-4.7630322144994217</v>
      </c>
      <c r="P430" s="1">
        <f t="shared" si="44"/>
        <v>4.9382496374834473</v>
      </c>
      <c r="R430" s="3">
        <f t="shared" si="39"/>
        <v>0.3359178642980889</v>
      </c>
      <c r="S430" s="3">
        <f t="shared" si="40"/>
        <v>-1.4619025919825885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</row>
    <row r="431" spans="1:100" x14ac:dyDescent="0.2">
      <c r="A431" s="32"/>
      <c r="F431" s="3"/>
      <c r="G431" s="3"/>
      <c r="H431" s="3"/>
      <c r="M431" s="1">
        <f t="shared" si="41"/>
        <v>12.869999999999918</v>
      </c>
      <c r="N431" s="1">
        <f t="shared" si="42"/>
        <v>-2.930505743675941</v>
      </c>
      <c r="O431" s="1">
        <f t="shared" si="43"/>
        <v>-4.8509473868096995</v>
      </c>
      <c r="P431" s="1">
        <f t="shared" si="44"/>
        <v>4.7927212158791566</v>
      </c>
      <c r="R431" s="3">
        <f t="shared" si="39"/>
        <v>0.12036879369052506</v>
      </c>
      <c r="S431" s="3">
        <f t="shared" si="40"/>
        <v>-1.4951626511873175</v>
      </c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</row>
    <row r="432" spans="1:100" x14ac:dyDescent="0.2">
      <c r="A432" s="32"/>
      <c r="F432" s="3"/>
      <c r="G432" s="3"/>
      <c r="H432" s="3"/>
      <c r="M432" s="1">
        <f t="shared" si="41"/>
        <v>12.899999999999917</v>
      </c>
      <c r="N432" s="1">
        <f t="shared" si="42"/>
        <v>-0.7671026720923777</v>
      </c>
      <c r="O432" s="1">
        <f t="shared" si="43"/>
        <v>-4.8739604669724708</v>
      </c>
      <c r="P432" s="1">
        <f t="shared" si="44"/>
        <v>4.6465024018699825</v>
      </c>
      <c r="R432" s="3">
        <f t="shared" si="39"/>
        <v>-9.8758379202134539E-2</v>
      </c>
      <c r="S432" s="3">
        <f t="shared" si="40"/>
        <v>-1.4967453966982385</v>
      </c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</row>
    <row r="433" spans="1:100" x14ac:dyDescent="0.2">
      <c r="A433" s="32"/>
      <c r="F433" s="3"/>
      <c r="G433" s="3"/>
      <c r="H433" s="3"/>
      <c r="M433" s="1">
        <f t="shared" si="41"/>
        <v>12.929999999999916</v>
      </c>
      <c r="N433" s="1">
        <f t="shared" si="42"/>
        <v>1.4262402340488676</v>
      </c>
      <c r="O433" s="1">
        <f t="shared" si="43"/>
        <v>-4.8311732599510044</v>
      </c>
      <c r="P433" s="1">
        <f t="shared" si="44"/>
        <v>4.5015672040714527</v>
      </c>
      <c r="R433" s="3">
        <f t="shared" si="39"/>
        <v>-0.31389532801018688</v>
      </c>
      <c r="S433" s="3">
        <f t="shared" si="40"/>
        <v>-1.4667889156430713</v>
      </c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</row>
    <row r="434" spans="1:100" x14ac:dyDescent="0.2">
      <c r="A434" s="32"/>
      <c r="F434" s="3"/>
      <c r="G434" s="3"/>
      <c r="H434" s="3"/>
      <c r="M434" s="1">
        <f t="shared" si="41"/>
        <v>12.959999999999916</v>
      </c>
      <c r="N434" s="1">
        <f t="shared" si="42"/>
        <v>3.573758873497459</v>
      </c>
      <c r="O434" s="1">
        <f t="shared" si="43"/>
        <v>-4.7239604937460804</v>
      </c>
      <c r="P434" s="1">
        <f t="shared" si="44"/>
        <v>4.3598483892590707</v>
      </c>
      <c r="R434" s="3">
        <f t="shared" si="39"/>
        <v>-0.51792489034787537</v>
      </c>
      <c r="S434" s="3">
        <f t="shared" si="40"/>
        <v>-1.4077477785307073</v>
      </c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</row>
    <row r="435" spans="1:100" x14ac:dyDescent="0.2">
      <c r="A435" s="32"/>
      <c r="F435" s="3"/>
      <c r="G435" s="3"/>
      <c r="H435" s="3"/>
      <c r="M435" s="1">
        <f t="shared" si="41"/>
        <v>12.989999999999915</v>
      </c>
      <c r="N435" s="1">
        <f t="shared" si="42"/>
        <v>5.6044053479159004</v>
      </c>
      <c r="O435" s="1">
        <f t="shared" si="43"/>
        <v>-4.5558283333086038</v>
      </c>
      <c r="P435" s="1">
        <f t="shared" si="44"/>
        <v>4.2231735392598129</v>
      </c>
      <c r="R435" s="3">
        <f t="shared" si="39"/>
        <v>-0.70490025198652728</v>
      </c>
      <c r="S435" s="3">
        <f t="shared" si="40"/>
        <v>-1.3240527311060275</v>
      </c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</row>
    <row r="436" spans="1:100" x14ac:dyDescent="0.2">
      <c r="A436" s="32"/>
      <c r="F436" s="3"/>
      <c r="G436" s="3"/>
      <c r="H436" s="3"/>
      <c r="M436" s="1">
        <f t="shared" si="41"/>
        <v>13.019999999999914</v>
      </c>
      <c r="N436" s="1">
        <f t="shared" si="42"/>
        <v>7.4590270698630468</v>
      </c>
      <c r="O436" s="1">
        <f t="shared" si="43"/>
        <v>-4.3320575212127128</v>
      </c>
      <c r="P436" s="1">
        <f t="shared" si="44"/>
        <v>4.0932118136234319</v>
      </c>
      <c r="R436" s="3">
        <f t="shared" si="39"/>
        <v>-0.87054791650530128</v>
      </c>
      <c r="S436" s="3">
        <f t="shared" si="40"/>
        <v>-1.2215344141972746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</row>
    <row r="437" spans="1:100" x14ac:dyDescent="0.2">
      <c r="A437" s="32"/>
      <c r="F437" s="3"/>
      <c r="G437" s="3"/>
      <c r="H437" s="3"/>
      <c r="M437" s="1">
        <f t="shared" si="41"/>
        <v>13.049999999999914</v>
      </c>
      <c r="N437" s="1">
        <f t="shared" si="42"/>
        <v>9.0953643419621582</v>
      </c>
      <c r="O437" s="1">
        <f t="shared" si="43"/>
        <v>-4.0591965909538477</v>
      </c>
      <c r="P437" s="1">
        <f t="shared" si="44"/>
        <v>3.9714359158948165</v>
      </c>
      <c r="R437" s="3">
        <f t="shared" si="39"/>
        <v>-1.0124871201648231</v>
      </c>
      <c r="S437" s="3">
        <f t="shared" si="40"/>
        <v>-1.1067383753626432</v>
      </c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</row>
    <row r="438" spans="1:100" x14ac:dyDescent="0.2">
      <c r="A438" s="32"/>
      <c r="F438" s="3"/>
      <c r="G438" s="3"/>
      <c r="H438" s="3"/>
      <c r="M438" s="1">
        <f t="shared" si="41"/>
        <v>13.079999999999913</v>
      </c>
      <c r="N438" s="1">
        <f t="shared" si="42"/>
        <v>10.490198894834078</v>
      </c>
      <c r="O438" s="1">
        <f t="shared" si="43"/>
        <v>-3.7444906241088254</v>
      </c>
      <c r="P438" s="1">
        <f t="shared" si="44"/>
        <v>3.8591011971715519</v>
      </c>
      <c r="R438" s="3">
        <f t="shared" si="39"/>
        <v>-1.1301693333795231</v>
      </c>
      <c r="S438" s="3">
        <f t="shared" si="40"/>
        <v>-0.98626430427572731</v>
      </c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</row>
    <row r="439" spans="1:100" x14ac:dyDescent="0.2">
      <c r="A439" s="32"/>
      <c r="F439" s="3"/>
      <c r="G439" s="3"/>
      <c r="H439" s="3"/>
      <c r="M439" s="1">
        <f t="shared" si="41"/>
        <v>13.109999999999912</v>
      </c>
      <c r="N439" s="1">
        <f t="shared" si="42"/>
        <v>11.638697489965026</v>
      </c>
      <c r="O439" s="1">
        <f t="shared" si="43"/>
        <v>-3.3953296994098747</v>
      </c>
      <c r="P439" s="1">
        <f t="shared" si="44"/>
        <v>3.7572413061892558</v>
      </c>
      <c r="R439" s="3">
        <f t="shared" si="39"/>
        <v>-1.2245985441795253</v>
      </c>
      <c r="S439" s="3">
        <f t="shared" si="40"/>
        <v>-0.86623230463507128</v>
      </c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</row>
    <row r="440" spans="1:100" x14ac:dyDescent="0.2">
      <c r="A440" s="32"/>
      <c r="F440" s="3"/>
      <c r="G440" s="3"/>
      <c r="H440" s="3"/>
      <c r="M440" s="1">
        <f t="shared" si="41"/>
        <v>13.139999999999912</v>
      </c>
      <c r="N440" s="1">
        <f t="shared" si="42"/>
        <v>12.551565114742143</v>
      </c>
      <c r="O440" s="1">
        <f t="shared" si="43"/>
        <v>-3.0187827459676102</v>
      </c>
      <c r="P440" s="1">
        <f t="shared" si="44"/>
        <v>3.6666778238102276</v>
      </c>
      <c r="R440" s="3">
        <f t="shared" si="39"/>
        <v>-1.2979218750935773</v>
      </c>
      <c r="S440" s="3">
        <f t="shared" si="40"/>
        <v>-0.75193005403000912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</row>
    <row r="441" spans="1:100" x14ac:dyDescent="0.2">
      <c r="A441" s="32"/>
      <c r="F441" s="3"/>
      <c r="G441" s="3"/>
      <c r="H441" s="3"/>
      <c r="M441" s="1">
        <f t="shared" si="41"/>
        <v>13.169999999999911</v>
      </c>
      <c r="N441" s="1">
        <f t="shared" si="42"/>
        <v>13.250909198072858</v>
      </c>
      <c r="O441" s="1">
        <f t="shared" si="43"/>
        <v>-2.6212554700254245</v>
      </c>
      <c r="P441" s="1">
        <f t="shared" si="44"/>
        <v>3.5880401597094647</v>
      </c>
      <c r="R441" s="3">
        <f t="shared" si="39"/>
        <v>-1.3529799443843658</v>
      </c>
      <c r="S441" s="3">
        <f t="shared" si="40"/>
        <v>-0.64764594501446426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</row>
    <row r="442" spans="1:100" x14ac:dyDescent="0.2">
      <c r="A442" s="32"/>
      <c r="F442" s="3"/>
      <c r="G442" s="3"/>
      <c r="H442" s="3"/>
      <c r="M442" s="1">
        <f t="shared" si="41"/>
        <v>13.19999999999991</v>
      </c>
      <c r="N442" s="1">
        <f t="shared" si="42"/>
        <v>13.765712436145945</v>
      </c>
      <c r="O442" s="1">
        <f t="shared" si="43"/>
        <v>-2.2082840969410462</v>
      </c>
      <c r="P442" s="1">
        <f t="shared" si="44"/>
        <v>3.5217916368012334</v>
      </c>
      <c r="R442" s="3">
        <f t="shared" si="39"/>
        <v>-1.3928862153688244</v>
      </c>
      <c r="S442" s="3">
        <f t="shared" si="40"/>
        <v>-0.55665787611019446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</row>
    <row r="443" spans="1:100" x14ac:dyDescent="0.2">
      <c r="A443" s="32"/>
      <c r="F443" s="3"/>
      <c r="G443" s="3"/>
      <c r="H443" s="3"/>
      <c r="M443" s="1">
        <f t="shared" si="41"/>
        <v>13.22999999999991</v>
      </c>
      <c r="N443" s="1">
        <f t="shared" si="42"/>
        <v>14.127607722412939</v>
      </c>
      <c r="O443" s="1">
        <f t="shared" si="43"/>
        <v>-1.784455865268658</v>
      </c>
      <c r="P443" s="1">
        <f t="shared" si="44"/>
        <v>3.4682579608431738</v>
      </c>
      <c r="R443" s="3">
        <f t="shared" si="39"/>
        <v>-1.4206764980825743</v>
      </c>
      <c r="S443" s="3">
        <f t="shared" si="40"/>
        <v>-0.48132970799217545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</row>
    <row r="444" spans="1:100" x14ac:dyDescent="0.2">
      <c r="A444" s="32"/>
      <c r="F444" s="3"/>
      <c r="G444" s="3"/>
      <c r="H444" s="3"/>
      <c r="M444" s="1">
        <f t="shared" si="41"/>
        <v>13.259999999999909</v>
      </c>
      <c r="N444" s="1">
        <f t="shared" si="42"/>
        <v>14.367366008699923</v>
      </c>
      <c r="O444" s="1">
        <f t="shared" si="43"/>
        <v>-1.3534348850076603</v>
      </c>
      <c r="P444" s="1">
        <f t="shared" si="44"/>
        <v>3.427654914292944</v>
      </c>
      <c r="R444" s="3">
        <f t="shared" si="39"/>
        <v>-1.4390436731424927</v>
      </c>
      <c r="S444" s="3">
        <f t="shared" si="40"/>
        <v>-0.42326505500520872</v>
      </c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</row>
    <row r="445" spans="1:100" x14ac:dyDescent="0.2">
      <c r="A445" s="32"/>
      <c r="F445" s="3"/>
      <c r="G445" s="3"/>
      <c r="H445" s="3"/>
      <c r="M445" s="1">
        <f t="shared" si="41"/>
        <v>13.289999999999909</v>
      </c>
      <c r="N445" s="1">
        <f t="shared" si="42"/>
        <v>14.512245871075619</v>
      </c>
      <c r="O445" s="1">
        <f t="shared" si="43"/>
        <v>-0.91806750887539179</v>
      </c>
      <c r="P445" s="1">
        <f t="shared" si="44"/>
        <v>3.4001128890266821</v>
      </c>
      <c r="R445" s="3">
        <f t="shared" si="39"/>
        <v>-1.4501540079492479</v>
      </c>
      <c r="S445" s="3">
        <f t="shared" si="40"/>
        <v>-0.38347536195788778</v>
      </c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</row>
    <row r="446" spans="1:100" x14ac:dyDescent="0.2">
      <c r="A446" s="32"/>
      <c r="F446" s="3"/>
      <c r="G446" s="3"/>
      <c r="H446" s="3"/>
      <c r="M446" s="1">
        <f t="shared" si="41"/>
        <v>13.319999999999908</v>
      </c>
      <c r="N446" s="1">
        <f t="shared" si="42"/>
        <v>14.584166155291264</v>
      </c>
      <c r="O446" s="1">
        <f t="shared" si="43"/>
        <v>-0.48054252421665389</v>
      </c>
      <c r="P446" s="1">
        <f t="shared" si="44"/>
        <v>3.3856966133001825</v>
      </c>
      <c r="R446" s="3">
        <f t="shared" si="39"/>
        <v>-1.4555314135907746</v>
      </c>
      <c r="S446" s="3">
        <f t="shared" si="40"/>
        <v>-0.36253041810369746</v>
      </c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</row>
    <row r="447" spans="1:100" x14ac:dyDescent="0.2">
      <c r="A447" s="32"/>
      <c r="F447" s="3"/>
      <c r="G447" s="3"/>
      <c r="H447" s="3"/>
      <c r="M447" s="1">
        <f t="shared" si="41"/>
        <v>13.349999999999907</v>
      </c>
      <c r="N447" s="1">
        <f t="shared" si="42"/>
        <v>14.598562963087243</v>
      </c>
      <c r="O447" s="1">
        <f t="shared" si="43"/>
        <v>-4.2585635324036586E-2</v>
      </c>
      <c r="P447" s="1">
        <f t="shared" si="44"/>
        <v>3.3844190442404614</v>
      </c>
      <c r="R447" s="3">
        <f t="shared" si="39"/>
        <v>-1.4559933832637222</v>
      </c>
      <c r="S447" s="3">
        <f t="shared" si="40"/>
        <v>-0.36067058085219528</v>
      </c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</row>
    <row r="448" spans="1:100" x14ac:dyDescent="0.2">
      <c r="A448" s="32"/>
      <c r="F448" s="3"/>
      <c r="G448" s="3"/>
      <c r="H448" s="3"/>
      <c r="M448" s="1">
        <f t="shared" si="41"/>
        <v>13.379999999999907</v>
      </c>
      <c r="N448" s="1">
        <f t="shared" si="42"/>
        <v>14.563766539816385</v>
      </c>
      <c r="O448" s="1">
        <f t="shared" si="43"/>
        <v>0.39432736087045495</v>
      </c>
      <c r="P448" s="1">
        <f t="shared" si="44"/>
        <v>3.3962488650665752</v>
      </c>
      <c r="R448" s="3">
        <f t="shared" si="39"/>
        <v>-1.4516249363685945</v>
      </c>
      <c r="S448" s="3">
        <f t="shared" si="40"/>
        <v>-0.37786908329853391</v>
      </c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</row>
    <row r="449" spans="1:100" x14ac:dyDescent="0.2">
      <c r="A449" s="32"/>
      <c r="F449" s="3"/>
      <c r="G449" s="3"/>
      <c r="H449" s="3"/>
      <c r="M449" s="1">
        <f t="shared" si="41"/>
        <v>13.409999999999906</v>
      </c>
      <c r="N449" s="1">
        <f t="shared" si="42"/>
        <v>14.480759901207604</v>
      </c>
      <c r="O449" s="1">
        <f t="shared" si="43"/>
        <v>0.82875015790668305</v>
      </c>
      <c r="P449" s="1">
        <f t="shared" si="44"/>
        <v>3.4211113698037758</v>
      </c>
      <c r="R449" s="3">
        <f t="shared" si="39"/>
        <v>-1.4417824987378036</v>
      </c>
      <c r="S449" s="3">
        <f t="shared" si="40"/>
        <v>-0.41383961426303195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</row>
    <row r="450" spans="1:100" x14ac:dyDescent="0.2">
      <c r="A450" s="32"/>
      <c r="F450" s="3"/>
      <c r="G450" s="3"/>
      <c r="H450" s="3"/>
      <c r="M450" s="1">
        <f t="shared" si="41"/>
        <v>13.439999999999905</v>
      </c>
      <c r="N450" s="1">
        <f t="shared" si="42"/>
        <v>14.343237473166436</v>
      </c>
      <c r="O450" s="1">
        <f t="shared" si="43"/>
        <v>1.259047282101676</v>
      </c>
      <c r="P450" s="1">
        <f t="shared" si="44"/>
        <v>3.458882788266826</v>
      </c>
      <c r="R450" s="3">
        <f t="shared" ref="R450:R513" si="45">$B$3*COS(P450)</f>
        <v>-1.4251265471432784</v>
      </c>
      <c r="S450" s="3">
        <f t="shared" ref="S450:S513" si="46">$B$3*SIN(P450)</f>
        <v>-0.46798966294938293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</row>
    <row r="451" spans="1:100" x14ac:dyDescent="0.2">
      <c r="A451" s="32"/>
      <c r="F451" s="3"/>
      <c r="G451" s="3"/>
      <c r="H451" s="3"/>
      <c r="M451" s="1">
        <f t="shared" ref="M451:M514" si="47">M450+B$13</f>
        <v>13.469999999999905</v>
      </c>
      <c r="N451" s="1">
        <f t="shared" ref="N451:N514" si="48">-$B$12*$B$3*COS(P450)-B$10*O450</f>
        <v>14.137951216043634</v>
      </c>
      <c r="O451" s="1">
        <f t="shared" ref="O451:O514" si="49">N451*$B$13+O450</f>
        <v>1.6831858185829851</v>
      </c>
      <c r="P451" s="1">
        <f t="shared" ref="P451:P514" si="50">O451*$B$13+P450</f>
        <v>3.5093783628243158</v>
      </c>
      <c r="R451" s="3">
        <f t="shared" si="45"/>
        <v>-1.3996886715372483</v>
      </c>
      <c r="S451" s="3">
        <f t="shared" si="46"/>
        <v>-0.53932515495783573</v>
      </c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</row>
    <row r="452" spans="1:100" x14ac:dyDescent="0.2">
      <c r="A452" s="32"/>
      <c r="F452" s="3"/>
      <c r="G452" s="3"/>
      <c r="H452" s="3"/>
      <c r="M452" s="1">
        <f t="shared" si="47"/>
        <v>13.499999999999904</v>
      </c>
      <c r="N452" s="1">
        <f t="shared" si="48"/>
        <v>13.845399991700013</v>
      </c>
      <c r="O452" s="1">
        <f t="shared" si="49"/>
        <v>2.0985478183339854</v>
      </c>
      <c r="P452" s="1">
        <f t="shared" si="50"/>
        <v>3.5723347973743356</v>
      </c>
      <c r="R452" s="3">
        <f t="shared" si="45"/>
        <v>-1.3629841819641324</v>
      </c>
      <c r="S452" s="3">
        <f t="shared" si="46"/>
        <v>-0.62631790627090078</v>
      </c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</row>
    <row r="453" spans="1:100" x14ac:dyDescent="0.2">
      <c r="A453" s="32"/>
      <c r="F453" s="3"/>
      <c r="G453" s="3"/>
      <c r="H453" s="3"/>
      <c r="M453" s="1">
        <f t="shared" si="47"/>
        <v>13.529999999999903</v>
      </c>
      <c r="N453" s="1">
        <f t="shared" si="48"/>
        <v>13.440972515991266</v>
      </c>
      <c r="O453" s="1">
        <f t="shared" si="49"/>
        <v>2.5017769938137233</v>
      </c>
      <c r="P453" s="1">
        <f t="shared" si="50"/>
        <v>3.6473881071887471</v>
      </c>
      <c r="R453" s="3">
        <f t="shared" si="45"/>
        <v>-1.3121840268231499</v>
      </c>
      <c r="S453" s="3">
        <f t="shared" si="46"/>
        <v>-0.72675517180834892</v>
      </c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</row>
    <row r="454" spans="1:100" x14ac:dyDescent="0.2">
      <c r="A454" s="32"/>
      <c r="F454" s="3"/>
      <c r="G454" s="3"/>
      <c r="H454" s="3"/>
      <c r="M454" s="1">
        <f t="shared" si="47"/>
        <v>13.559999999999903</v>
      </c>
      <c r="N454" s="1">
        <f t="shared" si="48"/>
        <v>12.896680338788265</v>
      </c>
      <c r="O454" s="1">
        <f t="shared" si="49"/>
        <v>2.888677403977371</v>
      </c>
      <c r="P454" s="1">
        <f t="shared" si="50"/>
        <v>3.7340484293080682</v>
      </c>
      <c r="R454" s="3">
        <f t="shared" si="45"/>
        <v>-1.2443578154269064</v>
      </c>
      <c r="S454" s="3">
        <f t="shared" si="46"/>
        <v>-0.83759992071750888</v>
      </c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</row>
    <row r="455" spans="1:100" x14ac:dyDescent="0.2">
      <c r="A455" s="32"/>
      <c r="F455" s="3"/>
      <c r="G455" s="3"/>
      <c r="H455" s="3"/>
      <c r="M455" s="1">
        <f t="shared" si="47"/>
        <v>13.589999999999902</v>
      </c>
      <c r="N455" s="1">
        <f t="shared" si="48"/>
        <v>12.183597187911101</v>
      </c>
      <c r="O455" s="1">
        <f t="shared" si="49"/>
        <v>3.2541853196147041</v>
      </c>
      <c r="P455" s="1">
        <f t="shared" si="50"/>
        <v>3.8316739888965095</v>
      </c>
      <c r="R455" s="3">
        <f t="shared" si="45"/>
        <v>-1.1567913592487229</v>
      </c>
      <c r="S455" s="3">
        <f t="shared" si="46"/>
        <v>-0.95489986447139685</v>
      </c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</row>
    <row r="456" spans="1:100" x14ac:dyDescent="0.2">
      <c r="A456" s="32"/>
      <c r="F456" s="3"/>
      <c r="G456" s="3"/>
      <c r="H456" s="3"/>
      <c r="M456" s="1">
        <f t="shared" si="47"/>
        <v>13.619999999999902</v>
      </c>
      <c r="N456" s="1">
        <f t="shared" si="48"/>
        <v>11.275036913721905</v>
      </c>
      <c r="O456" s="1">
        <f t="shared" si="49"/>
        <v>3.5924364270263611</v>
      </c>
      <c r="P456" s="1">
        <f t="shared" si="50"/>
        <v>3.9394470817073004</v>
      </c>
      <c r="R456" s="3">
        <f t="shared" si="45"/>
        <v>-1.0473663653820022</v>
      </c>
      <c r="S456" s="3">
        <f t="shared" si="46"/>
        <v>-1.073789409831599</v>
      </c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</row>
    <row r="457" spans="1:100" x14ac:dyDescent="0.2">
      <c r="A457" s="32"/>
      <c r="F457" s="3"/>
      <c r="G457" s="3"/>
      <c r="H457" s="3"/>
      <c r="M457" s="1">
        <f t="shared" si="47"/>
        <v>13.649999999999901</v>
      </c>
      <c r="N457" s="1">
        <f t="shared" si="48"/>
        <v>10.15034437538765</v>
      </c>
      <c r="O457" s="1">
        <f t="shared" si="49"/>
        <v>3.8969467582879904</v>
      </c>
      <c r="P457" s="1">
        <f t="shared" si="50"/>
        <v>4.0563554844559402</v>
      </c>
      <c r="R457" s="3">
        <f t="shared" si="45"/>
        <v>-0.91496779449423915</v>
      </c>
      <c r="S457" s="3">
        <f t="shared" si="46"/>
        <v>-1.1886269116246475</v>
      </c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</row>
    <row r="458" spans="1:100" x14ac:dyDescent="0.2">
      <c r="A458" s="32"/>
      <c r="F458" s="3"/>
      <c r="G458" s="3"/>
      <c r="H458" s="3"/>
      <c r="M458" s="1">
        <f t="shared" si="47"/>
        <v>13.6799999999999</v>
      </c>
      <c r="N458" s="1">
        <f t="shared" si="48"/>
        <v>8.7989527366964726</v>
      </c>
      <c r="O458" s="1">
        <f t="shared" si="49"/>
        <v>4.1609153403888843</v>
      </c>
      <c r="P458" s="1">
        <f t="shared" si="50"/>
        <v>4.181182944667607</v>
      </c>
      <c r="R458" s="3">
        <f t="shared" si="45"/>
        <v>-0.75986032416285876</v>
      </c>
      <c r="S458" s="3">
        <f t="shared" si="46"/>
        <v>-1.2932951278664571</v>
      </c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</row>
    <row r="459" spans="1:100" x14ac:dyDescent="0.2">
      <c r="A459" s="32"/>
      <c r="F459" s="3"/>
      <c r="G459" s="3"/>
      <c r="H459" s="3"/>
      <c r="M459" s="1">
        <f t="shared" si="47"/>
        <v>13.7099999999999</v>
      </c>
      <c r="N459" s="1">
        <f t="shared" si="48"/>
        <v>7.2241208609935876</v>
      </c>
      <c r="O459" s="1">
        <f t="shared" si="49"/>
        <v>4.3776389662186919</v>
      </c>
      <c r="P459" s="1">
        <f t="shared" si="50"/>
        <v>4.3125121136541678</v>
      </c>
      <c r="R459" s="3">
        <f t="shared" si="45"/>
        <v>-0.58395738915782258</v>
      </c>
      <c r="S459" s="3">
        <f t="shared" si="46"/>
        <v>-1.3816634060609623</v>
      </c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</row>
    <row r="460" spans="1:100" x14ac:dyDescent="0.2">
      <c r="A460" s="32"/>
      <c r="F460" s="3"/>
      <c r="G460" s="3"/>
      <c r="H460" s="3"/>
      <c r="M460" s="1">
        <f t="shared" si="47"/>
        <v>13.739999999999899</v>
      </c>
      <c r="N460" s="1">
        <f t="shared" si="48"/>
        <v>5.4455863846185437</v>
      </c>
      <c r="O460" s="1">
        <f t="shared" si="49"/>
        <v>4.5410065577572478</v>
      </c>
      <c r="P460" s="1">
        <f t="shared" si="50"/>
        <v>4.4487423103868853</v>
      </c>
      <c r="R460" s="3">
        <f t="shared" si="45"/>
        <v>-0.39090441010233279</v>
      </c>
      <c r="S460" s="3">
        <f t="shared" si="46"/>
        <v>-1.4481690999888608</v>
      </c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</row>
    <row r="461" spans="1:100" x14ac:dyDescent="0.2">
      <c r="A461" s="32"/>
      <c r="F461" s="3"/>
      <c r="G461" s="3"/>
      <c r="H461" s="3"/>
      <c r="M461" s="1">
        <f t="shared" si="47"/>
        <v>13.769999999999898</v>
      </c>
      <c r="N461" s="1">
        <f t="shared" si="48"/>
        <v>3.500353510825176</v>
      </c>
      <c r="O461" s="1">
        <f t="shared" si="49"/>
        <v>4.6460171630820035</v>
      </c>
      <c r="P461" s="1">
        <f t="shared" si="50"/>
        <v>4.5881228252793456</v>
      </c>
      <c r="R461" s="3">
        <f t="shared" si="45"/>
        <v>-0.18591987103133678</v>
      </c>
      <c r="S461" s="3">
        <f t="shared" si="46"/>
        <v>-1.4884333379616608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</row>
    <row r="462" spans="1:100" x14ac:dyDescent="0.2">
      <c r="A462" s="32"/>
      <c r="F462" s="3"/>
      <c r="G462" s="3"/>
      <c r="H462" s="3"/>
      <c r="M462" s="1">
        <f t="shared" si="47"/>
        <v>13.799999999999898</v>
      </c>
      <c r="N462" s="1">
        <f t="shared" si="48"/>
        <v>1.4410571656359874</v>
      </c>
      <c r="O462" s="1">
        <f t="shared" si="49"/>
        <v>4.6892488780510835</v>
      </c>
      <c r="P462" s="1">
        <f t="shared" si="50"/>
        <v>4.7288002916208782</v>
      </c>
      <c r="R462" s="3">
        <f t="shared" si="45"/>
        <v>2.4615861849886626E-2</v>
      </c>
      <c r="S462" s="3">
        <f t="shared" si="46"/>
        <v>-1.4997980061812948</v>
      </c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</row>
    <row r="463" spans="1:100" x14ac:dyDescent="0.2">
      <c r="A463" s="32"/>
      <c r="F463" s="3"/>
      <c r="G463" s="3"/>
      <c r="H463" s="3"/>
      <c r="M463" s="1">
        <f t="shared" si="47"/>
        <v>13.829999999999897</v>
      </c>
      <c r="N463" s="1">
        <f t="shared" si="48"/>
        <v>-0.66819101752346377</v>
      </c>
      <c r="O463" s="1">
        <f t="shared" si="49"/>
        <v>4.6692031475253799</v>
      </c>
      <c r="P463" s="1">
        <f t="shared" si="50"/>
        <v>4.8688763860466393</v>
      </c>
      <c r="R463" s="3">
        <f t="shared" si="45"/>
        <v>0.2337742528812935</v>
      </c>
      <c r="S463" s="3">
        <f t="shared" si="46"/>
        <v>-1.481671218148545</v>
      </c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</row>
    <row r="464" spans="1:100" x14ac:dyDescent="0.2">
      <c r="A464" s="32"/>
      <c r="F464" s="3"/>
      <c r="G464" s="3"/>
      <c r="H464" s="3"/>
      <c r="M464" s="1">
        <f t="shared" si="47"/>
        <v>13.859999999999896</v>
      </c>
      <c r="N464" s="1">
        <f t="shared" si="48"/>
        <v>-2.7579708120902193</v>
      </c>
      <c r="O464" s="1">
        <f t="shared" si="49"/>
        <v>4.586464023162673</v>
      </c>
      <c r="P464" s="1">
        <f t="shared" si="50"/>
        <v>5.0064703067415195</v>
      </c>
      <c r="R464" s="3">
        <f t="shared" si="45"/>
        <v>0.4347911079762381</v>
      </c>
      <c r="S464" s="3">
        <f t="shared" si="46"/>
        <v>-1.4356032503532425</v>
      </c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</row>
    <row r="465" spans="1:100" x14ac:dyDescent="0.2">
      <c r="A465" s="32"/>
      <c r="F465" s="3"/>
      <c r="G465" s="3"/>
      <c r="H465" s="3"/>
      <c r="M465" s="1">
        <f t="shared" si="47"/>
        <v>13.889999999999896</v>
      </c>
      <c r="N465" s="1">
        <f t="shared" si="48"/>
        <v>-4.760692841847022</v>
      </c>
      <c r="O465" s="1">
        <f t="shared" si="49"/>
        <v>4.4436432379072626</v>
      </c>
      <c r="P465" s="1">
        <f t="shared" si="50"/>
        <v>5.1397796038787371</v>
      </c>
      <c r="R465" s="3">
        <f t="shared" si="45"/>
        <v>0.62174632806776586</v>
      </c>
      <c r="S465" s="3">
        <f t="shared" si="46"/>
        <v>-1.3650756402244713</v>
      </c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</row>
    <row r="466" spans="1:100" x14ac:dyDescent="0.2">
      <c r="A466" s="32"/>
      <c r="F466" s="3"/>
      <c r="G466" s="3"/>
      <c r="H466" s="3"/>
      <c r="M466" s="1">
        <f t="shared" si="47"/>
        <v>13.919999999999895</v>
      </c>
      <c r="N466" s="1">
        <f t="shared" si="48"/>
        <v>-6.6173911720893122</v>
      </c>
      <c r="O466" s="1">
        <f t="shared" si="49"/>
        <v>4.245121502744583</v>
      </c>
      <c r="P466" s="1">
        <f t="shared" si="50"/>
        <v>5.2671332489610743</v>
      </c>
      <c r="R466" s="3">
        <f t="shared" si="45"/>
        <v>0.79008890508822294</v>
      </c>
      <c r="S466" s="3">
        <f t="shared" si="46"/>
        <v>-1.2750527526563336</v>
      </c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</row>
    <row r="467" spans="1:100" x14ac:dyDescent="0.2">
      <c r="A467" s="32"/>
      <c r="F467" s="3"/>
      <c r="G467" s="3"/>
      <c r="H467" s="3"/>
      <c r="M467" s="1">
        <f t="shared" si="47"/>
        <v>13.949999999999894</v>
      </c>
      <c r="N467" s="1">
        <f t="shared" si="48"/>
        <v>-8.2829499861292426</v>
      </c>
      <c r="O467" s="1">
        <f t="shared" si="49"/>
        <v>3.9966330031607056</v>
      </c>
      <c r="P467" s="1">
        <f t="shared" si="50"/>
        <v>5.3870322390558956</v>
      </c>
      <c r="R467" s="3">
        <f t="shared" si="45"/>
        <v>0.93692814980231753</v>
      </c>
      <c r="S467" s="3">
        <f t="shared" si="46"/>
        <v>-1.1713947422231354</v>
      </c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</row>
    <row r="468" spans="1:100" x14ac:dyDescent="0.2">
      <c r="A468" s="32"/>
      <c r="F468" s="3"/>
      <c r="G468" s="3"/>
      <c r="H468" s="3"/>
      <c r="M468" s="1">
        <f t="shared" si="47"/>
        <v>13.979999999999894</v>
      </c>
      <c r="N468" s="1">
        <f t="shared" si="48"/>
        <v>-9.7289784683076395</v>
      </c>
      <c r="O468" s="1">
        <f t="shared" si="49"/>
        <v>3.7047636491114764</v>
      </c>
      <c r="P468" s="1">
        <f t="shared" si="50"/>
        <v>5.4981751485292403</v>
      </c>
      <c r="R468" s="3">
        <f t="shared" si="45"/>
        <v>1.0610716331112426</v>
      </c>
      <c r="S468" s="3">
        <f t="shared" si="46"/>
        <v>-1.0602485507684696</v>
      </c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</row>
    <row r="469" spans="1:100" x14ac:dyDescent="0.2">
      <c r="A469" s="32"/>
      <c r="F469" s="3"/>
      <c r="G469" s="3"/>
      <c r="H469" s="3"/>
      <c r="M469" s="1">
        <f t="shared" si="47"/>
        <v>14.009999999999893</v>
      </c>
      <c r="N469" s="1">
        <f t="shared" si="48"/>
        <v>-10.944145059532461</v>
      </c>
      <c r="O469" s="1">
        <f t="shared" si="49"/>
        <v>3.3764392973255024</v>
      </c>
      <c r="P469" s="1">
        <f t="shared" si="50"/>
        <v>5.5994683274490056</v>
      </c>
      <c r="R469" s="3">
        <f t="shared" si="45"/>
        <v>1.1628452126483027</v>
      </c>
      <c r="S469" s="3">
        <f t="shared" si="46"/>
        <v>-0.94751834358017795</v>
      </c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</row>
    <row r="470" spans="1:100" x14ac:dyDescent="0.2">
      <c r="A470" s="32"/>
      <c r="F470" s="3"/>
      <c r="G470" s="3"/>
      <c r="H470" s="3"/>
      <c r="M470" s="1">
        <f t="shared" si="47"/>
        <v>14.039999999999893</v>
      </c>
      <c r="N470" s="1">
        <f t="shared" si="48"/>
        <v>-11.932331663242321</v>
      </c>
      <c r="O470" s="1">
        <f t="shared" si="49"/>
        <v>3.0184693474282329</v>
      </c>
      <c r="P470" s="1">
        <f t="shared" si="50"/>
        <v>5.6900224078718526</v>
      </c>
      <c r="R470" s="3">
        <f t="shared" si="45"/>
        <v>1.2437652177095671</v>
      </c>
      <c r="S470" s="3">
        <f t="shared" si="46"/>
        <v>-0.8384796259992684</v>
      </c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</row>
    <row r="471" spans="1:100" x14ac:dyDescent="0.2">
      <c r="A471" s="32"/>
      <c r="F471" s="3"/>
      <c r="G471" s="3"/>
      <c r="H471" s="3"/>
      <c r="M471" s="1">
        <f t="shared" si="47"/>
        <v>14.069999999999892</v>
      </c>
      <c r="N471" s="1">
        <f t="shared" si="48"/>
        <v>-12.709314418364212</v>
      </c>
      <c r="O471" s="1">
        <f t="shared" si="49"/>
        <v>2.6371899148773066</v>
      </c>
      <c r="P471" s="1">
        <f t="shared" si="50"/>
        <v>5.7691381053181718</v>
      </c>
      <c r="R471" s="3">
        <f t="shared" si="45"/>
        <v>1.3061424202170042</v>
      </c>
      <c r="S471" s="3">
        <f t="shared" si="46"/>
        <v>-0.73755811846231256</v>
      </c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</row>
    <row r="472" spans="1:100" x14ac:dyDescent="0.2">
      <c r="A472" s="32"/>
      <c r="F472" s="3"/>
      <c r="G472" s="3"/>
      <c r="H472" s="3"/>
      <c r="M472" s="1">
        <f t="shared" si="47"/>
        <v>14.099999999999891</v>
      </c>
      <c r="N472" s="1">
        <f t="shared" si="48"/>
        <v>-13.298771294509001</v>
      </c>
      <c r="O472" s="1">
        <f t="shared" si="49"/>
        <v>2.2382267760420365</v>
      </c>
      <c r="P472" s="1">
        <f t="shared" si="50"/>
        <v>5.8362849085994331</v>
      </c>
      <c r="R472" s="3">
        <f t="shared" si="45"/>
        <v>1.3526864916729089</v>
      </c>
      <c r="S472" s="3">
        <f t="shared" si="46"/>
        <v>-0.64825863298967146</v>
      </c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</row>
    <row r="473" spans="1:100" x14ac:dyDescent="0.2">
      <c r="A473" s="32"/>
      <c r="F473" s="3"/>
      <c r="G473" s="3"/>
      <c r="H473" s="3"/>
      <c r="M473" s="1">
        <f t="shared" si="47"/>
        <v>14.129999999999891</v>
      </c>
      <c r="N473" s="1">
        <f t="shared" si="48"/>
        <v>-13.728305326572873</v>
      </c>
      <c r="O473" s="1">
        <f t="shared" si="49"/>
        <v>1.8263776162448502</v>
      </c>
      <c r="P473" s="1">
        <f t="shared" si="50"/>
        <v>5.8910762370867786</v>
      </c>
      <c r="R473" s="3">
        <f t="shared" si="45"/>
        <v>1.3861577390356796</v>
      </c>
      <c r="S473" s="3">
        <f t="shared" si="46"/>
        <v>-0.57320739921209363</v>
      </c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</row>
    <row r="474" spans="1:100" x14ac:dyDescent="0.2">
      <c r="A474" s="32"/>
      <c r="F474" s="3"/>
      <c r="G474" s="3"/>
      <c r="H474" s="3"/>
      <c r="M474" s="1">
        <f t="shared" si="47"/>
        <v>14.15999999999989</v>
      </c>
      <c r="N474" s="1">
        <f t="shared" si="48"/>
        <v>-14.025951375818833</v>
      </c>
      <c r="O474" s="1">
        <f t="shared" si="49"/>
        <v>1.4055990749702851</v>
      </c>
      <c r="P474" s="1">
        <f t="shared" si="50"/>
        <v>5.9332442093358875</v>
      </c>
      <c r="R474" s="3">
        <f t="shared" si="45"/>
        <v>1.409089362957086</v>
      </c>
      <c r="S474" s="3">
        <f t="shared" si="46"/>
        <v>-0.51426371367343571</v>
      </c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</row>
    <row r="475" spans="1:100" x14ac:dyDescent="0.2">
      <c r="A475" s="32"/>
      <c r="F475" s="3"/>
      <c r="G475" s="3"/>
      <c r="H475" s="3"/>
      <c r="M475" s="1">
        <f t="shared" si="47"/>
        <v>14.189999999999889</v>
      </c>
      <c r="N475" s="1">
        <f t="shared" si="48"/>
        <v>-14.217397546318187</v>
      </c>
      <c r="O475" s="1">
        <f t="shared" si="49"/>
        <v>0.97907714858073946</v>
      </c>
      <c r="P475" s="1">
        <f t="shared" si="50"/>
        <v>5.9626165237933098</v>
      </c>
      <c r="R475" s="3">
        <f t="shared" si="45"/>
        <v>1.4235845164692082</v>
      </c>
      <c r="S475" s="3">
        <f t="shared" si="46"/>
        <v>-0.47265962855857546</v>
      </c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</row>
    <row r="476" spans="1:100" x14ac:dyDescent="0.2">
      <c r="A476" s="32"/>
      <c r="F476" s="3"/>
      <c r="G476" s="3"/>
      <c r="H476" s="3"/>
      <c r="M476" s="1">
        <f t="shared" si="47"/>
        <v>14.219999999999889</v>
      </c>
      <c r="N476" s="1">
        <f t="shared" si="48"/>
        <v>-14.32396210806435</v>
      </c>
      <c r="O476" s="1">
        <f t="shared" si="49"/>
        <v>0.54935828533880904</v>
      </c>
      <c r="P476" s="1">
        <f t="shared" si="50"/>
        <v>5.9790972723534743</v>
      </c>
      <c r="R476" s="3">
        <f t="shared" si="45"/>
        <v>1.4311806191993948</v>
      </c>
      <c r="S476" s="3">
        <f t="shared" si="46"/>
        <v>-0.44913476288084991</v>
      </c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</row>
    <row r="477" spans="1:100" x14ac:dyDescent="0.2">
      <c r="A477" s="32"/>
      <c r="F477" s="3"/>
      <c r="G477" s="3"/>
      <c r="H477" s="3"/>
      <c r="M477" s="1">
        <f t="shared" si="47"/>
        <v>14.249999999999888</v>
      </c>
      <c r="N477" s="1">
        <f t="shared" si="48"/>
        <v>-14.361248437674439</v>
      </c>
      <c r="O477" s="1">
        <f t="shared" si="49"/>
        <v>0.1185208322085759</v>
      </c>
      <c r="P477" s="1">
        <f t="shared" si="50"/>
        <v>5.9826528973197313</v>
      </c>
      <c r="R477" s="3">
        <f t="shared" si="45"/>
        <v>1.4327685237918977</v>
      </c>
      <c r="S477" s="3">
        <f t="shared" si="46"/>
        <v>-0.4440431929792259</v>
      </c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</row>
    <row r="478" spans="1:100" x14ac:dyDescent="0.2">
      <c r="A478" s="32"/>
      <c r="F478" s="3"/>
      <c r="G478" s="3"/>
      <c r="H478" s="3"/>
      <c r="M478" s="1">
        <f t="shared" si="47"/>
        <v>14.279999999999887</v>
      </c>
      <c r="N478" s="1">
        <f t="shared" si="48"/>
        <v>-14.33835211281775</v>
      </c>
      <c r="O478" s="1">
        <f t="shared" si="49"/>
        <v>-0.3116297311759566</v>
      </c>
      <c r="P478" s="1">
        <f t="shared" si="50"/>
        <v>5.9733040053844526</v>
      </c>
      <c r="R478" s="3">
        <f t="shared" si="45"/>
        <v>1.4285546596339707</v>
      </c>
      <c r="S478" s="3">
        <f t="shared" si="46"/>
        <v>-0.45741839101425591</v>
      </c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</row>
    <row r="479" spans="1:100" x14ac:dyDescent="0.2">
      <c r="A479" s="32"/>
      <c r="F479" s="3"/>
      <c r="G479" s="3"/>
      <c r="H479" s="3"/>
      <c r="M479" s="1">
        <f t="shared" si="47"/>
        <v>14.309999999999887</v>
      </c>
      <c r="N479" s="1">
        <f t="shared" si="48"/>
        <v>-14.257499920533869</v>
      </c>
      <c r="O479" s="1">
        <f t="shared" si="49"/>
        <v>-0.73935472879197262</v>
      </c>
      <c r="P479" s="1">
        <f t="shared" si="50"/>
        <v>5.9511233635206935</v>
      </c>
      <c r="R479" s="3">
        <f t="shared" si="45"/>
        <v>1.4180582616489372</v>
      </c>
      <c r="S479" s="3">
        <f t="shared" si="46"/>
        <v>-0.48898953625736657</v>
      </c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</row>
    <row r="480" spans="1:100" x14ac:dyDescent="0.2">
      <c r="A480" s="32"/>
      <c r="F480" s="3"/>
      <c r="G480" s="3"/>
      <c r="H480" s="3"/>
      <c r="M480" s="1">
        <f t="shared" si="47"/>
        <v>14.339999999999886</v>
      </c>
      <c r="N480" s="1">
        <f t="shared" si="48"/>
        <v>-14.114040690898094</v>
      </c>
      <c r="O480" s="1">
        <f t="shared" si="49"/>
        <v>-1.1627759495189154</v>
      </c>
      <c r="P480" s="1">
        <f t="shared" si="50"/>
        <v>5.9162400850351258</v>
      </c>
      <c r="R480" s="3">
        <f t="shared" si="45"/>
        <v>1.4001414729309756</v>
      </c>
      <c r="S480" s="3">
        <f t="shared" si="46"/>
        <v>-0.53814854434317494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</row>
    <row r="481" spans="1:100" x14ac:dyDescent="0.2">
      <c r="A481" s="32"/>
      <c r="F481" s="3"/>
      <c r="G481" s="3"/>
      <c r="H481" s="3"/>
      <c r="M481" s="1">
        <f t="shared" si="47"/>
        <v>14.369999999999886</v>
      </c>
      <c r="N481" s="1">
        <f t="shared" si="48"/>
        <v>-13.896764893853053</v>
      </c>
      <c r="O481" s="1">
        <f t="shared" si="49"/>
        <v>-1.579678896334507</v>
      </c>
      <c r="P481" s="1">
        <f t="shared" si="50"/>
        <v>5.8688497181450909</v>
      </c>
      <c r="R481" s="3">
        <f t="shared" si="45"/>
        <v>1.3730760034507519</v>
      </c>
      <c r="S481" s="3">
        <f t="shared" si="46"/>
        <v>-0.60387274217976628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</row>
    <row r="482" spans="1:100" x14ac:dyDescent="0.2">
      <c r="A482" s="32"/>
      <c r="F482" s="3"/>
      <c r="G482" s="3"/>
      <c r="H482" s="3"/>
      <c r="M482" s="1">
        <f t="shared" si="47"/>
        <v>14.399999999999885</v>
      </c>
      <c r="N482" s="1">
        <f t="shared" si="48"/>
        <v>-13.588588933837414</v>
      </c>
      <c r="O482" s="1">
        <f t="shared" si="49"/>
        <v>-1.9873365643496295</v>
      </c>
      <c r="P482" s="1">
        <f t="shared" si="50"/>
        <v>5.8092296212146017</v>
      </c>
      <c r="R482" s="3">
        <f t="shared" si="45"/>
        <v>1.334654762351797</v>
      </c>
      <c r="S482" s="3">
        <f t="shared" si="46"/>
        <v>-0.68461424563886208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</row>
    <row r="483" spans="1:100" x14ac:dyDescent="0.2">
      <c r="A483" s="32"/>
      <c r="F483" s="3"/>
      <c r="G483" s="3"/>
      <c r="H483" s="3"/>
      <c r="M483" s="1">
        <f t="shared" si="47"/>
        <v>14.429999999999884</v>
      </c>
      <c r="N483" s="1">
        <f t="shared" si="48"/>
        <v>-13.167687332726503</v>
      </c>
      <c r="O483" s="1">
        <f t="shared" si="49"/>
        <v>-2.3823671843314247</v>
      </c>
      <c r="P483" s="1">
        <f t="shared" si="50"/>
        <v>5.7377586056846592</v>
      </c>
      <c r="R483" s="3">
        <f t="shared" si="45"/>
        <v>1.2823590047471027</v>
      </c>
      <c r="S483" s="3">
        <f t="shared" si="46"/>
        <v>-0.77817439108725539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</row>
    <row r="484" spans="1:100" x14ac:dyDescent="0.2">
      <c r="A484" s="32"/>
      <c r="F484" s="3"/>
      <c r="G484" s="3"/>
      <c r="H484" s="3"/>
      <c r="M484" s="1">
        <f t="shared" si="47"/>
        <v>14.459999999999884</v>
      </c>
      <c r="N484" s="1">
        <f t="shared" si="48"/>
        <v>-12.609177000881198</v>
      </c>
      <c r="O484" s="1">
        <f t="shared" si="49"/>
        <v>-2.7606424943578607</v>
      </c>
      <c r="P484" s="1">
        <f t="shared" si="50"/>
        <v>5.6549393308539235</v>
      </c>
      <c r="R484" s="3">
        <f t="shared" si="45"/>
        <v>1.2135894579709516</v>
      </c>
      <c r="S484" s="3">
        <f t="shared" si="46"/>
        <v>-0.88158982951357345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</row>
    <row r="485" spans="1:100" x14ac:dyDescent="0.2">
      <c r="A485" s="32"/>
      <c r="F485" s="3"/>
      <c r="G485" s="3"/>
      <c r="H485" s="3"/>
      <c r="M485" s="1">
        <f t="shared" si="47"/>
        <v>14.489999999999883</v>
      </c>
      <c r="N485" s="1">
        <f t="shared" si="48"/>
        <v>-11.887436755217308</v>
      </c>
      <c r="O485" s="1">
        <f t="shared" si="49"/>
        <v>-3.1172655970143799</v>
      </c>
      <c r="P485" s="1">
        <f t="shared" si="50"/>
        <v>5.5614213629434923</v>
      </c>
      <c r="R485" s="3">
        <f t="shared" si="45"/>
        <v>1.125962163497086</v>
      </c>
      <c r="S485" s="3">
        <f t="shared" si="46"/>
        <v>-0.99106468324371311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</row>
    <row r="486" spans="1:100" x14ac:dyDescent="0.2">
      <c r="A486" s="32"/>
      <c r="F486" s="3"/>
      <c r="G486" s="3"/>
      <c r="H486" s="3"/>
      <c r="M486" s="1">
        <f t="shared" si="47"/>
        <v>14.519999999999882</v>
      </c>
      <c r="N486" s="1">
        <f t="shared" si="48"/>
        <v>-10.979067731239565</v>
      </c>
      <c r="O486" s="1">
        <f t="shared" si="49"/>
        <v>-3.4466376289515668</v>
      </c>
      <c r="P486" s="1">
        <f t="shared" si="50"/>
        <v>5.4580222340749449</v>
      </c>
      <c r="R486" s="3">
        <f t="shared" si="45"/>
        <v>1.017655757421952</v>
      </c>
      <c r="S486" s="3">
        <f t="shared" si="46"/>
        <v>-1.1019876403054405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</row>
    <row r="487" spans="1:100" x14ac:dyDescent="0.2">
      <c r="A487" s="32"/>
      <c r="F487" s="3"/>
      <c r="G487" s="3"/>
      <c r="H487" s="3"/>
      <c r="M487" s="1">
        <f t="shared" si="47"/>
        <v>14.549999999999882</v>
      </c>
      <c r="N487" s="1">
        <f t="shared" si="48"/>
        <v>-9.8663601876138802</v>
      </c>
      <c r="O487" s="1">
        <f t="shared" si="49"/>
        <v>-3.7426284345799834</v>
      </c>
      <c r="P487" s="1">
        <f t="shared" si="50"/>
        <v>5.3457433810375452</v>
      </c>
      <c r="R487" s="3">
        <f t="shared" si="45"/>
        <v>0.88777782950142403</v>
      </c>
      <c r="S487" s="3">
        <f t="shared" si="46"/>
        <v>-1.2090701077463377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</row>
    <row r="488" spans="1:100" x14ac:dyDescent="0.2">
      <c r="A488" s="32"/>
      <c r="F488" s="3"/>
      <c r="G488" s="3"/>
      <c r="H488" s="3"/>
      <c r="M488" s="1">
        <f t="shared" si="47"/>
        <v>14.579999999999881</v>
      </c>
      <c r="N488" s="1">
        <f t="shared" si="48"/>
        <v>-8.5409417359020416</v>
      </c>
      <c r="O488" s="1">
        <f t="shared" si="49"/>
        <v>-3.9988566866570445</v>
      </c>
      <c r="P488" s="1">
        <f t="shared" si="50"/>
        <v>5.225777680437834</v>
      </c>
      <c r="R488" s="3">
        <f t="shared" si="45"/>
        <v>0.73669786146722283</v>
      </c>
      <c r="S488" s="3">
        <f t="shared" si="46"/>
        <v>-1.3066278203488628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</row>
    <row r="489" spans="1:100" x14ac:dyDescent="0.2">
      <c r="A489" s="32"/>
      <c r="F489" s="3"/>
      <c r="G489" s="3"/>
      <c r="H489" s="3"/>
      <c r="M489" s="1">
        <f t="shared" si="47"/>
        <v>14.60999999999988</v>
      </c>
      <c r="N489" s="1">
        <f t="shared" si="48"/>
        <v>-7.0070815128730937</v>
      </c>
      <c r="O489" s="1">
        <f t="shared" si="49"/>
        <v>-4.2090691320432372</v>
      </c>
      <c r="P489" s="1">
        <f t="shared" si="50"/>
        <v>5.0995056064765372</v>
      </c>
      <c r="R489" s="3">
        <f t="shared" si="45"/>
        <v>0.5662799696327423</v>
      </c>
      <c r="S489" s="3">
        <f t="shared" si="46"/>
        <v>-1.3890021583830388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</row>
    <row r="490" spans="1:100" x14ac:dyDescent="0.2">
      <c r="A490" s="32"/>
      <c r="F490" s="3"/>
      <c r="G490" s="3"/>
      <c r="H490" s="3"/>
      <c r="M490" s="1">
        <f t="shared" si="47"/>
        <v>14.63999999999988</v>
      </c>
      <c r="N490" s="1">
        <f t="shared" si="48"/>
        <v>-5.2839834744435317</v>
      </c>
      <c r="O490" s="1">
        <f t="shared" si="49"/>
        <v>-4.367588636276543</v>
      </c>
      <c r="P490" s="1">
        <f t="shared" si="50"/>
        <v>4.9684779473882408</v>
      </c>
      <c r="R490" s="3">
        <f t="shared" si="45"/>
        <v>0.37994851839476973</v>
      </c>
      <c r="S490" s="3">
        <f t="shared" si="46"/>
        <v>-1.451082052597171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</row>
    <row r="491" spans="1:100" x14ac:dyDescent="0.2">
      <c r="A491" s="32"/>
      <c r="F491" s="3"/>
      <c r="G491" s="3"/>
      <c r="H491" s="3"/>
      <c r="M491" s="1">
        <f t="shared" si="47"/>
        <v>14.669999999999879</v>
      </c>
      <c r="N491" s="1">
        <f t="shared" si="48"/>
        <v>-3.4064022066828081</v>
      </c>
      <c r="O491" s="1">
        <f t="shared" si="49"/>
        <v>-4.4697807024770269</v>
      </c>
      <c r="P491" s="1">
        <f t="shared" si="50"/>
        <v>4.8343845263139302</v>
      </c>
      <c r="R491" s="3">
        <f t="shared" si="45"/>
        <v>0.18253974427002356</v>
      </c>
      <c r="S491" s="3">
        <f t="shared" si="46"/>
        <v>-1.4888516520331483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</row>
    <row r="492" spans="1:100" x14ac:dyDescent="0.2">
      <c r="A492" s="32"/>
      <c r="F492" s="3"/>
      <c r="G492" s="3"/>
      <c r="H492" s="3"/>
      <c r="M492" s="1">
        <f t="shared" si="47"/>
        <v>14.699999999999878</v>
      </c>
      <c r="N492" s="1">
        <f t="shared" si="48"/>
        <v>-1.4231171794773032</v>
      </c>
      <c r="O492" s="1">
        <f t="shared" si="49"/>
        <v>-4.5124742178613459</v>
      </c>
      <c r="P492" s="1">
        <f t="shared" si="50"/>
        <v>4.6990102997780898</v>
      </c>
      <c r="R492" s="3">
        <f t="shared" si="45"/>
        <v>-2.0067422255774958E-2</v>
      </c>
      <c r="S492" s="3">
        <f t="shared" si="46"/>
        <v>-1.4998657601812264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</row>
    <row r="493" spans="1:100" x14ac:dyDescent="0.2">
      <c r="A493" s="32"/>
      <c r="F493" s="3"/>
      <c r="G493" s="3"/>
      <c r="H493" s="3"/>
      <c r="M493" s="1">
        <f t="shared" si="47"/>
        <v>14.729999999999878</v>
      </c>
      <c r="N493" s="1">
        <f t="shared" si="48"/>
        <v>0.60679690216527071</v>
      </c>
      <c r="O493" s="1">
        <f t="shared" si="49"/>
        <v>-4.4942703107963879</v>
      </c>
      <c r="P493" s="1">
        <f t="shared" si="50"/>
        <v>4.5641821904541979</v>
      </c>
      <c r="R493" s="3">
        <f t="shared" si="45"/>
        <v>-0.22149722835557287</v>
      </c>
      <c r="S493" s="3">
        <f t="shared" si="46"/>
        <v>-1.4835561930142045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</row>
    <row r="494" spans="1:100" x14ac:dyDescent="0.2">
      <c r="A494" s="32"/>
      <c r="F494" s="3"/>
      <c r="G494" s="3"/>
      <c r="H494" s="3"/>
      <c r="M494" s="1">
        <f t="shared" si="47"/>
        <v>14.759999999999877</v>
      </c>
      <c r="N494" s="1">
        <f t="shared" si="48"/>
        <v>2.6194566115274034</v>
      </c>
      <c r="O494" s="1">
        <f t="shared" si="49"/>
        <v>-4.4156866124505658</v>
      </c>
      <c r="P494" s="1">
        <f t="shared" si="50"/>
        <v>4.4317115920806813</v>
      </c>
      <c r="R494" s="3">
        <f t="shared" si="45"/>
        <v>-0.41550988923625731</v>
      </c>
      <c r="S494" s="3">
        <f t="shared" si="46"/>
        <v>-1.4413020266227592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</row>
    <row r="495" spans="1:100" x14ac:dyDescent="0.2">
      <c r="A495" s="32"/>
      <c r="F495" s="3"/>
      <c r="G495" s="3"/>
      <c r="H495" s="3"/>
      <c r="M495" s="1">
        <f t="shared" si="47"/>
        <v>14.789999999999877</v>
      </c>
      <c r="N495" s="1">
        <f t="shared" si="48"/>
        <v>4.5525106874831245</v>
      </c>
      <c r="O495" s="1">
        <f t="shared" si="49"/>
        <v>-4.2791112918260721</v>
      </c>
      <c r="P495" s="1">
        <f t="shared" si="50"/>
        <v>4.303338253325899</v>
      </c>
      <c r="R495" s="3">
        <f t="shared" si="45"/>
        <v>-0.5966078258055395</v>
      </c>
      <c r="S495" s="3">
        <f t="shared" si="46"/>
        <v>-1.376248197887135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</row>
    <row r="496" spans="1:100" x14ac:dyDescent="0.2">
      <c r="A496" s="32"/>
      <c r="F496" s="3"/>
      <c r="G496" s="3"/>
      <c r="H496" s="3"/>
      <c r="M496" s="1">
        <f t="shared" si="47"/>
        <v>14.819999999999876</v>
      </c>
      <c r="N496" s="1">
        <f t="shared" si="48"/>
        <v>6.3511982743197422</v>
      </c>
      <c r="O496" s="1">
        <f t="shared" si="49"/>
        <v>-4.0885753435964798</v>
      </c>
      <c r="P496" s="1">
        <f t="shared" si="50"/>
        <v>4.1806809930180044</v>
      </c>
      <c r="R496" s="3">
        <f t="shared" si="45"/>
        <v>-0.76050940003297751</v>
      </c>
      <c r="S496" s="3">
        <f t="shared" si="46"/>
        <v>-1.2929135518129122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</row>
    <row r="497" spans="1:100" x14ac:dyDescent="0.2">
      <c r="A497" s="32"/>
      <c r="F497" s="3"/>
      <c r="G497" s="3"/>
      <c r="H497" s="3"/>
      <c r="M497" s="1">
        <f t="shared" si="47"/>
        <v>14.849999999999875</v>
      </c>
      <c r="N497" s="1">
        <f t="shared" si="48"/>
        <v>7.9730657812534576</v>
      </c>
      <c r="O497" s="1">
        <f t="shared" si="49"/>
        <v>-3.849383370158876</v>
      </c>
      <c r="P497" s="1">
        <f t="shared" si="50"/>
        <v>4.0651994919132379</v>
      </c>
      <c r="R497" s="3">
        <f t="shared" si="45"/>
        <v>-0.9044199237202053</v>
      </c>
      <c r="S497" s="3">
        <f t="shared" si="46"/>
        <v>-1.1966723033386952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</row>
    <row r="498" spans="1:100" x14ac:dyDescent="0.2">
      <c r="A498" s="32"/>
      <c r="F498" s="3"/>
      <c r="G498" s="3"/>
      <c r="H498" s="3"/>
      <c r="M498" s="1">
        <f t="shared" si="47"/>
        <v>14.879999999999875</v>
      </c>
      <c r="N498" s="1">
        <f t="shared" si="48"/>
        <v>9.3906437405163512</v>
      </c>
      <c r="O498" s="1">
        <f t="shared" si="49"/>
        <v>-3.5676640579433854</v>
      </c>
      <c r="P498" s="1">
        <f t="shared" si="50"/>
        <v>3.9581695701749364</v>
      </c>
      <c r="R498" s="3">
        <f t="shared" si="45"/>
        <v>-1.0270799679058071</v>
      </c>
      <c r="S498" s="3">
        <f t="shared" si="46"/>
        <v>-1.0932093758867083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</row>
    <row r="499" spans="1:100" x14ac:dyDescent="0.2">
      <c r="A499" s="32"/>
      <c r="F499" s="3"/>
      <c r="G499" s="3"/>
      <c r="H499" s="3"/>
      <c r="M499" s="1">
        <f t="shared" si="47"/>
        <v>14.909999999999874</v>
      </c>
      <c r="N499" s="1">
        <f t="shared" si="48"/>
        <v>10.591889444272976</v>
      </c>
      <c r="O499" s="1">
        <f t="shared" si="49"/>
        <v>-3.2499073746151961</v>
      </c>
      <c r="P499" s="1">
        <f t="shared" si="50"/>
        <v>3.8606723489364807</v>
      </c>
      <c r="R499" s="3">
        <f t="shared" si="45"/>
        <v>-1.1286183681933877</v>
      </c>
      <c r="S499" s="3">
        <f t="shared" si="46"/>
        <v>-0.988038753782712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</row>
    <row r="500" spans="1:100" x14ac:dyDescent="0.2">
      <c r="A500" s="32"/>
      <c r="F500" s="3"/>
      <c r="G500" s="3"/>
      <c r="H500" s="3"/>
      <c r="M500" s="1">
        <f t="shared" si="47"/>
        <v>14.939999999999873</v>
      </c>
      <c r="N500" s="1">
        <f t="shared" si="48"/>
        <v>11.578675345649245</v>
      </c>
      <c r="O500" s="1">
        <f t="shared" si="49"/>
        <v>-2.9025471142457189</v>
      </c>
      <c r="P500" s="1">
        <f t="shared" si="50"/>
        <v>3.7735959355091091</v>
      </c>
      <c r="R500" s="3">
        <f t="shared" si="45"/>
        <v>-1.2102684970462767</v>
      </c>
      <c r="S500" s="3">
        <f t="shared" si="46"/>
        <v>-0.88614342239693145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</row>
    <row r="501" spans="1:100" x14ac:dyDescent="0.2">
      <c r="A501" s="32"/>
      <c r="F501" s="3"/>
      <c r="G501" s="3"/>
      <c r="H501" s="3"/>
      <c r="M501" s="1">
        <f t="shared" si="47"/>
        <v>14.969999999999873</v>
      </c>
      <c r="N501" s="1">
        <f t="shared" si="48"/>
        <v>12.363914210744882</v>
      </c>
      <c r="O501" s="1">
        <f t="shared" si="49"/>
        <v>-2.5316296879233722</v>
      </c>
      <c r="P501" s="1">
        <f t="shared" si="50"/>
        <v>3.6976470448714078</v>
      </c>
      <c r="R501" s="3">
        <f t="shared" si="45"/>
        <v>-1.2740165452749177</v>
      </c>
      <c r="S501" s="3">
        <f t="shared" si="46"/>
        <v>-0.79175870210927513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</row>
    <row r="502" spans="1:100" x14ac:dyDescent="0.2">
      <c r="A502" s="32"/>
      <c r="F502" s="3"/>
      <c r="G502" s="3"/>
      <c r="H502" s="3"/>
      <c r="M502" s="1">
        <f t="shared" si="47"/>
        <v>14.999999999999872</v>
      </c>
      <c r="N502" s="1">
        <f t="shared" si="48"/>
        <v>12.968012124662282</v>
      </c>
      <c r="O502" s="1">
        <f t="shared" si="49"/>
        <v>-2.1425893241835037</v>
      </c>
      <c r="P502" s="1">
        <f t="shared" si="50"/>
        <v>3.6333693651459029</v>
      </c>
      <c r="R502" s="3">
        <f t="shared" si="45"/>
        <v>-1.3222429499467196</v>
      </c>
      <c r="S502" s="3">
        <f t="shared" si="46"/>
        <v>-0.70828919327926831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</row>
    <row r="503" spans="1:100" x14ac:dyDescent="0.2">
      <c r="A503" s="32"/>
      <c r="F503" s="3"/>
      <c r="G503" s="3"/>
      <c r="H503" s="3"/>
      <c r="M503" s="1">
        <f t="shared" si="47"/>
        <v>15.029999999999871</v>
      </c>
      <c r="N503" s="1">
        <f t="shared" si="48"/>
        <v>13.415262538643711</v>
      </c>
      <c r="O503" s="1">
        <f t="shared" si="49"/>
        <v>-1.7401314480241923</v>
      </c>
      <c r="P503" s="1">
        <f t="shared" si="50"/>
        <v>3.5811654217051769</v>
      </c>
      <c r="R503" s="3">
        <f t="shared" si="45"/>
        <v>-1.3574003333459705</v>
      </c>
      <c r="S503" s="3">
        <f t="shared" si="46"/>
        <v>-0.63832933117024182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</row>
    <row r="504" spans="1:100" x14ac:dyDescent="0.2">
      <c r="A504" s="32"/>
      <c r="F504" s="3"/>
      <c r="G504" s="3"/>
      <c r="H504" s="3"/>
      <c r="M504" s="1">
        <f t="shared" si="47"/>
        <v>15.059999999999871</v>
      </c>
      <c r="N504" s="1">
        <f t="shared" si="48"/>
        <v>13.730615163781883</v>
      </c>
      <c r="O504" s="1">
        <f t="shared" si="49"/>
        <v>-1.3282129931107358</v>
      </c>
      <c r="P504" s="1">
        <f t="shared" si="50"/>
        <v>3.541319031911855</v>
      </c>
      <c r="R504" s="3">
        <f t="shared" si="45"/>
        <v>-1.3817512692336331</v>
      </c>
      <c r="S504" s="3">
        <f t="shared" si="46"/>
        <v>-0.58374945821922963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</row>
    <row r="505" spans="1:100" x14ac:dyDescent="0.2">
      <c r="A505" s="32"/>
      <c r="F505" s="3"/>
      <c r="G505" s="3"/>
      <c r="H505" s="3"/>
      <c r="M505" s="1">
        <f t="shared" si="47"/>
        <v>15.08999999999987</v>
      </c>
      <c r="N505" s="1">
        <f t="shared" si="48"/>
        <v>13.937051861716297</v>
      </c>
      <c r="O505" s="1">
        <f t="shared" si="49"/>
        <v>-0.91010143725924686</v>
      </c>
      <c r="P505" s="1">
        <f t="shared" si="50"/>
        <v>3.5140159887940778</v>
      </c>
      <c r="R505" s="3">
        <f t="shared" si="45"/>
        <v>-1.3971724402309023</v>
      </c>
      <c r="S505" s="3">
        <f t="shared" si="46"/>
        <v>-0.54581056444450227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</row>
    <row r="506" spans="1:100" x14ac:dyDescent="0.2">
      <c r="A506" s="32"/>
      <c r="F506" s="3"/>
      <c r="G506" s="3"/>
      <c r="H506" s="3"/>
      <c r="M506" s="1">
        <f t="shared" si="47"/>
        <v>15.11999999999987</v>
      </c>
      <c r="N506" s="1">
        <f t="shared" si="48"/>
        <v>14.053633531662355</v>
      </c>
      <c r="O506" s="1">
        <f t="shared" si="49"/>
        <v>-0.48849243130937625</v>
      </c>
      <c r="P506" s="1">
        <f t="shared" si="50"/>
        <v>3.4993612158547966</v>
      </c>
      <c r="R506" s="3">
        <f t="shared" si="45"/>
        <v>-1.405020856472242</v>
      </c>
      <c r="S506" s="3">
        <f t="shared" si="46"/>
        <v>-0.52527744371713436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</row>
    <row r="507" spans="1:100" x14ac:dyDescent="0.2">
      <c r="A507" s="32"/>
      <c r="F507" s="3"/>
      <c r="G507" s="3"/>
      <c r="H507" s="3"/>
      <c r="M507" s="1">
        <f t="shared" si="47"/>
        <v>15.149999999999869</v>
      </c>
      <c r="N507" s="1">
        <f t="shared" si="48"/>
        <v>14.094172883540265</v>
      </c>
      <c r="O507" s="1">
        <f t="shared" si="49"/>
        <v>-6.5667244803168323E-2</v>
      </c>
      <c r="P507" s="1">
        <f t="shared" si="50"/>
        <v>3.4973911985107016</v>
      </c>
      <c r="R507" s="3">
        <f t="shared" si="45"/>
        <v>-1.4060529350576396</v>
      </c>
      <c r="S507" s="3">
        <f t="shared" si="46"/>
        <v>-0.52250851075920002</v>
      </c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</row>
    <row r="508" spans="1:100" x14ac:dyDescent="0.2">
      <c r="A508" s="32"/>
      <c r="F508" s="3"/>
      <c r="G508" s="3"/>
      <c r="H508" s="3"/>
      <c r="M508" s="1">
        <f t="shared" si="47"/>
        <v>15.179999999999868</v>
      </c>
      <c r="N508" s="1">
        <f t="shared" si="48"/>
        <v>14.06643940260868</v>
      </c>
      <c r="O508" s="1">
        <f t="shared" si="49"/>
        <v>0.35632593727509204</v>
      </c>
      <c r="P508" s="1">
        <f t="shared" si="50"/>
        <v>3.5080809766289542</v>
      </c>
      <c r="R508" s="3">
        <f t="shared" si="45"/>
        <v>-1.4003872063663307</v>
      </c>
      <c r="S508" s="3">
        <f t="shared" si="46"/>
        <v>-0.53750876480807652</v>
      </c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</row>
    <row r="509" spans="1:100" x14ac:dyDescent="0.2">
      <c r="A509" s="32"/>
      <c r="F509" s="3"/>
      <c r="G509" s="3"/>
      <c r="H509" s="3"/>
      <c r="M509" s="1">
        <f t="shared" si="47"/>
        <v>15.209999999999868</v>
      </c>
      <c r="N509" s="1">
        <f t="shared" si="48"/>
        <v>13.971802729308548</v>
      </c>
      <c r="O509" s="1">
        <f t="shared" si="49"/>
        <v>0.7754800191543485</v>
      </c>
      <c r="P509" s="1">
        <f t="shared" si="50"/>
        <v>3.5313453772035848</v>
      </c>
      <c r="R509" s="3">
        <f t="shared" si="45"/>
        <v>-1.3875045647949904</v>
      </c>
      <c r="S509" s="3">
        <f t="shared" si="46"/>
        <v>-0.56993954299825911</v>
      </c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</row>
    <row r="510" spans="1:100" x14ac:dyDescent="0.2">
      <c r="A510" s="32"/>
      <c r="F510" s="3"/>
      <c r="G510" s="3"/>
      <c r="H510" s="3"/>
      <c r="M510" s="1">
        <f t="shared" si="47"/>
        <v>15.239999999999867</v>
      </c>
      <c r="N510" s="1">
        <f t="shared" si="48"/>
        <v>13.805252446226012</v>
      </c>
      <c r="O510" s="1">
        <f t="shared" si="49"/>
        <v>1.1896375925411289</v>
      </c>
      <c r="P510" s="1">
        <f t="shared" si="50"/>
        <v>3.5670345049798184</v>
      </c>
      <c r="R510" s="3">
        <f t="shared" si="45"/>
        <v>-1.3662846892757401</v>
      </c>
      <c r="S510" s="3">
        <f t="shared" si="46"/>
        <v>-0.61908492781741509</v>
      </c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</row>
    <row r="511" spans="1:100" x14ac:dyDescent="0.2">
      <c r="A511" s="32"/>
      <c r="F511" s="3"/>
      <c r="G511" s="3"/>
      <c r="H511" s="3"/>
      <c r="M511" s="1">
        <f t="shared" si="47"/>
        <v>15.269999999999866</v>
      </c>
      <c r="N511" s="1">
        <f t="shared" si="48"/>
        <v>13.555779509428701</v>
      </c>
      <c r="O511" s="1">
        <f t="shared" si="49"/>
        <v>1.5963109778239899</v>
      </c>
      <c r="P511" s="1">
        <f t="shared" si="50"/>
        <v>3.614923834314538</v>
      </c>
      <c r="R511" s="3">
        <f t="shared" si="45"/>
        <v>-1.3350820472457459</v>
      </c>
      <c r="S511" s="3">
        <f t="shared" si="46"/>
        <v>-0.68378061329794093</v>
      </c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</row>
    <row r="512" spans="1:100" x14ac:dyDescent="0.2">
      <c r="A512" s="32"/>
      <c r="F512" s="3"/>
      <c r="G512" s="3"/>
      <c r="H512" s="3"/>
      <c r="M512" s="1">
        <f t="shared" si="47"/>
        <v>15.299999999999866</v>
      </c>
      <c r="N512" s="1">
        <f t="shared" si="48"/>
        <v>13.207152484453299</v>
      </c>
      <c r="O512" s="1">
        <f t="shared" si="49"/>
        <v>1.9925255523575889</v>
      </c>
      <c r="P512" s="1">
        <f t="shared" si="50"/>
        <v>3.6746996008852655</v>
      </c>
      <c r="R512" s="3">
        <f t="shared" si="45"/>
        <v>-1.2918483648106696</v>
      </c>
      <c r="S512" s="3">
        <f t="shared" si="46"/>
        <v>-0.76231738950124928</v>
      </c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</row>
    <row r="513" spans="1:100" x14ac:dyDescent="0.2">
      <c r="A513" s="32"/>
      <c r="F513" s="3"/>
      <c r="G513" s="3"/>
      <c r="H513" s="3"/>
      <c r="M513" s="1">
        <f t="shared" si="47"/>
        <v>15.329999999999865</v>
      </c>
      <c r="N513" s="1">
        <f t="shared" si="48"/>
        <v>12.739156348394513</v>
      </c>
      <c r="O513" s="1">
        <f t="shared" si="49"/>
        <v>2.3747002428094244</v>
      </c>
      <c r="P513" s="1">
        <f t="shared" si="50"/>
        <v>3.7459406081695481</v>
      </c>
      <c r="R513" s="3">
        <f t="shared" si="45"/>
        <v>-1.2343091721964745</v>
      </c>
      <c r="S513" s="3">
        <f t="shared" si="46"/>
        <v>-0.85233846999396534</v>
      </c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</row>
    <row r="514" spans="1:100" x14ac:dyDescent="0.2">
      <c r="A514" s="32"/>
      <c r="F514" s="3"/>
      <c r="G514" s="3"/>
      <c r="H514" s="3"/>
      <c r="M514" s="1">
        <f t="shared" si="47"/>
        <v>15.359999999999864</v>
      </c>
      <c r="N514" s="1">
        <f t="shared" si="48"/>
        <v>12.129368700111899</v>
      </c>
      <c r="O514" s="1">
        <f t="shared" si="49"/>
        <v>2.7385813038127811</v>
      </c>
      <c r="P514" s="1">
        <f t="shared" si="50"/>
        <v>3.8280980472839317</v>
      </c>
      <c r="R514" s="3">
        <f t="shared" ref="R514:R577" si="51">$B$3*COS(P514)</f>
        <v>-1.1601986219875284</v>
      </c>
      <c r="S514" s="3">
        <f t="shared" ref="S514:S577" si="52">$B$3*SIN(P514)</f>
        <v>-0.95075714961195001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</row>
    <row r="515" spans="1:100" x14ac:dyDescent="0.2">
      <c r="A515" s="32"/>
      <c r="F515" s="3"/>
      <c r="G515" s="3"/>
      <c r="H515" s="3"/>
      <c r="M515" s="1">
        <f t="shared" ref="M515:M578" si="53">M514+B$13</f>
        <v>15.389999999999864</v>
      </c>
      <c r="N515" s="1">
        <f t="shared" ref="N515:N578" si="54">-$B$12*$B$3*COS(P514)-B$10*O514</f>
        <v>11.355513902532135</v>
      </c>
      <c r="O515" s="1">
        <f t="shared" ref="O515:O578" si="55">N515*$B$13+O514</f>
        <v>3.0792467208887451</v>
      </c>
      <c r="P515" s="1">
        <f t="shared" ref="P515:P578" si="56">O515*$B$13+P514</f>
        <v>3.9204754489105942</v>
      </c>
      <c r="R515" s="3">
        <f t="shared" si="51"/>
        <v>-1.0675482018671145</v>
      </c>
      <c r="S515" s="3">
        <f t="shared" si="52"/>
        <v>-1.0537271168050533</v>
      </c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</row>
    <row r="516" spans="1:100" x14ac:dyDescent="0.2">
      <c r="A516" s="32"/>
      <c r="F516" s="3"/>
      <c r="G516" s="3"/>
      <c r="H516" s="3"/>
      <c r="M516" s="1">
        <f t="shared" si="53"/>
        <v>15.419999999999863</v>
      </c>
      <c r="N516" s="1">
        <f t="shared" si="54"/>
        <v>10.398349813791159</v>
      </c>
      <c r="O516" s="1">
        <f t="shared" si="55"/>
        <v>3.3911972153024799</v>
      </c>
      <c r="P516" s="1">
        <f t="shared" si="56"/>
        <v>4.0222113653696683</v>
      </c>
      <c r="R516" s="3">
        <f t="shared" si="51"/>
        <v>-0.95501123558000667</v>
      </c>
      <c r="S516" s="3">
        <f t="shared" si="52"/>
        <v>-1.1566994164068507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</row>
    <row r="517" spans="1:100" x14ac:dyDescent="0.2">
      <c r="A517" s="32"/>
      <c r="F517" s="3"/>
      <c r="G517" s="3"/>
      <c r="H517" s="3"/>
      <c r="M517" s="1">
        <f t="shared" si="53"/>
        <v>15.449999999999863</v>
      </c>
      <c r="N517" s="1">
        <f t="shared" si="54"/>
        <v>9.2449046064228426</v>
      </c>
      <c r="O517" s="1">
        <f t="shared" si="55"/>
        <v>3.6685443534951649</v>
      </c>
      <c r="P517" s="1">
        <f t="shared" si="56"/>
        <v>4.132267695974523</v>
      </c>
      <c r="R517" s="3">
        <f t="shared" si="51"/>
        <v>-0.82218807396008331</v>
      </c>
      <c r="S517" s="3">
        <f t="shared" si="52"/>
        <v>-1.2545942655049116</v>
      </c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</row>
    <row r="518" spans="1:100" x14ac:dyDescent="0.2">
      <c r="A518" s="32"/>
      <c r="F518" s="3"/>
      <c r="G518" s="3"/>
      <c r="H518" s="3"/>
      <c r="M518" s="1">
        <f t="shared" si="53"/>
        <v>15.479999999999862</v>
      </c>
      <c r="N518" s="1">
        <f t="shared" si="54"/>
        <v>7.8917117477862675</v>
      </c>
      <c r="O518" s="1">
        <f t="shared" si="55"/>
        <v>3.905295705928753</v>
      </c>
      <c r="P518" s="1">
        <f t="shared" si="56"/>
        <v>4.2494265671523852</v>
      </c>
      <c r="R518" s="3">
        <f t="shared" si="51"/>
        <v>-0.66990094925929711</v>
      </c>
      <c r="S518" s="3">
        <f t="shared" si="52"/>
        <v>-1.3421001148131582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</row>
    <row r="519" spans="1:100" x14ac:dyDescent="0.2">
      <c r="A519" s="32"/>
      <c r="F519" s="3"/>
      <c r="G519" s="3"/>
      <c r="H519" s="3"/>
      <c r="M519" s="1">
        <f t="shared" si="53"/>
        <v>15.509999999999861</v>
      </c>
      <c r="N519" s="1">
        <f t="shared" si="54"/>
        <v>6.3475328790593846</v>
      </c>
      <c r="O519" s="1">
        <f t="shared" si="55"/>
        <v>4.0957216923005344</v>
      </c>
      <c r="P519" s="1">
        <f t="shared" si="56"/>
        <v>4.3722982179214016</v>
      </c>
      <c r="R519" s="3">
        <f t="shared" si="51"/>
        <v>-0.50035898625421904</v>
      </c>
      <c r="S519" s="3">
        <f t="shared" si="52"/>
        <v>-1.4140865903029596</v>
      </c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</row>
    <row r="520" spans="1:100" x14ac:dyDescent="0.2">
      <c r="A520" s="32"/>
      <c r="F520" s="3"/>
      <c r="G520" s="3"/>
      <c r="H520" s="3"/>
      <c r="M520" s="1">
        <f t="shared" si="53"/>
        <v>15.539999999999861</v>
      </c>
      <c r="N520" s="1">
        <f t="shared" si="54"/>
        <v>4.6349749102351421</v>
      </c>
      <c r="O520" s="1">
        <f t="shared" si="55"/>
        <v>4.2347709396075883</v>
      </c>
      <c r="P520" s="1">
        <f t="shared" si="56"/>
        <v>4.4993413461096292</v>
      </c>
      <c r="R520" s="3">
        <f t="shared" si="51"/>
        <v>-0.31715941151241667</v>
      </c>
      <c r="S520" s="3">
        <f t="shared" si="52"/>
        <v>-1.4660865962449483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</row>
    <row r="521" spans="1:100" x14ac:dyDescent="0.2">
      <c r="A521" s="32"/>
      <c r="F521" s="3"/>
      <c r="G521" s="3"/>
      <c r="H521" s="3"/>
      <c r="M521" s="1">
        <f t="shared" si="53"/>
        <v>15.56999999999986</v>
      </c>
      <c r="N521" s="1">
        <f t="shared" si="54"/>
        <v>2.7904647305594841</v>
      </c>
      <c r="O521" s="1">
        <f t="shared" si="55"/>
        <v>4.3184848815243733</v>
      </c>
      <c r="P521" s="1">
        <f t="shared" si="56"/>
        <v>4.6288958925553603</v>
      </c>
      <c r="R521" s="3">
        <f t="shared" si="51"/>
        <v>-0.12509417287693086</v>
      </c>
      <c r="S521" s="3">
        <f t="shared" si="52"/>
        <v>-1.4947747147688299</v>
      </c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</row>
    <row r="522" spans="1:100" x14ac:dyDescent="0.2">
      <c r="A522" s="32"/>
      <c r="F522" s="3"/>
      <c r="G522" s="3"/>
      <c r="H522" s="3"/>
      <c r="M522" s="1">
        <f t="shared" si="53"/>
        <v>15.599999999999859</v>
      </c>
      <c r="N522" s="1">
        <f t="shared" si="54"/>
        <v>0.86227808943211515</v>
      </c>
      <c r="O522" s="1">
        <f t="shared" si="55"/>
        <v>4.344353224207337</v>
      </c>
      <c r="P522" s="1">
        <f t="shared" si="56"/>
        <v>4.7592264892815805</v>
      </c>
      <c r="R522" s="3">
        <f t="shared" si="51"/>
        <v>7.023057869027563E-2</v>
      </c>
      <c r="S522" s="3">
        <f t="shared" si="52"/>
        <v>-1.4983549865825618</v>
      </c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</row>
    <row r="523" spans="1:100" x14ac:dyDescent="0.2">
      <c r="A523" s="32"/>
      <c r="F523" s="3"/>
      <c r="G523" s="3"/>
      <c r="H523" s="3"/>
      <c r="M523" s="1">
        <f t="shared" si="53"/>
        <v>15.629999999999859</v>
      </c>
      <c r="N523" s="1">
        <f t="shared" si="54"/>
        <v>-1.0932975770814166</v>
      </c>
      <c r="O523" s="1">
        <f t="shared" si="55"/>
        <v>4.3115542968948946</v>
      </c>
      <c r="P523" s="1">
        <f t="shared" si="56"/>
        <v>4.8885731181884271</v>
      </c>
      <c r="R523" s="3">
        <f t="shared" si="51"/>
        <v>0.26291110076473539</v>
      </c>
      <c r="S523" s="3">
        <f t="shared" si="52"/>
        <v>-1.4767795208136776</v>
      </c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</row>
    <row r="524" spans="1:100" x14ac:dyDescent="0.2">
      <c r="A524" s="32"/>
      <c r="F524" s="3"/>
      <c r="G524" s="3"/>
      <c r="H524" s="3"/>
      <c r="M524" s="1">
        <f t="shared" si="53"/>
        <v>15.659999999999858</v>
      </c>
      <c r="N524" s="1">
        <f t="shared" si="54"/>
        <v>-3.0171508943678949</v>
      </c>
      <c r="O524" s="1">
        <f t="shared" si="55"/>
        <v>4.2210397700638573</v>
      </c>
      <c r="P524" s="1">
        <f t="shared" si="56"/>
        <v>5.0152043112903426</v>
      </c>
      <c r="R524" s="3">
        <f t="shared" si="51"/>
        <v>0.44731293043899606</v>
      </c>
      <c r="S524" s="3">
        <f t="shared" si="52"/>
        <v>-1.4317510755232832</v>
      </c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</row>
    <row r="525" spans="1:100" x14ac:dyDescent="0.2">
      <c r="A525" s="32"/>
      <c r="F525" s="3"/>
      <c r="G525" s="3"/>
      <c r="H525" s="3"/>
      <c r="M525" s="1">
        <f t="shared" si="53"/>
        <v>15.689999999999857</v>
      </c>
      <c r="N525" s="1">
        <f t="shared" si="54"/>
        <v>-4.8530228836957079</v>
      </c>
      <c r="O525" s="1">
        <f t="shared" si="55"/>
        <v>4.0754490835529857</v>
      </c>
      <c r="P525" s="1">
        <f t="shared" si="56"/>
        <v>5.1374677837969323</v>
      </c>
      <c r="R525" s="3">
        <f t="shared" si="51"/>
        <v>0.61858886013591108</v>
      </c>
      <c r="S525" s="3">
        <f t="shared" si="52"/>
        <v>-1.3665093567611435</v>
      </c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</row>
    <row r="526" spans="1:100" x14ac:dyDescent="0.2">
      <c r="A526" s="32"/>
      <c r="F526" s="3"/>
      <c r="G526" s="3"/>
      <c r="H526" s="3"/>
      <c r="M526" s="1">
        <f t="shared" si="53"/>
        <v>15.719999999999857</v>
      </c>
      <c r="N526" s="1">
        <f t="shared" si="54"/>
        <v>-6.5526790188788802</v>
      </c>
      <c r="O526" s="1">
        <f t="shared" si="55"/>
        <v>3.8788687129866193</v>
      </c>
      <c r="P526" s="1">
        <f t="shared" si="56"/>
        <v>5.2538338451865307</v>
      </c>
      <c r="R526" s="3">
        <f t="shared" si="51"/>
        <v>0.77306209146297977</v>
      </c>
      <c r="S526" s="3">
        <f t="shared" si="52"/>
        <v>-1.2854473940005804</v>
      </c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</row>
    <row r="527" spans="1:100" x14ac:dyDescent="0.2">
      <c r="A527" s="32"/>
      <c r="F527" s="3"/>
      <c r="G527" s="3"/>
      <c r="H527" s="3"/>
      <c r="M527" s="1">
        <f t="shared" si="53"/>
        <v>15.749999999999856</v>
      </c>
      <c r="N527" s="1">
        <f t="shared" si="54"/>
        <v>-8.079719098798595</v>
      </c>
      <c r="O527" s="1">
        <f t="shared" si="55"/>
        <v>3.6364771400226616</v>
      </c>
      <c r="P527" s="1">
        <f t="shared" si="56"/>
        <v>5.3629281593872102</v>
      </c>
      <c r="R527" s="3">
        <f t="shared" si="51"/>
        <v>0.90842332412338411</v>
      </c>
      <c r="S527" s="3">
        <f t="shared" si="52"/>
        <v>-1.1936360685689007</v>
      </c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</row>
    <row r="528" spans="1:100" x14ac:dyDescent="0.2">
      <c r="A528" s="32"/>
      <c r="F528" s="3"/>
      <c r="G528" s="3"/>
      <c r="H528" s="3"/>
      <c r="M528" s="1">
        <f t="shared" si="53"/>
        <v>15.779999999999855</v>
      </c>
      <c r="N528" s="1">
        <f t="shared" si="54"/>
        <v>-9.4115161838358805</v>
      </c>
      <c r="O528" s="1">
        <f t="shared" si="55"/>
        <v>3.3541316545075852</v>
      </c>
      <c r="P528" s="1">
        <f t="shared" si="56"/>
        <v>5.4635521090224382</v>
      </c>
      <c r="R528" s="3">
        <f t="shared" si="51"/>
        <v>1.0237340205376373</v>
      </c>
      <c r="S528" s="3">
        <f t="shared" si="52"/>
        <v>-1.0963433108264236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</row>
    <row r="529" spans="1:100" x14ac:dyDescent="0.2">
      <c r="A529" s="32"/>
      <c r="F529" s="3"/>
      <c r="G529" s="3"/>
      <c r="H529" s="3"/>
      <c r="M529" s="1">
        <f t="shared" si="53"/>
        <v>15.809999999999855</v>
      </c>
      <c r="N529" s="1">
        <f t="shared" si="54"/>
        <v>-10.539212054282055</v>
      </c>
      <c r="O529" s="1">
        <f t="shared" si="55"/>
        <v>3.0379552928791238</v>
      </c>
      <c r="P529" s="1">
        <f t="shared" si="56"/>
        <v>5.554690767808812</v>
      </c>
      <c r="R529" s="3">
        <f t="shared" si="51"/>
        <v>1.1192662552652008</v>
      </c>
      <c r="S529" s="3">
        <f t="shared" si="52"/>
        <v>-0.99862057350357769</v>
      </c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</row>
    <row r="530" spans="1:100" x14ac:dyDescent="0.2">
      <c r="A530" s="32"/>
      <c r="F530" s="3"/>
      <c r="G530" s="3"/>
      <c r="H530" s="3"/>
      <c r="M530" s="1">
        <f t="shared" si="53"/>
        <v>15.839999999999854</v>
      </c>
      <c r="N530" s="1">
        <f t="shared" si="54"/>
        <v>-11.46607852901113</v>
      </c>
      <c r="O530" s="1">
        <f t="shared" si="55"/>
        <v>2.6939729370087901</v>
      </c>
      <c r="P530" s="1">
        <f t="shared" si="56"/>
        <v>5.6355099559190753</v>
      </c>
      <c r="R530" s="3">
        <f t="shared" si="51"/>
        <v>1.1962327381245497</v>
      </c>
      <c r="S530" s="3">
        <f t="shared" si="52"/>
        <v>-0.90500123549034051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</row>
    <row r="531" spans="1:100" x14ac:dyDescent="0.2">
      <c r="A531" s="32"/>
      <c r="F531" s="3"/>
      <c r="G531" s="3"/>
      <c r="H531" s="3"/>
      <c r="M531" s="1">
        <f t="shared" si="53"/>
        <v>15.869999999999854</v>
      </c>
      <c r="N531" s="1">
        <f t="shared" si="54"/>
        <v>-12.204784945576288</v>
      </c>
      <c r="O531" s="1">
        <f t="shared" si="55"/>
        <v>2.3278293886415016</v>
      </c>
      <c r="P531" s="1">
        <f t="shared" si="56"/>
        <v>5.7053448375783207</v>
      </c>
      <c r="R531" s="3">
        <f t="shared" si="51"/>
        <v>1.2564662593426592</v>
      </c>
      <c r="S531" s="3">
        <f t="shared" si="52"/>
        <v>-0.81932444070311083</v>
      </c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</row>
    <row r="532" spans="1:100" x14ac:dyDescent="0.2">
      <c r="A532" s="32"/>
      <c r="F532" s="3"/>
      <c r="G532" s="3"/>
      <c r="H532" s="3"/>
      <c r="M532" s="1">
        <f t="shared" si="53"/>
        <v>15.899999999999853</v>
      </c>
      <c r="N532" s="1">
        <f t="shared" si="54"/>
        <v>-12.774167238404328</v>
      </c>
      <c r="O532" s="1">
        <f t="shared" si="55"/>
        <v>1.9446043714893717</v>
      </c>
      <c r="P532" s="1">
        <f t="shared" si="56"/>
        <v>5.7636829687230016</v>
      </c>
      <c r="R532" s="3">
        <f t="shared" si="51"/>
        <v>1.3020995255079677</v>
      </c>
      <c r="S532" s="3">
        <f t="shared" si="52"/>
        <v>-0.74467229414818803</v>
      </c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</row>
    <row r="533" spans="1:100" x14ac:dyDescent="0.2">
      <c r="A533" s="32"/>
      <c r="F533" s="3"/>
      <c r="G533" s="3"/>
      <c r="H533" s="3"/>
      <c r="M533" s="1">
        <f t="shared" si="53"/>
        <v>15.929999999999852</v>
      </c>
      <c r="N533" s="1">
        <f t="shared" si="54"/>
        <v>-13.196009648513719</v>
      </c>
      <c r="O533" s="1">
        <f t="shared" si="55"/>
        <v>1.5487240820339601</v>
      </c>
      <c r="P533" s="1">
        <f t="shared" si="56"/>
        <v>5.8101446911840204</v>
      </c>
      <c r="R533" s="3">
        <f t="shared" si="51"/>
        <v>1.3352806734126097</v>
      </c>
      <c r="S533" s="3">
        <f t="shared" si="52"/>
        <v>-0.68339265668484295</v>
      </c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</row>
    <row r="534" spans="1:100" x14ac:dyDescent="0.2">
      <c r="A534" s="32"/>
      <c r="F534" s="3"/>
      <c r="G534" s="3"/>
      <c r="H534" s="3"/>
      <c r="M534" s="1">
        <f t="shared" si="53"/>
        <v>15.959999999999852</v>
      </c>
      <c r="N534" s="1">
        <f t="shared" si="54"/>
        <v>-13.492191901509154</v>
      </c>
      <c r="O534" s="1">
        <f t="shared" si="55"/>
        <v>1.1439583249886855</v>
      </c>
      <c r="P534" s="1">
        <f t="shared" si="56"/>
        <v>5.8444634409336809</v>
      </c>
      <c r="R534" s="3">
        <f t="shared" si="51"/>
        <v>1.357942997499701</v>
      </c>
      <c r="S534" s="3">
        <f t="shared" si="52"/>
        <v>-0.63717408574229295</v>
      </c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</row>
    <row r="535" spans="1:100" x14ac:dyDescent="0.2">
      <c r="A535" s="32"/>
      <c r="F535" s="3"/>
      <c r="G535" s="3"/>
      <c r="H535" s="3"/>
      <c r="M535" s="1">
        <f t="shared" si="53"/>
        <v>15.989999999999851</v>
      </c>
      <c r="N535" s="1">
        <f t="shared" si="54"/>
        <v>-13.682386224245992</v>
      </c>
      <c r="O535" s="1">
        <f t="shared" si="55"/>
        <v>0.73348673826130584</v>
      </c>
      <c r="P535" s="1">
        <f t="shared" si="56"/>
        <v>5.8664680430815199</v>
      </c>
      <c r="R535" s="3">
        <f t="shared" si="51"/>
        <v>1.3716338818589098</v>
      </c>
      <c r="S535" s="3">
        <f t="shared" si="52"/>
        <v>-0.60714124727007168</v>
      </c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</row>
    <row r="536" spans="1:100" x14ac:dyDescent="0.2">
      <c r="A536" s="32"/>
      <c r="F536" s="3"/>
      <c r="G536" s="3"/>
      <c r="H536" s="3"/>
      <c r="M536" s="1">
        <f t="shared" si="53"/>
        <v>16.01999999999985</v>
      </c>
      <c r="N536" s="1">
        <f t="shared" si="54"/>
        <v>-13.782352625032617</v>
      </c>
      <c r="O536" s="1">
        <f t="shared" si="55"/>
        <v>0.32001615951032736</v>
      </c>
      <c r="P536" s="1">
        <f t="shared" si="56"/>
        <v>5.8760685278668294</v>
      </c>
      <c r="R536" s="3">
        <f t="shared" si="51"/>
        <v>1.3773994318386618</v>
      </c>
      <c r="S536" s="3">
        <f t="shared" si="52"/>
        <v>-0.59394511966218877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</row>
    <row r="537" spans="1:100" x14ac:dyDescent="0.2">
      <c r="A537" s="32"/>
      <c r="F537" s="3"/>
      <c r="G537" s="3"/>
      <c r="H537" s="3"/>
      <c r="M537" s="1">
        <f t="shared" si="53"/>
        <v>16.049999999999851</v>
      </c>
      <c r="N537" s="1">
        <f t="shared" si="54"/>
        <v>-13.802795772742547</v>
      </c>
      <c r="O537" s="1">
        <f t="shared" si="55"/>
        <v>-9.4067713671949049E-2</v>
      </c>
      <c r="P537" s="1">
        <f t="shared" si="56"/>
        <v>5.8732464964566713</v>
      </c>
      <c r="R537" s="3">
        <f t="shared" si="51"/>
        <v>1.3757178175744498</v>
      </c>
      <c r="S537" s="3">
        <f t="shared" si="52"/>
        <v>-0.5978298139171323</v>
      </c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</row>
    <row r="538" spans="1:100" x14ac:dyDescent="0.2">
      <c r="A538" s="32"/>
      <c r="F538" s="3"/>
      <c r="G538" s="3"/>
      <c r="H538" s="3"/>
      <c r="M538" s="1">
        <f t="shared" si="53"/>
        <v>16.079999999999853</v>
      </c>
      <c r="N538" s="1">
        <f t="shared" si="54"/>
        <v>-13.748712081514022</v>
      </c>
      <c r="O538" s="1">
        <f t="shared" si="55"/>
        <v>-0.50652907611736975</v>
      </c>
      <c r="P538" s="1">
        <f t="shared" si="56"/>
        <v>5.85805062417315</v>
      </c>
      <c r="R538" s="3">
        <f t="shared" si="51"/>
        <v>1.3664747881332016</v>
      </c>
      <c r="S538" s="3">
        <f t="shared" si="52"/>
        <v>-0.61866521915840877</v>
      </c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</row>
    <row r="539" spans="1:100" x14ac:dyDescent="0.2">
      <c r="A539" s="32"/>
      <c r="F539" s="3"/>
      <c r="G539" s="3"/>
      <c r="H539" s="3"/>
      <c r="M539" s="1">
        <f t="shared" si="53"/>
        <v>16.109999999999854</v>
      </c>
      <c r="N539" s="1">
        <f t="shared" si="54"/>
        <v>-13.619160264481453</v>
      </c>
      <c r="O539" s="1">
        <f t="shared" si="55"/>
        <v>-0.91510388405181331</v>
      </c>
      <c r="P539" s="1">
        <f t="shared" si="56"/>
        <v>5.8305975076515955</v>
      </c>
      <c r="R539" s="3">
        <f t="shared" si="51"/>
        <v>1.3489777274877968</v>
      </c>
      <c r="S539" s="3">
        <f t="shared" si="52"/>
        <v>-0.6559413775192563</v>
      </c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</row>
    <row r="540" spans="1:100" x14ac:dyDescent="0.2">
      <c r="A540" s="32"/>
      <c r="F540" s="3"/>
      <c r="G540" s="3"/>
      <c r="H540" s="3"/>
      <c r="M540" s="1">
        <f t="shared" si="53"/>
        <v>16.139999999999855</v>
      </c>
      <c r="N540" s="1">
        <f t="shared" si="54"/>
        <v>-13.407417925313304</v>
      </c>
      <c r="O540" s="1">
        <f t="shared" si="55"/>
        <v>-1.3173264218112124</v>
      </c>
      <c r="P540" s="1">
        <f t="shared" si="56"/>
        <v>5.7910777149972592</v>
      </c>
      <c r="R540" s="3">
        <f t="shared" si="51"/>
        <v>1.3220085183982873</v>
      </c>
      <c r="S540" s="3">
        <f t="shared" si="52"/>
        <v>-0.70872665907412091</v>
      </c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</row>
    <row r="541" spans="1:100" x14ac:dyDescent="0.2">
      <c r="A541" s="32"/>
      <c r="F541" s="3"/>
      <c r="G541" s="3"/>
      <c r="H541" s="3"/>
      <c r="M541" s="1">
        <f t="shared" si="53"/>
        <v>16.169999999999856</v>
      </c>
      <c r="N541" s="1">
        <f t="shared" si="54"/>
        <v>-13.101525806019865</v>
      </c>
      <c r="O541" s="1">
        <f t="shared" si="55"/>
        <v>-1.7103721959918083</v>
      </c>
      <c r="P541" s="1">
        <f t="shared" si="56"/>
        <v>5.7397665491175047</v>
      </c>
      <c r="R541" s="3">
        <f t="shared" si="51"/>
        <v>1.283918948725054</v>
      </c>
      <c r="S541" s="3">
        <f t="shared" si="52"/>
        <v>-0.77559791973983061</v>
      </c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</row>
    <row r="542" spans="1:100" x14ac:dyDescent="0.2">
      <c r="A542" s="32"/>
      <c r="F542" s="3"/>
      <c r="G542" s="3"/>
      <c r="H542" s="3"/>
      <c r="M542" s="1">
        <f t="shared" si="53"/>
        <v>16.199999999999857</v>
      </c>
      <c r="N542" s="1">
        <f t="shared" si="54"/>
        <v>-12.685255989611274</v>
      </c>
      <c r="O542" s="1">
        <f t="shared" si="55"/>
        <v>-2.0909298756801467</v>
      </c>
      <c r="P542" s="1">
        <f t="shared" si="56"/>
        <v>5.6770386528471004</v>
      </c>
      <c r="R542" s="3">
        <f t="shared" si="51"/>
        <v>1.2327740753354006</v>
      </c>
      <c r="S542" s="3">
        <f t="shared" si="52"/>
        <v>-0.85455724160581981</v>
      </c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</row>
    <row r="543" spans="1:100" x14ac:dyDescent="0.2">
      <c r="A543" s="32"/>
      <c r="F543" s="3"/>
      <c r="G543" s="3"/>
      <c r="H543" s="3"/>
      <c r="M543" s="1">
        <f t="shared" si="53"/>
        <v>16.229999999999858</v>
      </c>
      <c r="N543" s="1">
        <f t="shared" si="54"/>
        <v>-12.139557064542794</v>
      </c>
      <c r="O543" s="1">
        <f t="shared" si="55"/>
        <v>-2.4551165876164305</v>
      </c>
      <c r="P543" s="1">
        <f t="shared" si="56"/>
        <v>5.6033851552186071</v>
      </c>
      <c r="R543" s="3">
        <f t="shared" si="51"/>
        <v>1.1665475494125905</v>
      </c>
      <c r="S543" s="3">
        <f t="shared" si="52"/>
        <v>-0.94295642261956092</v>
      </c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</row>
    <row r="544" spans="1:100" x14ac:dyDescent="0.2">
      <c r="A544" s="32"/>
      <c r="F544" s="3"/>
      <c r="G544" s="3"/>
      <c r="H544" s="3"/>
      <c r="M544" s="1">
        <f t="shared" si="53"/>
        <v>16.259999999999859</v>
      </c>
      <c r="N544" s="1">
        <f t="shared" si="54"/>
        <v>-11.444515001240426</v>
      </c>
      <c r="O544" s="1">
        <f t="shared" si="55"/>
        <v>-2.798452037653643</v>
      </c>
      <c r="P544" s="1">
        <f t="shared" si="56"/>
        <v>5.5194315940889975</v>
      </c>
      <c r="R544" s="3">
        <f t="shared" si="51"/>
        <v>1.0833673451581454</v>
      </c>
      <c r="S544" s="3">
        <f t="shared" si="52"/>
        <v>-1.0374561173587016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</row>
    <row r="545" spans="1:100" x14ac:dyDescent="0.2">
      <c r="A545" s="32"/>
      <c r="F545" s="3"/>
      <c r="G545" s="3"/>
      <c r="H545" s="3"/>
      <c r="M545" s="1">
        <f t="shared" si="53"/>
        <v>16.289999999999861</v>
      </c>
      <c r="N545" s="1">
        <f t="shared" si="54"/>
        <v>-10.581812768192627</v>
      </c>
      <c r="O545" s="1">
        <f t="shared" si="55"/>
        <v>-3.1159064206994218</v>
      </c>
      <c r="P545" s="1">
        <f t="shared" si="56"/>
        <v>5.4259544014680152</v>
      </c>
      <c r="R545" s="3">
        <f t="shared" si="51"/>
        <v>0.98180025238358881</v>
      </c>
      <c r="S545" s="3">
        <f t="shared" si="52"/>
        <v>-1.1340494982228604</v>
      </c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</row>
    <row r="546" spans="1:100" x14ac:dyDescent="0.2">
      <c r="A546" s="32"/>
      <c r="F546" s="3"/>
      <c r="G546" s="3"/>
      <c r="H546" s="3"/>
      <c r="M546" s="1">
        <f t="shared" si="53"/>
        <v>16.319999999999862</v>
      </c>
      <c r="N546" s="1">
        <f t="shared" si="54"/>
        <v>-9.5375709459729396</v>
      </c>
      <c r="O546" s="1">
        <f t="shared" si="55"/>
        <v>-3.40203354907861</v>
      </c>
      <c r="P546" s="1">
        <f t="shared" si="56"/>
        <v>5.3238933949956566</v>
      </c>
      <c r="R546" s="3">
        <f t="shared" si="51"/>
        <v>0.86114985272161526</v>
      </c>
      <c r="S546" s="3">
        <f t="shared" si="52"/>
        <v>-1.2281778906809633</v>
      </c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</row>
    <row r="547" spans="1:100" x14ac:dyDescent="0.2">
      <c r="A547" s="32"/>
      <c r="F547" s="3"/>
      <c r="G547" s="3"/>
      <c r="H547" s="3"/>
      <c r="M547" s="1">
        <f t="shared" si="53"/>
        <v>16.349999999999863</v>
      </c>
      <c r="N547" s="1">
        <f t="shared" si="54"/>
        <v>-8.3053155077990777</v>
      </c>
      <c r="O547" s="1">
        <f t="shared" si="55"/>
        <v>-3.6511930143125824</v>
      </c>
      <c r="P547" s="1">
        <f t="shared" si="56"/>
        <v>5.2143576045662794</v>
      </c>
      <c r="R547" s="3">
        <f t="shared" si="51"/>
        <v>0.72172835810843838</v>
      </c>
      <c r="S547" s="3">
        <f t="shared" si="52"/>
        <v>-1.3149555798969399</v>
      </c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</row>
    <row r="548" spans="1:100" x14ac:dyDescent="0.2">
      <c r="A548" s="32"/>
      <c r="F548" s="3"/>
      <c r="G548" s="3"/>
      <c r="H548" s="3"/>
      <c r="M548" s="1">
        <f t="shared" si="53"/>
        <v>16.379999999999864</v>
      </c>
      <c r="N548" s="1">
        <f t="shared" si="54"/>
        <v>-6.8886762097962517</v>
      </c>
      <c r="O548" s="1">
        <f t="shared" si="55"/>
        <v>-3.8578533006064699</v>
      </c>
      <c r="P548" s="1">
        <f t="shared" si="56"/>
        <v>5.0986220055480853</v>
      </c>
      <c r="R548" s="3">
        <f t="shared" si="51"/>
        <v>0.56505242513398013</v>
      </c>
      <c r="S548" s="3">
        <f t="shared" si="52"/>
        <v>-1.3895019815927605</v>
      </c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</row>
    <row r="549" spans="1:100" x14ac:dyDescent="0.2">
      <c r="A549" s="32"/>
      <c r="F549" s="3"/>
      <c r="G549" s="3"/>
      <c r="H549" s="3"/>
      <c r="M549" s="1">
        <f t="shared" si="53"/>
        <v>16.409999999999865</v>
      </c>
      <c r="N549" s="1">
        <f t="shared" si="54"/>
        <v>-5.3033174542852199</v>
      </c>
      <c r="O549" s="1">
        <f t="shared" si="55"/>
        <v>-4.0169528242350268</v>
      </c>
      <c r="P549" s="1">
        <f t="shared" si="56"/>
        <v>4.9781134208210345</v>
      </c>
      <c r="R549" s="3">
        <f t="shared" si="51"/>
        <v>0.39391252709100966</v>
      </c>
      <c r="S549" s="3">
        <f t="shared" si="52"/>
        <v>-1.4473537649796524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</row>
    <row r="550" spans="1:100" x14ac:dyDescent="0.2">
      <c r="A550" s="32"/>
      <c r="F550" s="3"/>
      <c r="G550" s="3"/>
      <c r="H550" s="3"/>
      <c r="M550" s="1">
        <f t="shared" si="53"/>
        <v>16.439999999999866</v>
      </c>
      <c r="N550" s="1">
        <f t="shared" si="54"/>
        <v>-3.5775995167289443</v>
      </c>
      <c r="O550" s="1">
        <f t="shared" si="55"/>
        <v>-4.124280809736895</v>
      </c>
      <c r="P550" s="1">
        <f t="shared" si="56"/>
        <v>4.8543849965289274</v>
      </c>
      <c r="R550" s="3">
        <f t="shared" si="51"/>
        <v>0.21227898370671067</v>
      </c>
      <c r="S550" s="3">
        <f t="shared" si="52"/>
        <v>-1.4849032403077467</v>
      </c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</row>
    <row r="551" spans="1:100" x14ac:dyDescent="0.2">
      <c r="A551" s="32"/>
      <c r="F551" s="3"/>
      <c r="G551" s="3"/>
      <c r="H551" s="3"/>
      <c r="M551" s="1">
        <f t="shared" si="53"/>
        <v>16.469999999999867</v>
      </c>
      <c r="N551" s="1">
        <f t="shared" si="54"/>
        <v>-1.7516045641907858</v>
      </c>
      <c r="O551" s="1">
        <f t="shared" si="55"/>
        <v>-4.1768289466626189</v>
      </c>
      <c r="P551" s="1">
        <f t="shared" si="56"/>
        <v>4.7290801281290484</v>
      </c>
      <c r="R551" s="3">
        <f t="shared" si="51"/>
        <v>2.5035559117604134E-2</v>
      </c>
      <c r="S551" s="3">
        <f t="shared" si="52"/>
        <v>-1.499791059041115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</row>
    <row r="552" spans="1:100" x14ac:dyDescent="0.2">
      <c r="A552" s="32"/>
      <c r="F552" s="3"/>
      <c r="G552" s="3"/>
      <c r="H552" s="3"/>
      <c r="M552" s="1">
        <f t="shared" si="53"/>
        <v>16.499999999999869</v>
      </c>
      <c r="N552" s="1">
        <f t="shared" si="54"/>
        <v>0.12555901402359437</v>
      </c>
      <c r="O552" s="1">
        <f t="shared" si="55"/>
        <v>-4.1730621762419116</v>
      </c>
      <c r="P552" s="1">
        <f t="shared" si="56"/>
        <v>4.6038882628417914</v>
      </c>
      <c r="R552" s="3">
        <f t="shared" si="51"/>
        <v>-0.16243193560835978</v>
      </c>
      <c r="S552" s="3">
        <f t="shared" si="52"/>
        <v>-1.4911793541672047</v>
      </c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</row>
    <row r="553" spans="1:100" x14ac:dyDescent="0.2">
      <c r="A553" s="32"/>
      <c r="F553" s="3"/>
      <c r="G553" s="3"/>
      <c r="H553" s="3"/>
      <c r="M553" s="1">
        <f t="shared" si="53"/>
        <v>16.52999999999987</v>
      </c>
      <c r="N553" s="1">
        <f t="shared" si="54"/>
        <v>1.9998949519453695</v>
      </c>
      <c r="O553" s="1">
        <f t="shared" si="55"/>
        <v>-4.1130653276835503</v>
      </c>
      <c r="P553" s="1">
        <f t="shared" si="56"/>
        <v>4.480496303011285</v>
      </c>
      <c r="R553" s="3">
        <f t="shared" si="51"/>
        <v>-0.34472992568466843</v>
      </c>
      <c r="S553" s="3">
        <f t="shared" si="52"/>
        <v>-1.4598497451236012</v>
      </c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</row>
    <row r="554" spans="1:100" x14ac:dyDescent="0.2">
      <c r="A554" s="32"/>
      <c r="F554" s="3"/>
      <c r="G554" s="3"/>
      <c r="H554" s="3"/>
      <c r="M554" s="1">
        <f t="shared" si="53"/>
        <v>16.559999999999871</v>
      </c>
      <c r="N554" s="1">
        <f t="shared" si="54"/>
        <v>3.8174751363382038</v>
      </c>
      <c r="O554" s="1">
        <f t="shared" si="55"/>
        <v>-3.9985410735934042</v>
      </c>
      <c r="P554" s="1">
        <f t="shared" si="56"/>
        <v>4.3605400708034825</v>
      </c>
      <c r="R554" s="3">
        <f t="shared" si="51"/>
        <v>-0.5169510533742423</v>
      </c>
      <c r="S554" s="3">
        <f t="shared" si="52"/>
        <v>-1.4081056808404906</v>
      </c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</row>
    <row r="555" spans="1:100" x14ac:dyDescent="0.2">
      <c r="A555" s="32"/>
      <c r="F555" s="3"/>
      <c r="G555" s="3"/>
      <c r="H555" s="3"/>
      <c r="M555" s="1">
        <f t="shared" si="53"/>
        <v>16.589999999999872</v>
      </c>
      <c r="N555" s="1">
        <f t="shared" si="54"/>
        <v>5.5293792303658291</v>
      </c>
      <c r="O555" s="1">
        <f t="shared" si="55"/>
        <v>-3.8326596966824291</v>
      </c>
      <c r="P555" s="1">
        <f t="shared" si="56"/>
        <v>4.2455602799030094</v>
      </c>
      <c r="R555" s="3">
        <f t="shared" si="51"/>
        <v>-0.67508487400027528</v>
      </c>
      <c r="S555" s="3">
        <f t="shared" si="52"/>
        <v>-1.3395000608047885</v>
      </c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</row>
    <row r="556" spans="1:100" x14ac:dyDescent="0.2">
      <c r="A556" s="32"/>
      <c r="F556" s="3"/>
      <c r="G556" s="3"/>
      <c r="H556" s="3"/>
      <c r="M556" s="1">
        <f t="shared" si="53"/>
        <v>16.619999999999873</v>
      </c>
      <c r="N556" s="1">
        <f t="shared" si="54"/>
        <v>7.0957881127041711</v>
      </c>
      <c r="O556" s="1">
        <f t="shared" si="55"/>
        <v>-3.6197860533013042</v>
      </c>
      <c r="P556" s="1">
        <f t="shared" si="56"/>
        <v>4.1369666983039703</v>
      </c>
      <c r="R556" s="3">
        <f t="shared" si="51"/>
        <v>-0.81628367708370764</v>
      </c>
      <c r="S556" s="3">
        <f t="shared" si="52"/>
        <v>-1.2584438638758191</v>
      </c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</row>
    <row r="557" spans="1:100" x14ac:dyDescent="0.2">
      <c r="A557" s="32"/>
      <c r="F557" s="3"/>
      <c r="G557" s="3"/>
      <c r="H557" s="3"/>
      <c r="M557" s="1">
        <f t="shared" si="53"/>
        <v>16.649999999999874</v>
      </c>
      <c r="N557" s="1">
        <f t="shared" si="54"/>
        <v>8.4886175156341945</v>
      </c>
      <c r="O557" s="1">
        <f t="shared" si="55"/>
        <v>-3.3651275278322785</v>
      </c>
      <c r="P557" s="1">
        <f t="shared" si="56"/>
        <v>4.0360128724690023</v>
      </c>
      <c r="R557" s="3">
        <f t="shared" si="51"/>
        <v>-0.93895659259262731</v>
      </c>
      <c r="S557" s="3">
        <f t="shared" si="52"/>
        <v>-1.1697694290871357</v>
      </c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</row>
    <row r="558" spans="1:100" x14ac:dyDescent="0.2">
      <c r="A558" s="32"/>
      <c r="F558" s="3"/>
      <c r="G558" s="3"/>
      <c r="H558" s="3"/>
      <c r="M558" s="1">
        <f t="shared" si="53"/>
        <v>16.679999999999875</v>
      </c>
      <c r="N558" s="1">
        <f t="shared" si="54"/>
        <v>9.6924274034311786</v>
      </c>
      <c r="O558" s="1">
        <f t="shared" si="55"/>
        <v>-3.074354705729343</v>
      </c>
      <c r="P558" s="1">
        <f t="shared" si="56"/>
        <v>3.943782231297122</v>
      </c>
      <c r="R558" s="3">
        <f t="shared" si="51"/>
        <v>-1.0427015004071778</v>
      </c>
      <c r="S558" s="3">
        <f t="shared" si="52"/>
        <v>-1.0783197953522974</v>
      </c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</row>
    <row r="559" spans="1:100" x14ac:dyDescent="0.2">
      <c r="A559" s="32"/>
      <c r="F559" s="3"/>
      <c r="G559" s="3"/>
      <c r="H559" s="3"/>
      <c r="M559" s="1">
        <f t="shared" si="53"/>
        <v>16.709999999999877</v>
      </c>
      <c r="N559" s="1">
        <f t="shared" si="54"/>
        <v>10.703706927587417</v>
      </c>
      <c r="O559" s="1">
        <f t="shared" si="55"/>
        <v>-2.7532434979017206</v>
      </c>
      <c r="P559" s="1">
        <f t="shared" si="56"/>
        <v>3.8611849263600706</v>
      </c>
      <c r="R559" s="3">
        <f t="shared" si="51"/>
        <v>-1.1281117735926265</v>
      </c>
      <c r="S559" s="3">
        <f t="shared" si="52"/>
        <v>-0.98861712825628256</v>
      </c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</row>
    <row r="560" spans="1:100" x14ac:dyDescent="0.2">
      <c r="A560" s="32"/>
      <c r="F560" s="3"/>
      <c r="G560" s="3"/>
      <c r="H560" s="3"/>
      <c r="M560" s="1">
        <f t="shared" si="53"/>
        <v>16.739999999999878</v>
      </c>
      <c r="N560" s="1">
        <f t="shared" si="54"/>
        <v>11.52890965073742</v>
      </c>
      <c r="O560" s="1">
        <f t="shared" si="55"/>
        <v>-2.4073762083795982</v>
      </c>
      <c r="P560" s="1">
        <f t="shared" si="56"/>
        <v>3.7889636401086828</v>
      </c>
      <c r="R560" s="3">
        <f t="shared" si="51"/>
        <v>-1.1965081331792624</v>
      </c>
      <c r="S560" s="3">
        <f t="shared" si="52"/>
        <v>-0.90463710250899843</v>
      </c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</row>
    <row r="561" spans="1:100" x14ac:dyDescent="0.2">
      <c r="A561" s="32"/>
      <c r="F561" s="3"/>
      <c r="G561" s="3"/>
      <c r="H561" s="3"/>
      <c r="M561" s="1">
        <f t="shared" si="53"/>
        <v>16.769999999999879</v>
      </c>
      <c r="N561" s="1">
        <f t="shared" si="54"/>
        <v>12.181745190546788</v>
      </c>
      <c r="O561" s="1">
        <f t="shared" si="55"/>
        <v>-2.0419238526631944</v>
      </c>
      <c r="P561" s="1">
        <f t="shared" si="56"/>
        <v>3.7277059245287871</v>
      </c>
      <c r="R561" s="3">
        <f t="shared" si="51"/>
        <v>-1.2496452327741174</v>
      </c>
      <c r="S561" s="3">
        <f t="shared" si="52"/>
        <v>-0.82969078107745764</v>
      </c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</row>
    <row r="562" spans="1:100" x14ac:dyDescent="0.2">
      <c r="A562" s="32"/>
      <c r="F562" s="3"/>
      <c r="G562" s="3"/>
      <c r="H562" s="3"/>
      <c r="M562" s="1">
        <f t="shared" si="53"/>
        <v>16.79999999999988</v>
      </c>
      <c r="N562" s="1">
        <f t="shared" si="54"/>
        <v>12.680225474480862</v>
      </c>
      <c r="O562" s="1">
        <f t="shared" si="55"/>
        <v>-1.6615170884287687</v>
      </c>
      <c r="P562" s="1">
        <f t="shared" si="56"/>
        <v>3.6778604118759239</v>
      </c>
      <c r="R562" s="3">
        <f t="shared" si="51"/>
        <v>-1.2894323743935125</v>
      </c>
      <c r="S562" s="3">
        <f t="shared" si="52"/>
        <v>-0.76639686316288436</v>
      </c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</row>
    <row r="563" spans="1:100" x14ac:dyDescent="0.2">
      <c r="A563" s="32"/>
      <c r="F563" s="3"/>
      <c r="G563" s="3"/>
      <c r="H563" s="3"/>
      <c r="M563" s="1">
        <f t="shared" si="53"/>
        <v>16.829999999999881</v>
      </c>
      <c r="N563" s="1">
        <f t="shared" si="54"/>
        <v>13.043860281893714</v>
      </c>
      <c r="O563" s="1">
        <f t="shared" si="55"/>
        <v>-1.2702012799719573</v>
      </c>
      <c r="P563" s="1">
        <f t="shared" si="56"/>
        <v>3.639754373476765</v>
      </c>
      <c r="R563" s="3">
        <f t="shared" si="51"/>
        <v>-1.3176935955477704</v>
      </c>
      <c r="S563" s="3">
        <f t="shared" si="52"/>
        <v>-0.71671723033033652</v>
      </c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</row>
    <row r="564" spans="1:100" x14ac:dyDescent="0.2">
      <c r="A564" s="32"/>
      <c r="F564" s="3"/>
      <c r="G564" s="3"/>
      <c r="H564" s="3"/>
      <c r="M564" s="1">
        <f t="shared" si="53"/>
        <v>16.859999999999882</v>
      </c>
      <c r="N564" s="1">
        <f t="shared" si="54"/>
        <v>13.291254070675182</v>
      </c>
      <c r="O564" s="1">
        <f t="shared" si="55"/>
        <v>-0.87146365785170188</v>
      </c>
      <c r="P564" s="1">
        <f t="shared" si="56"/>
        <v>3.6136104637412139</v>
      </c>
      <c r="R564" s="3">
        <f t="shared" si="51"/>
        <v>-1.3359789528541195</v>
      </c>
      <c r="S564" s="3">
        <f t="shared" si="52"/>
        <v>-0.68202656658726268</v>
      </c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</row>
    <row r="565" spans="1:100" x14ac:dyDescent="0.2">
      <c r="A565" s="32"/>
      <c r="F565" s="3"/>
      <c r="G565" s="3"/>
      <c r="H565" s="3"/>
      <c r="M565" s="1">
        <f t="shared" si="53"/>
        <v>16.889999999999883</v>
      </c>
      <c r="N565" s="1">
        <f t="shared" si="54"/>
        <v>13.438221257747848</v>
      </c>
      <c r="O565" s="1">
        <f t="shared" si="55"/>
        <v>-0.46831702011926646</v>
      </c>
      <c r="P565" s="1">
        <f t="shared" si="56"/>
        <v>3.5995609531376358</v>
      </c>
      <c r="R565" s="3">
        <f t="shared" si="51"/>
        <v>-1.3454289256642922</v>
      </c>
      <c r="S565" s="3">
        <f t="shared" si="52"/>
        <v>-0.66319002253187476</v>
      </c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</row>
    <row r="566" spans="1:100" x14ac:dyDescent="0.2">
      <c r="A566" s="32"/>
      <c r="F566" s="3"/>
      <c r="G566" s="3"/>
      <c r="H566" s="3"/>
      <c r="M566" s="1">
        <f t="shared" si="53"/>
        <v>16.919999999999884</v>
      </c>
      <c r="N566" s="1">
        <f t="shared" si="54"/>
        <v>13.496437788453655</v>
      </c>
      <c r="O566" s="1">
        <f t="shared" si="55"/>
        <v>-6.3423886465656831E-2</v>
      </c>
      <c r="P566" s="1">
        <f t="shared" si="56"/>
        <v>3.597658236543666</v>
      </c>
      <c r="R566" s="3">
        <f t="shared" si="51"/>
        <v>-1.3466883521158153</v>
      </c>
      <c r="S566" s="3">
        <f t="shared" si="52"/>
        <v>-0.66062885365051227</v>
      </c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</row>
    <row r="567" spans="1:100" x14ac:dyDescent="0.2">
      <c r="A567" s="32"/>
      <c r="F567" s="3"/>
      <c r="G567" s="3"/>
      <c r="H567" s="3"/>
      <c r="M567" s="1">
        <f t="shared" si="53"/>
        <v>16.949999999999886</v>
      </c>
      <c r="N567" s="1">
        <f t="shared" si="54"/>
        <v>13.472591670940062</v>
      </c>
      <c r="O567" s="1">
        <f t="shared" si="55"/>
        <v>0.34075386366254501</v>
      </c>
      <c r="P567" s="1">
        <f t="shared" si="56"/>
        <v>3.6078808524535422</v>
      </c>
      <c r="R567" s="3">
        <f t="shared" si="51"/>
        <v>-1.3398647495915526</v>
      </c>
      <c r="S567" s="3">
        <f t="shared" si="52"/>
        <v>-0.67436077347512302</v>
      </c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</row>
    <row r="568" spans="1:100" x14ac:dyDescent="0.2">
      <c r="A568" s="32"/>
      <c r="F568" s="3"/>
      <c r="G568" s="3"/>
      <c r="H568" s="3"/>
      <c r="M568" s="1">
        <f t="shared" si="53"/>
        <v>16.979999999999887</v>
      </c>
      <c r="N568" s="1">
        <f t="shared" si="54"/>
        <v>13.367979648185896</v>
      </c>
      <c r="O568" s="1">
        <f t="shared" si="55"/>
        <v>0.74179325310812194</v>
      </c>
      <c r="P568" s="1">
        <f t="shared" si="56"/>
        <v>3.6301346500467857</v>
      </c>
      <c r="R568" s="3">
        <f t="shared" si="51"/>
        <v>-1.3245271421389386</v>
      </c>
      <c r="S568" s="3">
        <f t="shared" si="52"/>
        <v>-0.70400841595626973</v>
      </c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</row>
    <row r="569" spans="1:100" x14ac:dyDescent="0.2">
      <c r="A569" s="32"/>
      <c r="F569" s="3"/>
      <c r="G569" s="3"/>
      <c r="H569" s="3"/>
      <c r="M569" s="1">
        <f t="shared" si="53"/>
        <v>17.009999999999888</v>
      </c>
      <c r="N569" s="1">
        <f t="shared" si="54"/>
        <v>13.178510028609656</v>
      </c>
      <c r="O569" s="1">
        <f t="shared" si="55"/>
        <v>1.1371485539664117</v>
      </c>
      <c r="P569" s="1">
        <f t="shared" si="56"/>
        <v>3.6642491066657779</v>
      </c>
      <c r="R569" s="3">
        <f t="shared" si="51"/>
        <v>-1.2997442707092808</v>
      </c>
      <c r="S569" s="3">
        <f t="shared" si="52"/>
        <v>-0.74877555432746301</v>
      </c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</row>
    <row r="570" spans="1:100" x14ac:dyDescent="0.2">
      <c r="A570" s="32"/>
      <c r="F570" s="3"/>
      <c r="G570" s="3"/>
      <c r="H570" s="3"/>
      <c r="M570" s="1">
        <f t="shared" si="53"/>
        <v>17.039999999999889</v>
      </c>
      <c r="N570" s="1">
        <f t="shared" si="54"/>
        <v>12.895099337235832</v>
      </c>
      <c r="O570" s="1">
        <f t="shared" si="55"/>
        <v>1.5240015340834867</v>
      </c>
      <c r="P570" s="1">
        <f t="shared" si="56"/>
        <v>3.7099691526882825</v>
      </c>
      <c r="R570" s="3">
        <f t="shared" si="51"/>
        <v>-1.2641639375592422</v>
      </c>
      <c r="S570" s="3">
        <f t="shared" si="52"/>
        <v>-0.80739676676013072</v>
      </c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</row>
    <row r="571" spans="1:100" x14ac:dyDescent="0.2">
      <c r="A571" s="32"/>
      <c r="F571" s="3"/>
      <c r="G571" s="3"/>
      <c r="H571" s="3"/>
      <c r="M571" s="1">
        <f t="shared" si="53"/>
        <v>17.06999999999989</v>
      </c>
      <c r="N571" s="1">
        <f t="shared" si="54"/>
        <v>12.504479237524906</v>
      </c>
      <c r="O571" s="1">
        <f t="shared" si="55"/>
        <v>1.8991359112092339</v>
      </c>
      <c r="P571" s="1">
        <f t="shared" si="56"/>
        <v>3.7669432300245593</v>
      </c>
      <c r="R571" s="3">
        <f t="shared" si="51"/>
        <v>-1.2161369225373628</v>
      </c>
      <c r="S571" s="3">
        <f t="shared" si="52"/>
        <v>-0.8780723123076779</v>
      </c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</row>
    <row r="572" spans="1:100" x14ac:dyDescent="0.2">
      <c r="A572" s="32"/>
      <c r="F572" s="3"/>
      <c r="G572" s="3"/>
      <c r="H572" s="3"/>
      <c r="M572" s="1">
        <f t="shared" si="53"/>
        <v>17.099999999999891</v>
      </c>
      <c r="N572" s="1">
        <f t="shared" si="54"/>
        <v>11.990446993364797</v>
      </c>
      <c r="O572" s="1">
        <f t="shared" si="55"/>
        <v>2.2588493210101777</v>
      </c>
      <c r="P572" s="1">
        <f t="shared" si="56"/>
        <v>3.8347087096548647</v>
      </c>
      <c r="R572" s="3">
        <f t="shared" si="51"/>
        <v>-1.1538881825075162</v>
      </c>
      <c r="S572" s="3">
        <f t="shared" si="52"/>
        <v>-0.95840600074785676</v>
      </c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</row>
    <row r="573" spans="1:100" x14ac:dyDescent="0.2">
      <c r="A573" s="32"/>
      <c r="F573" s="3"/>
      <c r="G573" s="3"/>
      <c r="H573" s="3"/>
      <c r="M573" s="1">
        <f t="shared" si="53"/>
        <v>17.129999999999892</v>
      </c>
      <c r="N573" s="1">
        <f t="shared" si="54"/>
        <v>11.335585386184245</v>
      </c>
      <c r="O573" s="1">
        <f t="shared" si="55"/>
        <v>2.598916882595705</v>
      </c>
      <c r="P573" s="1">
        <f t="shared" si="56"/>
        <v>3.912676216132736</v>
      </c>
      <c r="R573" s="3">
        <f t="shared" si="51"/>
        <v>-1.075733913355408</v>
      </c>
      <c r="S573" s="3">
        <f t="shared" si="52"/>
        <v>-1.0453690963755622</v>
      </c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</row>
    <row r="574" spans="1:100" x14ac:dyDescent="0.2">
      <c r="A574" s="32"/>
      <c r="F574" s="3"/>
      <c r="G574" s="3"/>
      <c r="H574" s="3"/>
      <c r="M574" s="1">
        <f t="shared" si="53"/>
        <v>17.159999999999894</v>
      </c>
      <c r="N574" s="1">
        <f t="shared" si="54"/>
        <v>10.523436614120467</v>
      </c>
      <c r="O574" s="1">
        <f t="shared" si="55"/>
        <v>2.9146199810193192</v>
      </c>
      <c r="P574" s="1">
        <f t="shared" si="56"/>
        <v>4.0001148155633155</v>
      </c>
      <c r="R574" s="3">
        <f t="shared" si="51"/>
        <v>-0.98033508577592965</v>
      </c>
      <c r="S574" s="3">
        <f t="shared" si="52"/>
        <v>-1.1353163081699744</v>
      </c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</row>
    <row r="575" spans="1:100" x14ac:dyDescent="0.2">
      <c r="A575" s="32"/>
      <c r="F575" s="3"/>
      <c r="G575" s="3"/>
      <c r="H575" s="3"/>
      <c r="M575" s="1">
        <f t="shared" si="53"/>
        <v>17.189999999999895</v>
      </c>
      <c r="N575" s="1">
        <f t="shared" si="54"/>
        <v>9.541035059467557</v>
      </c>
      <c r="O575" s="1">
        <f t="shared" si="55"/>
        <v>3.2008510328033459</v>
      </c>
      <c r="P575" s="1">
        <f t="shared" si="56"/>
        <v>4.0961403465474158</v>
      </c>
      <c r="R575" s="3">
        <f t="shared" si="51"/>
        <v>-0.86696688482928996</v>
      </c>
      <c r="S575" s="3">
        <f t="shared" si="52"/>
        <v>-1.2240786006663935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</row>
    <row r="576" spans="1:100" x14ac:dyDescent="0.2">
      <c r="A576" s="32"/>
      <c r="F576" s="3"/>
      <c r="G576" s="3"/>
      <c r="H576" s="3"/>
      <c r="M576" s="1">
        <f t="shared" si="53"/>
        <v>17.219999999999896</v>
      </c>
      <c r="N576" s="1">
        <f t="shared" si="54"/>
        <v>8.3815922553405997</v>
      </c>
      <c r="O576" s="1">
        <f t="shared" si="55"/>
        <v>3.4522988004635637</v>
      </c>
      <c r="P576" s="1">
        <f t="shared" si="56"/>
        <v>4.1997093105613228</v>
      </c>
      <c r="R576" s="3">
        <f t="shared" si="51"/>
        <v>-0.73577123774336062</v>
      </c>
      <c r="S576" s="3">
        <f t="shared" si="52"/>
        <v>-1.3071498329226086</v>
      </c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</row>
    <row r="577" spans="1:100" x14ac:dyDescent="0.2">
      <c r="A577" s="32"/>
      <c r="F577" s="3"/>
      <c r="G577" s="3"/>
      <c r="H577" s="3"/>
      <c r="M577" s="1">
        <f t="shared" si="53"/>
        <v>17.249999999999897</v>
      </c>
      <c r="N577" s="1">
        <f t="shared" si="54"/>
        <v>7.0470054853918844</v>
      </c>
      <c r="O577" s="1">
        <f t="shared" si="55"/>
        <v>3.6637089650253203</v>
      </c>
      <c r="P577" s="1">
        <f t="shared" si="56"/>
        <v>4.3096205795120825</v>
      </c>
      <c r="R577" s="3">
        <f t="shared" si="51"/>
        <v>-0.58795006927881466</v>
      </c>
      <c r="S577" s="3">
        <f t="shared" si="52"/>
        <v>-1.3799690996667415</v>
      </c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</row>
    <row r="578" spans="1:100" x14ac:dyDescent="0.2">
      <c r="A578" s="32"/>
      <c r="F578" s="3"/>
      <c r="G578" s="3"/>
      <c r="H578" s="3"/>
      <c r="M578" s="1">
        <f t="shared" si="53"/>
        <v>17.279999999999898</v>
      </c>
      <c r="N578" s="1">
        <f t="shared" si="54"/>
        <v>5.5497668859358686</v>
      </c>
      <c r="O578" s="1">
        <f t="shared" si="55"/>
        <v>3.8302019716033961</v>
      </c>
      <c r="P578" s="1">
        <f t="shared" si="56"/>
        <v>4.4245266386601845</v>
      </c>
      <c r="R578" s="3">
        <f t="shared" ref="R578:R641" si="57">$B$3*COS(P578)</f>
        <v>-0.42585476306026027</v>
      </c>
      <c r="S578" s="3">
        <f t="shared" ref="S578:S641" si="58">$B$3*SIN(P578)</f>
        <v>-1.4382794307014508</v>
      </c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</row>
    <row r="579" spans="1:100" x14ac:dyDescent="0.2">
      <c r="A579" s="32"/>
      <c r="F579" s="3"/>
      <c r="G579" s="3"/>
      <c r="H579" s="3"/>
      <c r="M579" s="1">
        <f t="shared" ref="M579:M642" si="59">M578+B$13</f>
        <v>17.309999999999899</v>
      </c>
      <c r="N579" s="1">
        <f t="shared" ref="N579:N642" si="60">-$B$12*$B$3*COS(P578)-B$10*O578</f>
        <v>3.9138294531582973</v>
      </c>
      <c r="O579" s="1">
        <f t="shared" ref="O579:O642" si="61">N579*$B$13+O578</f>
        <v>3.9476168551981452</v>
      </c>
      <c r="P579" s="1">
        <f t="shared" ref="P579:P642" si="62">O579*$B$13+P578</f>
        <v>4.5429551443161289</v>
      </c>
      <c r="R579" s="3">
        <f t="shared" si="57"/>
        <v>-0.25293647915312562</v>
      </c>
      <c r="S579" s="3">
        <f t="shared" si="58"/>
        <v>-1.4785205908318018</v>
      </c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</row>
    <row r="580" spans="1:100" x14ac:dyDescent="0.2">
      <c r="A580" s="32"/>
      <c r="F580" s="3"/>
      <c r="G580" s="3"/>
      <c r="H580" s="3"/>
      <c r="M580" s="1">
        <f t="shared" si="59"/>
        <v>17.3399999999999</v>
      </c>
      <c r="N580" s="1">
        <f t="shared" si="60"/>
        <v>2.1740792745634234</v>
      </c>
      <c r="O580" s="1">
        <f t="shared" si="61"/>
        <v>4.0128392334350478</v>
      </c>
      <c r="P580" s="1">
        <f t="shared" si="62"/>
        <v>4.66334032131918</v>
      </c>
      <c r="R580" s="3">
        <f t="shared" si="57"/>
        <v>-7.3543492186714743E-2</v>
      </c>
      <c r="S580" s="3">
        <f t="shared" si="58"/>
        <v>-1.4981960334872679</v>
      </c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</row>
    <row r="581" spans="1:100" x14ac:dyDescent="0.2">
      <c r="A581" s="32"/>
      <c r="F581" s="3"/>
      <c r="G581" s="3"/>
      <c r="H581" s="3"/>
      <c r="M581" s="1">
        <f t="shared" si="59"/>
        <v>17.369999999999902</v>
      </c>
      <c r="N581" s="1">
        <f t="shared" si="60"/>
        <v>0.37427939085799317</v>
      </c>
      <c r="O581" s="1">
        <f t="shared" si="61"/>
        <v>4.0240676151607877</v>
      </c>
      <c r="P581" s="1">
        <f t="shared" si="62"/>
        <v>4.784062349774004</v>
      </c>
      <c r="R581" s="3">
        <f t="shared" si="57"/>
        <v>0.10741802991128933</v>
      </c>
      <c r="S581" s="3">
        <f t="shared" si="58"/>
        <v>-1.496148845152105</v>
      </c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</row>
    <row r="582" spans="1:100" x14ac:dyDescent="0.2">
      <c r="A582" s="32"/>
      <c r="F582" s="3"/>
      <c r="G582" s="3"/>
      <c r="H582" s="3"/>
      <c r="M582" s="1">
        <f t="shared" si="59"/>
        <v>17.399999999999903</v>
      </c>
      <c r="N582" s="1">
        <f t="shared" si="60"/>
        <v>-1.4363463844773641</v>
      </c>
      <c r="O582" s="1">
        <f t="shared" si="61"/>
        <v>3.9809772236264669</v>
      </c>
      <c r="P582" s="1">
        <f t="shared" si="62"/>
        <v>4.9034916664827977</v>
      </c>
      <c r="R582" s="3">
        <f t="shared" si="57"/>
        <v>0.28491243353562357</v>
      </c>
      <c r="S582" s="3">
        <f t="shared" si="58"/>
        <v>-1.4726930790958477</v>
      </c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</row>
    <row r="583" spans="1:100" x14ac:dyDescent="0.2">
      <c r="A583" s="32"/>
      <c r="F583" s="3"/>
      <c r="G583" s="3"/>
      <c r="H583" s="3"/>
      <c r="M583" s="1">
        <f t="shared" si="59"/>
        <v>17.429999999999904</v>
      </c>
      <c r="N583" s="1">
        <f t="shared" si="60"/>
        <v>-3.2074122854826173</v>
      </c>
      <c r="O583" s="1">
        <f t="shared" si="61"/>
        <v>3.8847548550619884</v>
      </c>
      <c r="P583" s="1">
        <f t="shared" si="62"/>
        <v>5.0200343121346576</v>
      </c>
      <c r="R583" s="3">
        <f t="shared" si="57"/>
        <v>0.45422304480369957</v>
      </c>
      <c r="S583" s="3">
        <f t="shared" si="58"/>
        <v>-1.4295738615298115</v>
      </c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</row>
    <row r="584" spans="1:100" x14ac:dyDescent="0.2">
      <c r="A584" s="32"/>
      <c r="F584" s="3"/>
      <c r="G584" s="3"/>
      <c r="H584" s="3"/>
      <c r="M584" s="1">
        <f t="shared" si="59"/>
        <v>17.459999999999905</v>
      </c>
      <c r="N584" s="1">
        <f t="shared" si="60"/>
        <v>-4.8918583849925747</v>
      </c>
      <c r="O584" s="1">
        <f t="shared" si="61"/>
        <v>3.7379991035122111</v>
      </c>
      <c r="P584" s="1">
        <f t="shared" si="62"/>
        <v>5.1321742852400236</v>
      </c>
      <c r="R584" s="3">
        <f t="shared" si="57"/>
        <v>0.61134661185192973</v>
      </c>
      <c r="S584" s="3">
        <f t="shared" si="58"/>
        <v>-1.3697646951856972</v>
      </c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</row>
    <row r="585" spans="1:100" x14ac:dyDescent="0.2">
      <c r="A585" s="32"/>
      <c r="F585" s="3"/>
      <c r="G585" s="3"/>
      <c r="H585" s="3"/>
      <c r="M585" s="1">
        <f t="shared" si="59"/>
        <v>17.489999999999906</v>
      </c>
      <c r="N585" s="1">
        <f t="shared" si="60"/>
        <v>-6.4498860378353964</v>
      </c>
      <c r="O585" s="1">
        <f t="shared" si="61"/>
        <v>3.5445025223771491</v>
      </c>
      <c r="P585" s="1">
        <f t="shared" si="62"/>
        <v>5.2385093609113378</v>
      </c>
      <c r="R585" s="3">
        <f t="shared" si="57"/>
        <v>0.75327327298499469</v>
      </c>
      <c r="S585" s="3">
        <f t="shared" si="58"/>
        <v>-1.2971427740254631</v>
      </c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</row>
    <row r="586" spans="1:100" x14ac:dyDescent="0.2">
      <c r="A586" s="32"/>
      <c r="F586" s="3"/>
      <c r="G586" s="3"/>
      <c r="H586" s="3"/>
      <c r="M586" s="1">
        <f t="shared" si="59"/>
        <v>17.519999999999907</v>
      </c>
      <c r="N586" s="1">
        <f t="shared" si="60"/>
        <v>-7.8517379568638894</v>
      </c>
      <c r="O586" s="1">
        <f t="shared" si="61"/>
        <v>3.3089503836712324</v>
      </c>
      <c r="P586" s="1">
        <f t="shared" si="62"/>
        <v>5.3377778724214746</v>
      </c>
      <c r="R586" s="3">
        <f t="shared" si="57"/>
        <v>0.87811890868144815</v>
      </c>
      <c r="S586" s="3">
        <f t="shared" si="58"/>
        <v>-1.2161032777754128</v>
      </c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</row>
    <row r="587" spans="1:100" x14ac:dyDescent="0.2">
      <c r="A587" s="32"/>
      <c r="F587" s="3"/>
      <c r="G587" s="3"/>
      <c r="H587" s="3"/>
      <c r="M587" s="1">
        <f t="shared" si="59"/>
        <v>17.549999999999908</v>
      </c>
      <c r="N587" s="1">
        <f t="shared" si="60"/>
        <v>-9.0789946213448935</v>
      </c>
      <c r="O587" s="1">
        <f t="shared" si="61"/>
        <v>3.0365805450308856</v>
      </c>
      <c r="P587" s="1">
        <f t="shared" si="62"/>
        <v>5.4288752887724012</v>
      </c>
      <c r="R587" s="3">
        <f t="shared" si="57"/>
        <v>0.98510849030342973</v>
      </c>
      <c r="S587" s="3">
        <f t="shared" si="58"/>
        <v>-1.1311769367928686</v>
      </c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</row>
    <row r="588" spans="1:100" x14ac:dyDescent="0.2">
      <c r="A588" s="32"/>
      <c r="F588" s="3"/>
      <c r="G588" s="3"/>
      <c r="H588" s="3"/>
      <c r="M588" s="1">
        <f t="shared" si="59"/>
        <v>17.579999999999909</v>
      </c>
      <c r="N588" s="1">
        <f t="shared" si="60"/>
        <v>-10.124377152087078</v>
      </c>
      <c r="O588" s="1">
        <f t="shared" si="61"/>
        <v>2.7328492304682732</v>
      </c>
      <c r="P588" s="1">
        <f t="shared" si="62"/>
        <v>5.5108607656864494</v>
      </c>
      <c r="R588" s="3">
        <f t="shared" si="57"/>
        <v>1.074435804314124</v>
      </c>
      <c r="S588" s="3">
        <f t="shared" si="58"/>
        <v>-1.0467032542262689</v>
      </c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</row>
    <row r="589" spans="1:100" x14ac:dyDescent="0.2">
      <c r="A589" s="32"/>
      <c r="F589" s="3"/>
      <c r="G589" s="3"/>
      <c r="H589" s="3"/>
      <c r="M589" s="1">
        <f t="shared" si="59"/>
        <v>17.609999999999911</v>
      </c>
      <c r="N589" s="1">
        <f t="shared" si="60"/>
        <v>-10.990314473883386</v>
      </c>
      <c r="O589" s="1">
        <f t="shared" si="61"/>
        <v>2.4031397962517715</v>
      </c>
      <c r="P589" s="1">
        <f t="shared" si="62"/>
        <v>5.5829549595740025</v>
      </c>
      <c r="R589" s="3">
        <f t="shared" si="57"/>
        <v>1.1470406594892002</v>
      </c>
      <c r="S589" s="3">
        <f t="shared" si="58"/>
        <v>-0.96659077456728337</v>
      </c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</row>
    <row r="590" spans="1:100" x14ac:dyDescent="0.2">
      <c r="A590" s="32"/>
      <c r="F590" s="3"/>
      <c r="G590" s="3"/>
      <c r="H590" s="3"/>
      <c r="M590" s="1">
        <f t="shared" si="59"/>
        <v>17.639999999999912</v>
      </c>
      <c r="N590" s="1">
        <f t="shared" si="60"/>
        <v>-11.68668917655466</v>
      </c>
      <c r="O590" s="1">
        <f t="shared" si="61"/>
        <v>2.0525391209551316</v>
      </c>
      <c r="P590" s="1">
        <f t="shared" si="62"/>
        <v>5.6445311332026566</v>
      </c>
      <c r="R590" s="3">
        <f t="shared" si="57"/>
        <v>1.2043481286158724</v>
      </c>
      <c r="S590" s="3">
        <f t="shared" si="58"/>
        <v>-0.89417312926493486</v>
      </c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</row>
    <row r="591" spans="1:100" x14ac:dyDescent="0.2">
      <c r="A591" s="32"/>
      <c r="F591" s="3"/>
      <c r="G591" s="3"/>
      <c r="H591" s="3"/>
      <c r="M591" s="1">
        <f t="shared" si="59"/>
        <v>17.669999999999913</v>
      </c>
      <c r="N591" s="1">
        <f t="shared" si="60"/>
        <v>-12.228209807044687</v>
      </c>
      <c r="O591" s="1">
        <f t="shared" si="61"/>
        <v>1.685692826743791</v>
      </c>
      <c r="P591" s="1">
        <f t="shared" si="62"/>
        <v>5.69510191800497</v>
      </c>
      <c r="R591" s="3">
        <f t="shared" si="57"/>
        <v>1.248008219729406</v>
      </c>
      <c r="S591" s="3">
        <f t="shared" si="58"/>
        <v>-0.83215111817976828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</row>
    <row r="592" spans="1:100" x14ac:dyDescent="0.2">
      <c r="A592" s="32"/>
      <c r="F592" s="3"/>
      <c r="G592" s="3"/>
      <c r="H592" s="3"/>
      <c r="M592" s="1">
        <f t="shared" si="59"/>
        <v>17.699999999999914</v>
      </c>
      <c r="N592" s="1">
        <f t="shared" si="60"/>
        <v>-12.631794551701002</v>
      </c>
      <c r="O592" s="1">
        <f t="shared" si="61"/>
        <v>1.3067389901927609</v>
      </c>
      <c r="P592" s="1">
        <f t="shared" si="62"/>
        <v>5.7343040877107532</v>
      </c>
      <c r="R592" s="3">
        <f t="shared" si="57"/>
        <v>1.2796631410403345</v>
      </c>
      <c r="S592" s="3">
        <f t="shared" si="58"/>
        <v>-0.78259967126416874</v>
      </c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</row>
    <row r="593" spans="1:100" x14ac:dyDescent="0.2">
      <c r="A593" s="32"/>
      <c r="F593" s="3"/>
      <c r="G593" s="3"/>
      <c r="H593" s="3"/>
      <c r="M593" s="1">
        <f t="shared" si="59"/>
        <v>17.729999999999915</v>
      </c>
      <c r="N593" s="1">
        <f t="shared" si="60"/>
        <v>-12.914237919520692</v>
      </c>
      <c r="O593" s="1">
        <f t="shared" si="61"/>
        <v>0.9193118526071401</v>
      </c>
      <c r="P593" s="1">
        <f t="shared" si="62"/>
        <v>5.7618834432889674</v>
      </c>
      <c r="R593" s="3">
        <f t="shared" si="57"/>
        <v>1.3007573612093453</v>
      </c>
      <c r="S593" s="3">
        <f t="shared" si="58"/>
        <v>-0.74701424836458163</v>
      </c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</row>
    <row r="594" spans="1:100" x14ac:dyDescent="0.2">
      <c r="A594" s="32"/>
      <c r="F594" s="3"/>
      <c r="G594" s="3"/>
      <c r="H594" s="3"/>
      <c r="M594" s="1">
        <f t="shared" si="59"/>
        <v>17.759999999999916</v>
      </c>
      <c r="N594" s="1">
        <f t="shared" si="60"/>
        <v>-13.090311678828094</v>
      </c>
      <c r="O594" s="1">
        <f t="shared" si="61"/>
        <v>0.52660250224229732</v>
      </c>
      <c r="P594" s="1">
        <f t="shared" si="62"/>
        <v>5.7776815183562364</v>
      </c>
      <c r="R594" s="3">
        <f t="shared" si="57"/>
        <v>1.3123959398915901</v>
      </c>
      <c r="S594" s="3">
        <f t="shared" si="58"/>
        <v>-0.72637242304211269</v>
      </c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</row>
    <row r="595" spans="1:100" x14ac:dyDescent="0.2">
      <c r="A595" s="32"/>
      <c r="F595" s="3"/>
      <c r="G595" s="3"/>
      <c r="H595" s="3"/>
      <c r="M595" s="1">
        <f t="shared" si="59"/>
        <v>17.789999999999917</v>
      </c>
      <c r="N595" s="1">
        <f t="shared" si="60"/>
        <v>-13.171353624117707</v>
      </c>
      <c r="O595" s="1">
        <f t="shared" si="61"/>
        <v>0.13146189351876614</v>
      </c>
      <c r="P595" s="1">
        <f t="shared" si="62"/>
        <v>5.7816253751617994</v>
      </c>
      <c r="R595" s="3">
        <f t="shared" si="57"/>
        <v>1.3152504347950382</v>
      </c>
      <c r="S595" s="3">
        <f t="shared" si="58"/>
        <v>-0.72119088580726187</v>
      </c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</row>
    <row r="596" spans="1:100" x14ac:dyDescent="0.2">
      <c r="A596" s="32"/>
      <c r="F596" s="3"/>
      <c r="G596" s="3"/>
      <c r="H596" s="3"/>
      <c r="M596" s="1">
        <f t="shared" si="59"/>
        <v>17.819999999999919</v>
      </c>
      <c r="N596" s="1">
        <f t="shared" si="60"/>
        <v>-13.164335918367071</v>
      </c>
      <c r="O596" s="1">
        <f t="shared" si="61"/>
        <v>-0.26346818403224598</v>
      </c>
      <c r="P596" s="1">
        <f t="shared" si="62"/>
        <v>5.7737213296408321</v>
      </c>
      <c r="R596" s="3">
        <f t="shared" si="57"/>
        <v>1.3095090843361672</v>
      </c>
      <c r="S596" s="3">
        <f t="shared" si="58"/>
        <v>-0.73156404917208251</v>
      </c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</row>
    <row r="597" spans="1:100" x14ac:dyDescent="0.2">
      <c r="A597" s="32"/>
      <c r="F597" s="3"/>
      <c r="G597" s="3"/>
      <c r="H597" s="3"/>
      <c r="M597" s="1">
        <f t="shared" si="59"/>
        <v>17.84999999999992</v>
      </c>
      <c r="N597" s="1">
        <f t="shared" si="60"/>
        <v>-13.071378706798768</v>
      </c>
      <c r="O597" s="1">
        <f t="shared" si="61"/>
        <v>-0.65560954523620896</v>
      </c>
      <c r="P597" s="1">
        <f t="shared" si="62"/>
        <v>5.7540530432837462</v>
      </c>
      <c r="R597" s="3">
        <f t="shared" si="57"/>
        <v>1.2948681227393692</v>
      </c>
      <c r="S597" s="3">
        <f t="shared" si="58"/>
        <v>-0.75717669319216463</v>
      </c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</row>
    <row r="598" spans="1:100" x14ac:dyDescent="0.2">
      <c r="A598" s="32"/>
      <c r="F598" s="3"/>
      <c r="G598" s="3"/>
      <c r="H598" s="3"/>
      <c r="M598" s="1">
        <f t="shared" si="59"/>
        <v>17.879999999999921</v>
      </c>
      <c r="N598" s="1">
        <f t="shared" si="60"/>
        <v>-12.889676368322435</v>
      </c>
      <c r="O598" s="1">
        <f t="shared" si="61"/>
        <v>-1.042299836285882</v>
      </c>
      <c r="P598" s="1">
        <f t="shared" si="62"/>
        <v>5.7227840481951695</v>
      </c>
      <c r="R598" s="3">
        <f t="shared" si="57"/>
        <v>1.2705628493656049</v>
      </c>
      <c r="S598" s="3">
        <f t="shared" si="58"/>
        <v>-0.79728918581149411</v>
      </c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</row>
    <row r="599" spans="1:100" x14ac:dyDescent="0.2">
      <c r="A599" s="32"/>
      <c r="F599" s="3"/>
      <c r="G599" s="3"/>
      <c r="H599" s="3"/>
      <c r="M599" s="1">
        <f t="shared" si="59"/>
        <v>17.909999999999922</v>
      </c>
      <c r="N599" s="1">
        <f t="shared" si="60"/>
        <v>-12.611821508390319</v>
      </c>
      <c r="O599" s="1">
        <f t="shared" si="61"/>
        <v>-1.4206544815375914</v>
      </c>
      <c r="P599" s="1">
        <f t="shared" si="62"/>
        <v>5.6801644137490417</v>
      </c>
      <c r="R599" s="3">
        <f t="shared" si="57"/>
        <v>1.2354391902685751</v>
      </c>
      <c r="S599" s="3">
        <f t="shared" si="58"/>
        <v>-0.85069971620338936</v>
      </c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</row>
    <row r="600" spans="1:100" x14ac:dyDescent="0.2">
      <c r="A600" s="32"/>
      <c r="F600" s="3"/>
      <c r="G600" s="3"/>
      <c r="H600" s="3"/>
      <c r="M600" s="1">
        <f t="shared" si="59"/>
        <v>17.939999999999923</v>
      </c>
      <c r="N600" s="1">
        <f t="shared" si="60"/>
        <v>-12.226532999347368</v>
      </c>
      <c r="O600" s="1">
        <f t="shared" si="61"/>
        <v>-1.7874504715180124</v>
      </c>
      <c r="P600" s="1">
        <f t="shared" si="62"/>
        <v>5.6265408996035013</v>
      </c>
      <c r="R600" s="3">
        <f t="shared" si="57"/>
        <v>1.1880677253712979</v>
      </c>
      <c r="S600" s="3">
        <f t="shared" si="58"/>
        <v>-0.91569376973476801</v>
      </c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</row>
    <row r="601" spans="1:100" x14ac:dyDescent="0.2">
      <c r="A601" s="32"/>
      <c r="F601" s="3"/>
      <c r="G601" s="3"/>
      <c r="H601" s="3"/>
      <c r="M601" s="1">
        <f t="shared" si="59"/>
        <v>17.969999999999924</v>
      </c>
      <c r="N601" s="1">
        <f t="shared" si="60"/>
        <v>-11.719806711276359</v>
      </c>
      <c r="O601" s="1">
        <f t="shared" si="61"/>
        <v>-2.1390446728563033</v>
      </c>
      <c r="P601" s="1">
        <f t="shared" si="62"/>
        <v>5.562369559417812</v>
      </c>
      <c r="R601" s="3">
        <f t="shared" si="57"/>
        <v>1.1269013812316935</v>
      </c>
      <c r="S601" s="3">
        <f t="shared" si="58"/>
        <v>-0.98999660452857186</v>
      </c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</row>
    <row r="602" spans="1:100" x14ac:dyDescent="0.2">
      <c r="A602" s="32"/>
      <c r="F602" s="3"/>
      <c r="G602" s="3"/>
      <c r="H602" s="3"/>
      <c r="M602" s="1">
        <f t="shared" si="59"/>
        <v>17.999999999999925</v>
      </c>
      <c r="N602" s="1">
        <f t="shared" si="60"/>
        <v>-11.076499791759867</v>
      </c>
      <c r="O602" s="1">
        <f t="shared" si="61"/>
        <v>-2.4713396666090994</v>
      </c>
      <c r="P602" s="1">
        <f t="shared" si="62"/>
        <v>5.488229369419539</v>
      </c>
      <c r="R602" s="3">
        <f t="shared" si="57"/>
        <v>1.0504743296860333</v>
      </c>
      <c r="S602" s="3">
        <f t="shared" si="58"/>
        <v>-1.0707491221900112</v>
      </c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</row>
    <row r="603" spans="1:100" x14ac:dyDescent="0.2">
      <c r="A603" s="32"/>
      <c r="F603" s="3"/>
      <c r="G603" s="3"/>
      <c r="H603" s="3"/>
      <c r="M603" s="1">
        <f t="shared" si="59"/>
        <v>18.029999999999927</v>
      </c>
      <c r="N603" s="1">
        <f t="shared" si="60"/>
        <v>-10.282322726865512</v>
      </c>
      <c r="O603" s="1">
        <f t="shared" si="61"/>
        <v>-2.779809348415065</v>
      </c>
      <c r="P603" s="1">
        <f t="shared" si="62"/>
        <v>5.4048350889670873</v>
      </c>
      <c r="R603" s="3">
        <f t="shared" si="57"/>
        <v>0.95763274124202913</v>
      </c>
      <c r="S603" s="3">
        <f t="shared" si="58"/>
        <v>-1.154530005197473</v>
      </c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</row>
    <row r="604" spans="1:100" x14ac:dyDescent="0.2">
      <c r="A604" s="32"/>
      <c r="F604" s="3"/>
      <c r="G604" s="3"/>
      <c r="H604" s="3"/>
      <c r="M604" s="1">
        <f t="shared" si="59"/>
        <v>18.059999999999928</v>
      </c>
      <c r="N604" s="1">
        <f t="shared" si="60"/>
        <v>-9.3261445710629367</v>
      </c>
      <c r="O604" s="1">
        <f t="shared" si="61"/>
        <v>-3.059593685546953</v>
      </c>
      <c r="P604" s="1">
        <f t="shared" si="62"/>
        <v>5.3130472784006786</v>
      </c>
      <c r="R604" s="3">
        <f t="shared" si="57"/>
        <v>0.84777850171190661</v>
      </c>
      <c r="S604" s="3">
        <f t="shared" si="58"/>
        <v>-1.2374455996265512</v>
      </c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</row>
    <row r="605" spans="1:100" x14ac:dyDescent="0.2">
      <c r="A605" s="32"/>
      <c r="F605" s="3"/>
      <c r="G605" s="3"/>
      <c r="H605" s="3"/>
      <c r="M605" s="1">
        <f t="shared" si="59"/>
        <v>18.089999999999929</v>
      </c>
      <c r="N605" s="1">
        <f t="shared" si="60"/>
        <v>-8.2024215854198399</v>
      </c>
      <c r="O605" s="1">
        <f t="shared" si="61"/>
        <v>-3.3056663331095484</v>
      </c>
      <c r="P605" s="1">
        <f t="shared" si="62"/>
        <v>5.2138772884073923</v>
      </c>
      <c r="R605" s="3">
        <f t="shared" si="57"/>
        <v>0.72109668046681219</v>
      </c>
      <c r="S605" s="3">
        <f t="shared" si="58"/>
        <v>-1.3153020859938391</v>
      </c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</row>
    <row r="606" spans="1:100" x14ac:dyDescent="0.2">
      <c r="A606" s="32"/>
      <c r="F606" s="3"/>
      <c r="G606" s="3"/>
      <c r="H606" s="3"/>
      <c r="M606" s="1">
        <f t="shared" si="59"/>
        <v>18.11999999999993</v>
      </c>
      <c r="N606" s="1">
        <f t="shared" si="60"/>
        <v>-6.9134568346882617</v>
      </c>
      <c r="O606" s="1">
        <f t="shared" si="61"/>
        <v>-3.5130700381501963</v>
      </c>
      <c r="P606" s="1">
        <f t="shared" si="62"/>
        <v>5.108485187262886</v>
      </c>
      <c r="R606" s="3">
        <f t="shared" si="57"/>
        <v>0.57872962887284718</v>
      </c>
      <c r="S606" s="3">
        <f t="shared" si="58"/>
        <v>-1.3838612707438187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</row>
    <row r="607" spans="1:100" x14ac:dyDescent="0.2">
      <c r="A607" s="32"/>
      <c r="F607" s="3"/>
      <c r="G607" s="3"/>
      <c r="H607" s="3"/>
      <c r="M607" s="1">
        <f t="shared" si="59"/>
        <v>18.149999999999931</v>
      </c>
      <c r="N607" s="1">
        <f t="shared" si="60"/>
        <v>-5.4711199852949548</v>
      </c>
      <c r="O607" s="1">
        <f t="shared" si="61"/>
        <v>-3.6772036377090447</v>
      </c>
      <c r="P607" s="1">
        <f t="shared" si="62"/>
        <v>4.9981690781316148</v>
      </c>
      <c r="R607" s="3">
        <f t="shared" si="57"/>
        <v>0.42285899334432353</v>
      </c>
      <c r="S607" s="3">
        <f t="shared" si="58"/>
        <v>-1.4391630455746929</v>
      </c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</row>
    <row r="608" spans="1:100" x14ac:dyDescent="0.2">
      <c r="A608" s="32"/>
      <c r="F608" s="3"/>
      <c r="G608" s="3"/>
      <c r="H608" s="3"/>
      <c r="M608" s="1">
        <f t="shared" si="59"/>
        <v>18.179999999999932</v>
      </c>
      <c r="N608" s="1">
        <f t="shared" si="60"/>
        <v>-3.8976416060494219</v>
      </c>
      <c r="O608" s="1">
        <f t="shared" si="61"/>
        <v>-3.7941328858905274</v>
      </c>
      <c r="P608" s="1">
        <f t="shared" si="62"/>
        <v>4.8843450915548994</v>
      </c>
      <c r="R608" s="3">
        <f t="shared" si="57"/>
        <v>0.25666490629821725</v>
      </c>
      <c r="S608" s="3">
        <f t="shared" si="58"/>
        <v>-1.4778779130479376</v>
      </c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</row>
    <row r="609" spans="1:100" x14ac:dyDescent="0.2">
      <c r="A609" s="32"/>
      <c r="F609" s="3"/>
      <c r="G609" s="3"/>
      <c r="H609" s="3"/>
      <c r="M609" s="1">
        <f t="shared" si="59"/>
        <v>18.209999999999933</v>
      </c>
      <c r="N609" s="1">
        <f t="shared" si="60"/>
        <v>-2.2251771032520251</v>
      </c>
      <c r="O609" s="1">
        <f t="shared" si="61"/>
        <v>-3.8608881989880883</v>
      </c>
      <c r="P609" s="1">
        <f t="shared" si="62"/>
        <v>4.7685184455852569</v>
      </c>
      <c r="R609" s="3">
        <f t="shared" si="57"/>
        <v>8.4149995557754598E-2</v>
      </c>
      <c r="S609" s="3">
        <f t="shared" si="58"/>
        <v>-1.4976377326468608</v>
      </c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</row>
    <row r="610" spans="1:100" x14ac:dyDescent="0.2">
      <c r="A610" s="32"/>
      <c r="F610" s="3"/>
      <c r="G610" s="3"/>
      <c r="H610" s="3"/>
      <c r="M610" s="1">
        <f t="shared" si="59"/>
        <v>18.239999999999934</v>
      </c>
      <c r="N610" s="1">
        <f t="shared" si="60"/>
        <v>-0.49402001766861792</v>
      </c>
      <c r="O610" s="1">
        <f t="shared" si="61"/>
        <v>-3.8757087995181467</v>
      </c>
      <c r="P610" s="1">
        <f t="shared" si="62"/>
        <v>4.6522471815997122</v>
      </c>
      <c r="R610" s="3">
        <f t="shared" si="57"/>
        <v>-9.015832424977821E-2</v>
      </c>
      <c r="S610" s="3">
        <f t="shared" si="58"/>
        <v>-1.4972880406149218</v>
      </c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</row>
    <row r="611" spans="1:100" x14ac:dyDescent="0.2">
      <c r="A611" s="32"/>
      <c r="F611" s="3"/>
      <c r="G611" s="3"/>
      <c r="H611" s="3"/>
      <c r="M611" s="1">
        <f t="shared" si="59"/>
        <v>18.269999999999936</v>
      </c>
      <c r="N611" s="1">
        <f t="shared" si="60"/>
        <v>1.2503970344544153</v>
      </c>
      <c r="O611" s="1">
        <f t="shared" si="61"/>
        <v>-3.8381968884845143</v>
      </c>
      <c r="P611" s="1">
        <f t="shared" si="62"/>
        <v>4.5371012749451767</v>
      </c>
      <c r="R611" s="3">
        <f t="shared" si="57"/>
        <v>-0.26158716234827006</v>
      </c>
      <c r="S611" s="3">
        <f t="shared" si="58"/>
        <v>-1.4770146094384373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</row>
    <row r="612" spans="1:100" x14ac:dyDescent="0.2">
      <c r="A612" s="32"/>
      <c r="F612" s="3"/>
      <c r="G612" s="3"/>
      <c r="H612" s="3"/>
      <c r="M612" s="1">
        <f t="shared" si="59"/>
        <v>18.299999999999937</v>
      </c>
      <c r="N612" s="1">
        <f t="shared" si="60"/>
        <v>2.9613093434463069</v>
      </c>
      <c r="O612" s="1">
        <f t="shared" si="61"/>
        <v>-3.7493576081811253</v>
      </c>
      <c r="P612" s="1">
        <f t="shared" si="62"/>
        <v>4.4246205466997433</v>
      </c>
      <c r="R612" s="3">
        <f t="shared" si="57"/>
        <v>-0.42571969518103697</v>
      </c>
      <c r="S612" s="3">
        <f t="shared" si="58"/>
        <v>-1.4383194155454362</v>
      </c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</row>
    <row r="613" spans="1:100" x14ac:dyDescent="0.2">
      <c r="A613" s="32"/>
      <c r="F613" s="3"/>
      <c r="G613" s="3"/>
      <c r="H613" s="3"/>
      <c r="M613" s="1">
        <f t="shared" si="59"/>
        <v>18.329999999999938</v>
      </c>
      <c r="N613" s="1">
        <f t="shared" si="60"/>
        <v>4.5946391365466708</v>
      </c>
      <c r="O613" s="1">
        <f t="shared" si="61"/>
        <v>-3.6115184340847253</v>
      </c>
      <c r="P613" s="1">
        <f t="shared" si="62"/>
        <v>4.3162749936772018</v>
      </c>
      <c r="R613" s="3">
        <f t="shared" si="57"/>
        <v>-0.57875423359852873</v>
      </c>
      <c r="S613" s="3">
        <f t="shared" si="58"/>
        <v>-1.383850980811077</v>
      </c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</row>
    <row r="614" spans="1:100" x14ac:dyDescent="0.2">
      <c r="A614" s="32"/>
      <c r="F614" s="3"/>
      <c r="G614" s="3"/>
      <c r="H614" s="3"/>
      <c r="M614" s="1">
        <f t="shared" si="59"/>
        <v>18.359999999999939</v>
      </c>
      <c r="N614" s="1">
        <f t="shared" si="60"/>
        <v>6.112578995052913</v>
      </c>
      <c r="O614" s="1">
        <f t="shared" si="61"/>
        <v>-3.428141064233138</v>
      </c>
      <c r="P614" s="1">
        <f t="shared" si="62"/>
        <v>4.2134307617502076</v>
      </c>
      <c r="R614" s="3">
        <f t="shared" si="57"/>
        <v>-0.71776654417145125</v>
      </c>
      <c r="S614" s="3">
        <f t="shared" si="58"/>
        <v>-1.3171223132527108</v>
      </c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</row>
    <row r="615" spans="1:100" x14ac:dyDescent="0.2">
      <c r="A615" s="32"/>
      <c r="F615" s="3"/>
      <c r="G615" s="3"/>
      <c r="H615" s="3"/>
      <c r="M615" s="1">
        <f t="shared" si="59"/>
        <v>18.38999999999994</v>
      </c>
      <c r="N615" s="1">
        <f t="shared" si="60"/>
        <v>7.4861981374954958</v>
      </c>
      <c r="O615" s="1">
        <f t="shared" si="61"/>
        <v>-3.2035551201082733</v>
      </c>
      <c r="P615" s="1">
        <f t="shared" si="62"/>
        <v>4.1173241081469598</v>
      </c>
      <c r="R615" s="3">
        <f t="shared" si="57"/>
        <v>-0.8408437157483617</v>
      </c>
      <c r="S615" s="3">
        <f t="shared" si="58"/>
        <v>-1.2421682034597763</v>
      </c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</row>
    <row r="616" spans="1:100" x14ac:dyDescent="0.2">
      <c r="A616" s="32"/>
      <c r="F616" s="3"/>
      <c r="G616" s="3"/>
      <c r="H616" s="3"/>
      <c r="M616" s="1">
        <f t="shared" si="59"/>
        <v>18.419999999999941</v>
      </c>
      <c r="N616" s="1">
        <f t="shared" si="60"/>
        <v>8.6967571182933625</v>
      </c>
      <c r="O616" s="1">
        <f t="shared" si="61"/>
        <v>-2.9426524065594726</v>
      </c>
      <c r="P616" s="1">
        <f t="shared" si="62"/>
        <v>4.0290445359501756</v>
      </c>
      <c r="R616" s="3">
        <f t="shared" si="57"/>
        <v>-0.94708507695512067</v>
      </c>
      <c r="S616" s="3">
        <f t="shared" si="58"/>
        <v>-1.1631981159754829</v>
      </c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</row>
    <row r="617" spans="1:100" x14ac:dyDescent="0.2">
      <c r="A617" s="32"/>
      <c r="F617" s="3"/>
      <c r="G617" s="3"/>
      <c r="H617" s="3"/>
      <c r="M617" s="1">
        <f t="shared" si="59"/>
        <v>18.449999999999942</v>
      </c>
      <c r="N617" s="1">
        <f t="shared" si="60"/>
        <v>9.7356894861415579</v>
      </c>
      <c r="O617" s="1">
        <f t="shared" si="61"/>
        <v>-2.6505817219752257</v>
      </c>
      <c r="P617" s="1">
        <f t="shared" si="62"/>
        <v>3.9495270842909189</v>
      </c>
      <c r="R617" s="3">
        <f t="shared" si="57"/>
        <v>-1.0364895395106843</v>
      </c>
      <c r="S617" s="3">
        <f t="shared" si="58"/>
        <v>-1.084292135213075</v>
      </c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</row>
    <row r="618" spans="1:100" x14ac:dyDescent="0.2">
      <c r="A618" s="32"/>
      <c r="F618" s="3"/>
      <c r="G618" s="3"/>
      <c r="H618" s="3"/>
      <c r="M618" s="1">
        <f t="shared" si="59"/>
        <v>18.479999999999944</v>
      </c>
      <c r="N618" s="1">
        <f t="shared" si="60"/>
        <v>10.603447750084614</v>
      </c>
      <c r="O618" s="1">
        <f t="shared" si="61"/>
        <v>-2.3324782894726872</v>
      </c>
      <c r="P618" s="1">
        <f t="shared" si="62"/>
        <v>3.8795527356067385</v>
      </c>
      <c r="R618" s="3">
        <f t="shared" si="57"/>
        <v>-1.1097637699965301</v>
      </c>
      <c r="S618" s="3">
        <f t="shared" si="58"/>
        <v>-1.00917014165258</v>
      </c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</row>
    <row r="619" spans="1:100" x14ac:dyDescent="0.2">
      <c r="A619" s="32"/>
      <c r="F619" s="3"/>
      <c r="G619" s="3"/>
      <c r="H619" s="3"/>
      <c r="M619" s="1">
        <f t="shared" si="59"/>
        <v>18.509999999999945</v>
      </c>
      <c r="N619" s="1">
        <f t="shared" si="60"/>
        <v>11.307560746017842</v>
      </c>
      <c r="O619" s="1">
        <f t="shared" si="61"/>
        <v>-1.993251467092152</v>
      </c>
      <c r="P619" s="1">
        <f t="shared" si="62"/>
        <v>3.8197551915939738</v>
      </c>
      <c r="R619" s="3">
        <f t="shared" si="57"/>
        <v>-1.1680901831094397</v>
      </c>
      <c r="S619" s="3">
        <f t="shared" si="58"/>
        <v>-0.94104480452492578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</row>
    <row r="620" spans="1:100" x14ac:dyDescent="0.2">
      <c r="A620" s="32"/>
      <c r="F620" s="3"/>
      <c r="G620" s="3"/>
      <c r="H620" s="3"/>
      <c r="M620" s="1">
        <f t="shared" si="59"/>
        <v>18.539999999999946</v>
      </c>
      <c r="N620" s="1">
        <f t="shared" si="60"/>
        <v>11.860294463132689</v>
      </c>
      <c r="O620" s="1">
        <f t="shared" si="61"/>
        <v>-1.6374426331981713</v>
      </c>
      <c r="P620" s="1">
        <f t="shared" si="62"/>
        <v>3.7706319125980285</v>
      </c>
      <c r="R620" s="3">
        <f t="shared" si="57"/>
        <v>-1.2128897262450824</v>
      </c>
      <c r="S620" s="3">
        <f t="shared" si="58"/>
        <v>-0.88255227152227578</v>
      </c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</row>
    <row r="621" spans="1:100" x14ac:dyDescent="0.2">
      <c r="A621" s="32"/>
      <c r="F621" s="3"/>
      <c r="G621" s="3"/>
      <c r="H621" s="3"/>
      <c r="M621" s="1">
        <f t="shared" si="59"/>
        <v>18.569999999999947</v>
      </c>
      <c r="N621" s="1">
        <f t="shared" si="60"/>
        <v>12.276267099438661</v>
      </c>
      <c r="O621" s="1">
        <f t="shared" si="61"/>
        <v>-1.2691546202150115</v>
      </c>
      <c r="P621" s="1">
        <f t="shared" si="62"/>
        <v>3.7325572739915782</v>
      </c>
      <c r="R621" s="3">
        <f t="shared" si="57"/>
        <v>-1.2456054230968798</v>
      </c>
      <c r="S621" s="3">
        <f t="shared" si="58"/>
        <v>-0.83574345941302064</v>
      </c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</row>
    <row r="622" spans="1:100" x14ac:dyDescent="0.2">
      <c r="A622" s="32"/>
      <c r="F622" s="3"/>
      <c r="G622" s="3"/>
      <c r="H622" s="3"/>
      <c r="M622" s="1">
        <f t="shared" si="59"/>
        <v>18.599999999999948</v>
      </c>
      <c r="N622" s="1">
        <f t="shared" si="60"/>
        <v>12.57027814678815</v>
      </c>
      <c r="O622" s="1">
        <f t="shared" si="61"/>
        <v>-0.89204627581136697</v>
      </c>
      <c r="P622" s="1">
        <f t="shared" si="62"/>
        <v>3.7057958857172371</v>
      </c>
      <c r="R622" s="3">
        <f t="shared" si="57"/>
        <v>-1.2675224016149655</v>
      </c>
      <c r="S622" s="3">
        <f t="shared" si="58"/>
        <v>-0.80211405760292598</v>
      </c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</row>
    <row r="623" spans="1:100" x14ac:dyDescent="0.2">
      <c r="A623" s="32"/>
      <c r="F623" s="3"/>
      <c r="G623" s="3"/>
      <c r="H623" s="3"/>
      <c r="M623" s="1">
        <f t="shared" si="59"/>
        <v>18.629999999999949</v>
      </c>
      <c r="N623" s="1">
        <f t="shared" si="60"/>
        <v>12.755508180972678</v>
      </c>
      <c r="O623" s="1">
        <f t="shared" si="61"/>
        <v>-0.50938103038218663</v>
      </c>
      <c r="P623" s="1">
        <f t="shared" si="62"/>
        <v>3.6905144548057716</v>
      </c>
      <c r="R623" s="3">
        <f t="shared" si="57"/>
        <v>-1.2796313807246436</v>
      </c>
      <c r="S623" s="3">
        <f t="shared" si="58"/>
        <v>-0.78265160158575175</v>
      </c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</row>
    <row r="624" spans="1:100" x14ac:dyDescent="0.2">
      <c r="A624" s="32"/>
      <c r="F624" s="3"/>
      <c r="G624" s="3"/>
      <c r="H624" s="3"/>
      <c r="M624" s="1">
        <f t="shared" si="59"/>
        <v>18.65999999999995</v>
      </c>
      <c r="N624" s="1">
        <f t="shared" si="60"/>
        <v>12.842158099980834</v>
      </c>
      <c r="O624" s="1">
        <f t="shared" si="61"/>
        <v>-0.12411628738276165</v>
      </c>
      <c r="P624" s="1">
        <f t="shared" si="62"/>
        <v>3.6867909661842888</v>
      </c>
      <c r="R624" s="3">
        <f t="shared" si="57"/>
        <v>-1.2825366976942041</v>
      </c>
      <c r="S624" s="3">
        <f t="shared" si="58"/>
        <v>-0.77788149423138098</v>
      </c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</row>
    <row r="625" spans="1:100" x14ac:dyDescent="0.2">
      <c r="A625" s="32"/>
      <c r="F625" s="3"/>
      <c r="G625" s="3"/>
      <c r="H625" s="3"/>
      <c r="M625" s="1">
        <f t="shared" si="59"/>
        <v>18.689999999999952</v>
      </c>
      <c r="N625" s="1">
        <f t="shared" si="60"/>
        <v>12.83653744280649</v>
      </c>
      <c r="O625" s="1">
        <f t="shared" si="61"/>
        <v>0.26097983590143303</v>
      </c>
      <c r="P625" s="1">
        <f t="shared" si="62"/>
        <v>3.694620361261332</v>
      </c>
      <c r="R625" s="3">
        <f t="shared" si="57"/>
        <v>-1.2764071091932543</v>
      </c>
      <c r="S625" s="3">
        <f t="shared" si="58"/>
        <v>-0.78789903642593706</v>
      </c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</row>
    <row r="626" spans="1:100" x14ac:dyDescent="0.2">
      <c r="A626" s="32"/>
      <c r="F626" s="3"/>
      <c r="G626" s="3"/>
      <c r="H626" s="3"/>
      <c r="M626" s="1">
        <f t="shared" si="59"/>
        <v>18.719999999999953</v>
      </c>
      <c r="N626" s="1">
        <f t="shared" si="60"/>
        <v>12.740582906701414</v>
      </c>
      <c r="O626" s="1">
        <f t="shared" si="61"/>
        <v>0.64319732310247546</v>
      </c>
      <c r="P626" s="1">
        <f t="shared" si="62"/>
        <v>3.7139162809544062</v>
      </c>
      <c r="R626" s="3">
        <f t="shared" si="57"/>
        <v>-1.2609671995229057</v>
      </c>
      <c r="S626" s="3">
        <f t="shared" si="58"/>
        <v>-0.81238028147374441</v>
      </c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</row>
    <row r="627" spans="1:100" x14ac:dyDescent="0.2">
      <c r="A627" s="32"/>
      <c r="F627" s="3"/>
      <c r="G627" s="3"/>
      <c r="H627" s="3"/>
      <c r="M627" s="1">
        <f t="shared" si="59"/>
        <v>18.749999999999954</v>
      </c>
      <c r="N627" s="1">
        <f t="shared" si="60"/>
        <v>12.551784236149834</v>
      </c>
      <c r="O627" s="1">
        <f t="shared" si="61"/>
        <v>1.0197508501869703</v>
      </c>
      <c r="P627" s="1">
        <f t="shared" si="62"/>
        <v>3.7445088064600154</v>
      </c>
      <c r="R627" s="3">
        <f t="shared" si="57"/>
        <v>-1.2355282862566086</v>
      </c>
      <c r="S627" s="3">
        <f t="shared" si="58"/>
        <v>-0.85057031094425595</v>
      </c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</row>
    <row r="628" spans="1:100" x14ac:dyDescent="0.2">
      <c r="A628" s="32"/>
      <c r="F628" s="3"/>
      <c r="G628" s="3"/>
      <c r="H628" s="3"/>
      <c r="M628" s="1">
        <f t="shared" si="59"/>
        <v>18.779999999999955</v>
      </c>
      <c r="N628" s="1">
        <f t="shared" si="60"/>
        <v>12.263505286049257</v>
      </c>
      <c r="O628" s="1">
        <f t="shared" si="61"/>
        <v>1.387656008768448</v>
      </c>
      <c r="P628" s="1">
        <f t="shared" si="62"/>
        <v>3.7861384867230687</v>
      </c>
      <c r="R628" s="3">
        <f t="shared" si="57"/>
        <v>-1.199059093395739</v>
      </c>
      <c r="S628" s="3">
        <f t="shared" si="58"/>
        <v>-0.90125317782795544</v>
      </c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</row>
    <row r="629" spans="1:100" x14ac:dyDescent="0.2">
      <c r="A629" s="32"/>
      <c r="F629" s="3"/>
      <c r="G629" s="3"/>
      <c r="H629" s="3"/>
      <c r="M629" s="1">
        <f t="shared" si="59"/>
        <v>18.809999999999956</v>
      </c>
      <c r="N629" s="1">
        <f t="shared" si="60"/>
        <v>11.865701893168231</v>
      </c>
      <c r="O629" s="1">
        <f t="shared" si="61"/>
        <v>1.7436270655634949</v>
      </c>
      <c r="P629" s="1">
        <f t="shared" si="62"/>
        <v>3.8384472986899736</v>
      </c>
      <c r="R629" s="3">
        <f t="shared" si="57"/>
        <v>-1.1502970407229109</v>
      </c>
      <c r="S629" s="3">
        <f t="shared" si="58"/>
        <v>-0.96271320656990789</v>
      </c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</row>
    <row r="630" spans="1:100" x14ac:dyDescent="0.2">
      <c r="A630" s="32"/>
      <c r="F630" s="3"/>
      <c r="G630" s="3"/>
      <c r="H630" s="3"/>
      <c r="M630" s="1">
        <f t="shared" si="59"/>
        <v>18.839999999999957</v>
      </c>
      <c r="N630" s="1">
        <f t="shared" si="60"/>
        <v>11.346043971328394</v>
      </c>
      <c r="O630" s="1">
        <f t="shared" si="61"/>
        <v>2.0840083847033468</v>
      </c>
      <c r="P630" s="1">
        <f t="shared" si="62"/>
        <v>3.9009675502310741</v>
      </c>
      <c r="R630" s="3">
        <f t="shared" si="57"/>
        <v>-1.0878997743086023</v>
      </c>
      <c r="S630" s="3">
        <f t="shared" si="58"/>
        <v>-1.0327023196736282</v>
      </c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</row>
    <row r="631" spans="1:100" x14ac:dyDescent="0.2">
      <c r="A631" s="32"/>
      <c r="F631" s="3"/>
      <c r="G631" s="3"/>
      <c r="H631" s="3"/>
      <c r="M631" s="1">
        <f t="shared" si="59"/>
        <v>18.869999999999958</v>
      </c>
      <c r="N631" s="1">
        <f t="shared" si="60"/>
        <v>10.691436988462719</v>
      </c>
      <c r="O631" s="1">
        <f t="shared" si="61"/>
        <v>2.4047514943572286</v>
      </c>
      <c r="P631" s="1">
        <f t="shared" si="62"/>
        <v>3.973110095061791</v>
      </c>
      <c r="R631" s="3">
        <f t="shared" si="57"/>
        <v>-1.0106328237615303</v>
      </c>
      <c r="S631" s="3">
        <f t="shared" si="58"/>
        <v>-1.108431908389413</v>
      </c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</row>
    <row r="632" spans="1:100" x14ac:dyDescent="0.2">
      <c r="A632" s="32"/>
      <c r="F632" s="3"/>
      <c r="G632" s="3"/>
      <c r="H632" s="3"/>
      <c r="M632" s="1">
        <f t="shared" si="59"/>
        <v>18.899999999999959</v>
      </c>
      <c r="N632" s="1">
        <f t="shared" si="60"/>
        <v>9.8899006031231522</v>
      </c>
      <c r="O632" s="1">
        <f t="shared" si="61"/>
        <v>2.7014485124509231</v>
      </c>
      <c r="P632" s="1">
        <f t="shared" si="62"/>
        <v>4.054153550435319</v>
      </c>
      <c r="R632" s="3">
        <f t="shared" si="57"/>
        <v>-0.91758285229786296</v>
      </c>
      <c r="S632" s="3">
        <f t="shared" si="58"/>
        <v>-1.1866093330026182</v>
      </c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</row>
    <row r="633" spans="1:100" x14ac:dyDescent="0.2">
      <c r="A633" s="32"/>
      <c r="F633" s="3"/>
      <c r="G633" s="3"/>
      <c r="H633" s="3"/>
      <c r="M633" s="1">
        <f t="shared" si="59"/>
        <v>18.929999999999961</v>
      </c>
      <c r="N633" s="1">
        <f t="shared" si="60"/>
        <v>8.9326981568580468</v>
      </c>
      <c r="O633" s="1">
        <f t="shared" si="61"/>
        <v>2.9694294571566644</v>
      </c>
      <c r="P633" s="1">
        <f t="shared" si="62"/>
        <v>4.143236434150019</v>
      </c>
      <c r="R633" s="3">
        <f t="shared" si="57"/>
        <v>-0.80837757433806567</v>
      </c>
      <c r="S633" s="3">
        <f t="shared" si="58"/>
        <v>-1.2635369790027142</v>
      </c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</row>
    <row r="634" spans="1:100" x14ac:dyDescent="0.2">
      <c r="A634" s="32"/>
      <c r="F634" s="3"/>
      <c r="G634" s="3"/>
      <c r="H634" s="3"/>
      <c r="M634" s="1">
        <f t="shared" si="59"/>
        <v>18.959999999999962</v>
      </c>
      <c r="N634" s="1">
        <f t="shared" si="60"/>
        <v>7.816527092236556</v>
      </c>
      <c r="O634" s="1">
        <f t="shared" si="61"/>
        <v>3.203925269923761</v>
      </c>
      <c r="P634" s="1">
        <f t="shared" si="62"/>
        <v>4.239354192247732</v>
      </c>
      <c r="R634" s="3">
        <f t="shared" si="57"/>
        <v>-0.68338487484627075</v>
      </c>
      <c r="S634" s="3">
        <f t="shared" si="58"/>
        <v>-1.335284656105711</v>
      </c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</row>
    <row r="635" spans="1:100" x14ac:dyDescent="0.2">
      <c r="A635" s="32"/>
      <c r="F635" s="3"/>
      <c r="G635" s="3"/>
      <c r="H635" s="3"/>
      <c r="M635" s="1">
        <f t="shared" si="59"/>
        <v>18.989999999999963</v>
      </c>
      <c r="N635" s="1">
        <f t="shared" si="60"/>
        <v>6.5454954741695683</v>
      </c>
      <c r="O635" s="1">
        <f t="shared" si="61"/>
        <v>3.4002901341488481</v>
      </c>
      <c r="P635" s="1">
        <f t="shared" si="62"/>
        <v>4.3413628962721971</v>
      </c>
      <c r="R635" s="3">
        <f t="shared" si="57"/>
        <v>-0.54385783156639289</v>
      </c>
      <c r="S635" s="3">
        <f t="shared" si="58"/>
        <v>-1.3979337105327638</v>
      </c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</row>
    <row r="636" spans="1:100" x14ac:dyDescent="0.2">
      <c r="A636" s="32"/>
      <c r="F636" s="3"/>
      <c r="G636" s="3"/>
      <c r="H636" s="3"/>
      <c r="M636" s="1">
        <f t="shared" si="59"/>
        <v>19.019999999999964</v>
      </c>
      <c r="N636" s="1">
        <f t="shared" si="60"/>
        <v>5.1325522035905333</v>
      </c>
      <c r="O636" s="1">
        <f t="shared" si="61"/>
        <v>3.554266700256564</v>
      </c>
      <c r="P636" s="1">
        <f t="shared" si="62"/>
        <v>4.4479908972798938</v>
      </c>
      <c r="R636" s="3">
        <f t="shared" si="57"/>
        <v>-0.39199247288626066</v>
      </c>
      <c r="S636" s="3">
        <f t="shared" si="58"/>
        <v>-1.4478749604853709</v>
      </c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</row>
    <row r="637" spans="1:100" x14ac:dyDescent="0.2">
      <c r="A637" s="32"/>
      <c r="F637" s="3"/>
      <c r="G637" s="3"/>
      <c r="H637" s="3"/>
      <c r="M637" s="1">
        <f t="shared" si="59"/>
        <v>19.049999999999965</v>
      </c>
      <c r="N637" s="1">
        <f t="shared" si="60"/>
        <v>3.600040725839516</v>
      </c>
      <c r="O637" s="1">
        <f t="shared" si="61"/>
        <v>3.6622679220317496</v>
      </c>
      <c r="P637" s="1">
        <f t="shared" si="62"/>
        <v>4.557858934940846</v>
      </c>
      <c r="R637" s="3">
        <f t="shared" si="57"/>
        <v>-0.23087364260974227</v>
      </c>
      <c r="S637" s="3">
        <f t="shared" si="58"/>
        <v>-1.4821259599467613</v>
      </c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</row>
    <row r="638" spans="1:100" x14ac:dyDescent="0.2">
      <c r="A638" s="32"/>
      <c r="F638" s="3"/>
      <c r="G638" s="3"/>
      <c r="H638" s="3"/>
      <c r="M638" s="1">
        <f t="shared" si="59"/>
        <v>19.079999999999966</v>
      </c>
      <c r="N638" s="1">
        <f t="shared" si="60"/>
        <v>1.9791323131145653</v>
      </c>
      <c r="O638" s="1">
        <f t="shared" si="61"/>
        <v>3.7216418914251865</v>
      </c>
      <c r="P638" s="1">
        <f t="shared" si="62"/>
        <v>4.6695081916836019</v>
      </c>
      <c r="R638" s="3">
        <f t="shared" si="57"/>
        <v>-6.430147297220333E-2</v>
      </c>
      <c r="S638" s="3">
        <f t="shared" si="58"/>
        <v>-1.498621139772693</v>
      </c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</row>
    <row r="639" spans="1:100" x14ac:dyDescent="0.2">
      <c r="A639" s="32"/>
      <c r="F639" s="3"/>
      <c r="G639" s="3"/>
      <c r="H639" s="3"/>
      <c r="M639" s="1">
        <f t="shared" si="59"/>
        <v>19.109999999999967</v>
      </c>
      <c r="N639" s="1">
        <f t="shared" si="60"/>
        <v>0.30806695949376656</v>
      </c>
      <c r="O639" s="1">
        <f t="shared" si="61"/>
        <v>3.7308839002099994</v>
      </c>
      <c r="P639" s="1">
        <f t="shared" si="62"/>
        <v>4.7814347086899023</v>
      </c>
      <c r="R639" s="3">
        <f t="shared" si="57"/>
        <v>0.10348632142827013</v>
      </c>
      <c r="S639" s="3">
        <f t="shared" si="58"/>
        <v>-1.4964259357807337</v>
      </c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</row>
    <row r="640" spans="1:100" x14ac:dyDescent="0.2">
      <c r="A640" s="32"/>
      <c r="F640" s="3"/>
      <c r="G640" s="3"/>
      <c r="H640" s="3"/>
      <c r="M640" s="1">
        <f t="shared" si="59"/>
        <v>19.139999999999969</v>
      </c>
      <c r="N640" s="1">
        <f t="shared" si="60"/>
        <v>-1.3706427653016013</v>
      </c>
      <c r="O640" s="1">
        <f t="shared" si="61"/>
        <v>3.6897646172509515</v>
      </c>
      <c r="P640" s="1">
        <f t="shared" si="62"/>
        <v>4.8921276472074311</v>
      </c>
      <c r="R640" s="3">
        <f t="shared" si="57"/>
        <v>0.26815868447576019</v>
      </c>
      <c r="S640" s="3">
        <f t="shared" si="58"/>
        <v>-1.4758356683385281</v>
      </c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</row>
    <row r="641" spans="1:100" x14ac:dyDescent="0.2">
      <c r="A641" s="32"/>
      <c r="F641" s="3"/>
      <c r="G641" s="3"/>
      <c r="H641" s="3"/>
      <c r="M641" s="1">
        <f t="shared" si="59"/>
        <v>19.16999999999997</v>
      </c>
      <c r="N641" s="1">
        <f t="shared" si="60"/>
        <v>-3.0136656603101879</v>
      </c>
      <c r="O641" s="1">
        <f t="shared" si="61"/>
        <v>3.599354647441646</v>
      </c>
      <c r="P641" s="1">
        <f t="shared" si="62"/>
        <v>5.0001082866306801</v>
      </c>
      <c r="R641" s="3">
        <f t="shared" si="57"/>
        <v>0.42564903371803997</v>
      </c>
      <c r="S641" s="3">
        <f t="shared" si="58"/>
        <v>-1.4383403283280694</v>
      </c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</row>
    <row r="642" spans="1:100" x14ac:dyDescent="0.2">
      <c r="A642" s="32"/>
      <c r="F642" s="3"/>
      <c r="G642" s="3"/>
      <c r="H642" s="3"/>
      <c r="M642" s="1">
        <f t="shared" si="59"/>
        <v>19.199999999999971</v>
      </c>
      <c r="N642" s="1">
        <f t="shared" si="60"/>
        <v>-4.5804322554501473</v>
      </c>
      <c r="O642" s="1">
        <f t="shared" si="61"/>
        <v>3.4619416797781417</v>
      </c>
      <c r="P642" s="1">
        <f t="shared" si="62"/>
        <v>5.1039665370240241</v>
      </c>
      <c r="R642" s="3">
        <f t="shared" ref="R642:R705" si="63">$B$3*COS(P642)</f>
        <v>0.57247055679242886</v>
      </c>
      <c r="S642" s="3">
        <f t="shared" ref="S642:S705" si="64">$B$3*SIN(P642)</f>
        <v>-1.38646221066633</v>
      </c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</row>
    <row r="643" spans="1:100" x14ac:dyDescent="0.2">
      <c r="A643" s="32"/>
      <c r="F643" s="3"/>
      <c r="G643" s="3"/>
      <c r="H643" s="3"/>
      <c r="M643" s="1">
        <f t="shared" ref="M643:M706" si="65">M642+B$13</f>
        <v>19.229999999999972</v>
      </c>
      <c r="N643" s="1">
        <f t="shared" ref="N643:N706" si="66">-$B$12*$B$3*COS(P642)-B$10*O642</f>
        <v>-6.0362803191043222</v>
      </c>
      <c r="O643" s="1">
        <f t="shared" ref="O643:O706" si="67">N643*$B$13+O642</f>
        <v>3.2808532702050122</v>
      </c>
      <c r="P643" s="1">
        <f t="shared" ref="P643:P706" si="68">O643*$B$13+P642</f>
        <v>5.2023921351301743</v>
      </c>
      <c r="R643" s="3">
        <f t="shared" si="63"/>
        <v>0.70594300755662642</v>
      </c>
      <c r="S643" s="3">
        <f t="shared" si="64"/>
        <v>-1.3234970608512528</v>
      </c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</row>
    <row r="644" spans="1:100" x14ac:dyDescent="0.2">
      <c r="A644" s="32"/>
      <c r="F644" s="3"/>
      <c r="G644" s="3"/>
      <c r="H644" s="3"/>
      <c r="M644" s="1">
        <f t="shared" si="65"/>
        <v>19.259999999999973</v>
      </c>
      <c r="N644" s="1">
        <f t="shared" si="66"/>
        <v>-7.3547068698847147</v>
      </c>
      <c r="O644" s="1">
        <f t="shared" si="67"/>
        <v>3.0602120641084709</v>
      </c>
      <c r="P644" s="1">
        <f t="shared" si="68"/>
        <v>5.2941984970534284</v>
      </c>
      <c r="R644" s="3">
        <f t="shared" si="63"/>
        <v>0.82430494779399799</v>
      </c>
      <c r="S644" s="3">
        <f t="shared" si="64"/>
        <v>-1.2532044338583925</v>
      </c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</row>
    <row r="645" spans="1:100" x14ac:dyDescent="0.2">
      <c r="A645" s="32"/>
      <c r="F645" s="3"/>
      <c r="G645" s="3"/>
      <c r="H645" s="3"/>
      <c r="M645" s="1">
        <f t="shared" si="65"/>
        <v>19.289999999999974</v>
      </c>
      <c r="N645" s="1">
        <f t="shared" si="66"/>
        <v>-8.5184685637097424</v>
      </c>
      <c r="O645" s="1">
        <f t="shared" si="67"/>
        <v>2.8046580071971787</v>
      </c>
      <c r="P645" s="1">
        <f t="shared" si="68"/>
        <v>5.378338237269344</v>
      </c>
      <c r="R645" s="3">
        <f t="shared" si="63"/>
        <v>0.92670876116905776</v>
      </c>
      <c r="S645" s="3">
        <f t="shared" si="64"/>
        <v>-1.1794960245683366</v>
      </c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</row>
    <row r="646" spans="1:100" x14ac:dyDescent="0.2">
      <c r="A646" s="32"/>
      <c r="F646" s="3"/>
      <c r="G646" s="3"/>
      <c r="H646" s="3"/>
      <c r="M646" s="1">
        <f t="shared" si="65"/>
        <v>19.319999999999975</v>
      </c>
      <c r="N646" s="1">
        <f t="shared" si="66"/>
        <v>-9.5195068323383243</v>
      </c>
      <c r="O646" s="1">
        <f t="shared" si="67"/>
        <v>2.5190728022270292</v>
      </c>
      <c r="P646" s="1">
        <f t="shared" si="68"/>
        <v>5.4539104213361549</v>
      </c>
      <c r="R646" s="3">
        <f t="shared" si="63"/>
        <v>1.0131160006297606</v>
      </c>
      <c r="S646" s="3">
        <f t="shared" si="64"/>
        <v>-1.1061627227799529</v>
      </c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</row>
    <row r="647" spans="1:100" x14ac:dyDescent="0.2">
      <c r="A647" s="32"/>
      <c r="F647" s="3"/>
      <c r="G647" s="3"/>
      <c r="H647" s="3"/>
      <c r="M647" s="1">
        <f t="shared" si="65"/>
        <v>19.349999999999977</v>
      </c>
      <c r="N647" s="1">
        <f t="shared" si="66"/>
        <v>-10.35787655849804</v>
      </c>
      <c r="O647" s="1">
        <f t="shared" si="67"/>
        <v>2.2083365054720883</v>
      </c>
      <c r="P647" s="1">
        <f t="shared" si="68"/>
        <v>5.5201605165003178</v>
      </c>
      <c r="R647" s="3">
        <f t="shared" si="63"/>
        <v>1.0841232822942566</v>
      </c>
      <c r="S647" s="3">
        <f t="shared" si="64"/>
        <v>-1.0366661510763857</v>
      </c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</row>
    <row r="648" spans="1:100" x14ac:dyDescent="0.2">
      <c r="A648" s="32"/>
      <c r="F648" s="3"/>
      <c r="G648" s="3"/>
      <c r="H648" s="3"/>
      <c r="M648" s="1">
        <f t="shared" si="65"/>
        <v>19.379999999999978</v>
      </c>
      <c r="N648" s="1">
        <f t="shared" si="66"/>
        <v>-11.039983108435054</v>
      </c>
      <c r="O648" s="1">
        <f t="shared" si="67"/>
        <v>1.8771370122190367</v>
      </c>
      <c r="P648" s="1">
        <f t="shared" si="68"/>
        <v>5.5764746268668892</v>
      </c>
      <c r="R648" s="3">
        <f t="shared" si="63"/>
        <v>1.1407527887827893</v>
      </c>
      <c r="S648" s="3">
        <f t="shared" si="64"/>
        <v>-0.97400363186401373</v>
      </c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</row>
    <row r="649" spans="1:100" x14ac:dyDescent="0.2">
      <c r="A649" s="32"/>
      <c r="F649" s="3"/>
      <c r="G649" s="3"/>
      <c r="H649" s="3"/>
      <c r="M649" s="1">
        <f t="shared" si="65"/>
        <v>19.409999999999979</v>
      </c>
      <c r="N649" s="1">
        <f t="shared" si="66"/>
        <v>-11.576470218927605</v>
      </c>
      <c r="O649" s="1">
        <f t="shared" si="67"/>
        <v>1.5298429056512086</v>
      </c>
      <c r="P649" s="1">
        <f t="shared" si="68"/>
        <v>5.6223699140364252</v>
      </c>
      <c r="R649" s="3">
        <f t="shared" si="63"/>
        <v>1.1842380564843644</v>
      </c>
      <c r="S649" s="3">
        <f t="shared" si="64"/>
        <v>-0.9206412034957675</v>
      </c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</row>
    <row r="650" spans="1:100" x14ac:dyDescent="0.2">
      <c r="A650" s="32"/>
      <c r="F650" s="3"/>
      <c r="G650" s="3"/>
      <c r="H650" s="3"/>
      <c r="M650" s="1">
        <f t="shared" si="65"/>
        <v>19.43999999999998</v>
      </c>
      <c r="N650" s="1">
        <f t="shared" si="66"/>
        <v>-11.980066426352254</v>
      </c>
      <c r="O650" s="1">
        <f t="shared" si="67"/>
        <v>1.170440912860641</v>
      </c>
      <c r="P650" s="1">
        <f t="shared" si="68"/>
        <v>5.6574831414222446</v>
      </c>
      <c r="R650" s="3">
        <f t="shared" si="63"/>
        <v>1.215828126527853</v>
      </c>
      <c r="S650" s="3">
        <f t="shared" si="64"/>
        <v>-0.87849983878414628</v>
      </c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</row>
    <row r="651" spans="1:100" x14ac:dyDescent="0.2">
      <c r="A651" s="32"/>
      <c r="F651" s="3"/>
      <c r="G651" s="3"/>
      <c r="H651" s="3"/>
      <c r="M651" s="1">
        <f t="shared" si="65"/>
        <v>19.469999999999981</v>
      </c>
      <c r="N651" s="1">
        <f t="shared" si="66"/>
        <v>-12.263620947435987</v>
      </c>
      <c r="O651" s="1">
        <f t="shared" si="67"/>
        <v>0.80253228443756142</v>
      </c>
      <c r="P651" s="1">
        <f t="shared" si="68"/>
        <v>5.6815591099553711</v>
      </c>
      <c r="R651" s="3">
        <f t="shared" si="63"/>
        <v>1.2366244559767732</v>
      </c>
      <c r="S651" s="3">
        <f t="shared" si="64"/>
        <v>-0.8489758270293386</v>
      </c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</row>
    <row r="652" spans="1:100" x14ac:dyDescent="0.2">
      <c r="A652" s="32"/>
      <c r="F652" s="3"/>
      <c r="G652" s="3"/>
      <c r="H652" s="3"/>
      <c r="M652" s="1">
        <f t="shared" si="65"/>
        <v>19.499999999999982</v>
      </c>
      <c r="N652" s="1">
        <f t="shared" si="66"/>
        <v>-12.438472465367113</v>
      </c>
      <c r="O652" s="1">
        <f t="shared" si="67"/>
        <v>0.42937811047654806</v>
      </c>
      <c r="P652" s="1">
        <f t="shared" si="68"/>
        <v>5.6944404532696673</v>
      </c>
      <c r="R652" s="3">
        <f t="shared" si="63"/>
        <v>1.2474575081264265</v>
      </c>
      <c r="S652" s="3">
        <f t="shared" si="64"/>
        <v>-0.83297644949842753</v>
      </c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</row>
    <row r="653" spans="1:100" x14ac:dyDescent="0.2">
      <c r="A653" s="32"/>
      <c r="F653" s="3"/>
      <c r="G653" s="3"/>
      <c r="H653" s="3"/>
      <c r="M653" s="1">
        <f t="shared" si="65"/>
        <v>19.529999999999983</v>
      </c>
      <c r="N653" s="1">
        <f t="shared" si="66"/>
        <v>-12.513219111207155</v>
      </c>
      <c r="O653" s="1">
        <f t="shared" si="67"/>
        <v>5.3981537140333435E-2</v>
      </c>
      <c r="P653" s="1">
        <f t="shared" si="68"/>
        <v>5.6960598993838776</v>
      </c>
      <c r="R653" s="3">
        <f t="shared" si="63"/>
        <v>1.248804832216925</v>
      </c>
      <c r="S653" s="3">
        <f t="shared" si="64"/>
        <v>-0.83095516788311619</v>
      </c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</row>
    <row r="654" spans="1:100" x14ac:dyDescent="0.2">
      <c r="A654" s="32"/>
      <c r="F654" s="3"/>
      <c r="G654" s="3"/>
      <c r="H654" s="3"/>
      <c r="M654" s="1">
        <f t="shared" si="65"/>
        <v>19.559999999999985</v>
      </c>
      <c r="N654" s="1">
        <f t="shared" si="66"/>
        <v>-12.492906660511879</v>
      </c>
      <c r="O654" s="1">
        <f t="shared" si="67"/>
        <v>-0.32080566267502292</v>
      </c>
      <c r="P654" s="1">
        <f t="shared" si="68"/>
        <v>5.6864357295036267</v>
      </c>
      <c r="R654" s="3">
        <f t="shared" si="63"/>
        <v>1.2407498673686359</v>
      </c>
      <c r="S654" s="3">
        <f t="shared" si="64"/>
        <v>-0.84293520903134223</v>
      </c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</row>
    <row r="655" spans="1:100" x14ac:dyDescent="0.2">
      <c r="A655" s="32"/>
      <c r="F655" s="3"/>
      <c r="G655" s="3"/>
      <c r="H655" s="3"/>
      <c r="M655" s="1">
        <f t="shared" si="65"/>
        <v>19.589999999999986</v>
      </c>
      <c r="N655" s="1">
        <f t="shared" si="66"/>
        <v>-12.378626164045606</v>
      </c>
      <c r="O655" s="1">
        <f t="shared" si="67"/>
        <v>-0.69216444759639106</v>
      </c>
      <c r="P655" s="1">
        <f t="shared" si="68"/>
        <v>5.6656707960757346</v>
      </c>
      <c r="R655" s="3">
        <f t="shared" si="63"/>
        <v>1.2229801465297783</v>
      </c>
      <c r="S655" s="3">
        <f t="shared" si="64"/>
        <v>-0.86851572305514524</v>
      </c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</row>
    <row r="656" spans="1:100" x14ac:dyDescent="0.2">
      <c r="A656" s="32"/>
      <c r="F656" s="3"/>
      <c r="G656" s="3"/>
      <c r="H656" s="3"/>
      <c r="M656" s="1">
        <f t="shared" si="65"/>
        <v>19.619999999999987</v>
      </c>
      <c r="N656" s="1">
        <f t="shared" si="66"/>
        <v>-12.167506665014109</v>
      </c>
      <c r="O656" s="1">
        <f t="shared" si="67"/>
        <v>-1.0571896475468143</v>
      </c>
      <c r="P656" s="1">
        <f t="shared" si="68"/>
        <v>5.6339551066493305</v>
      </c>
      <c r="R656" s="3">
        <f t="shared" si="63"/>
        <v>1.1948241522017269</v>
      </c>
      <c r="S656" s="3">
        <f t="shared" si="64"/>
        <v>-0.90686010239475445</v>
      </c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</row>
    <row r="657" spans="1:100" x14ac:dyDescent="0.2">
      <c r="A657" s="32"/>
      <c r="F657" s="3"/>
      <c r="G657" s="3"/>
      <c r="H657" s="3"/>
      <c r="M657" s="1">
        <f t="shared" si="65"/>
        <v>19.649999999999988</v>
      </c>
      <c r="N657" s="1">
        <f t="shared" si="66"/>
        <v>-11.853094453738056</v>
      </c>
      <c r="O657" s="1">
        <f t="shared" si="67"/>
        <v>-1.412782481158956</v>
      </c>
      <c r="P657" s="1">
        <f t="shared" si="68"/>
        <v>5.5915716322145617</v>
      </c>
      <c r="R657" s="3">
        <f t="shared" si="63"/>
        <v>1.15532677077902</v>
      </c>
      <c r="S657" s="3">
        <f t="shared" si="64"/>
        <v>-0.95667133997069309</v>
      </c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</row>
    <row r="658" spans="1:100" x14ac:dyDescent="0.2">
      <c r="A658" s="32"/>
      <c r="F658" s="3"/>
      <c r="G658" s="3"/>
      <c r="H658" s="3"/>
      <c r="M658" s="1">
        <f t="shared" si="65"/>
        <v>19.679999999999989</v>
      </c>
      <c r="N658" s="1">
        <f t="shared" si="66"/>
        <v>-11.426117284485896</v>
      </c>
      <c r="O658" s="1">
        <f t="shared" si="67"/>
        <v>-1.7555659996935329</v>
      </c>
      <c r="P658" s="1">
        <f t="shared" si="68"/>
        <v>5.5389046522237555</v>
      </c>
      <c r="R658" s="3">
        <f t="shared" si="63"/>
        <v>1.1033631117193934</v>
      </c>
      <c r="S658" s="3">
        <f t="shared" si="64"/>
        <v>-1.0161642798764861</v>
      </c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</row>
    <row r="659" spans="1:100" x14ac:dyDescent="0.2">
      <c r="A659" s="32"/>
      <c r="F659" s="3"/>
      <c r="G659" s="3"/>
      <c r="H659" s="3"/>
      <c r="M659" s="1">
        <f t="shared" si="65"/>
        <v>19.70999999999999</v>
      </c>
      <c r="N659" s="1">
        <f t="shared" si="66"/>
        <v>-10.875630177221517</v>
      </c>
      <c r="O659" s="1">
        <f t="shared" si="67"/>
        <v>-2.0818349050101785</v>
      </c>
      <c r="P659" s="1">
        <f t="shared" si="68"/>
        <v>5.4764496050734506</v>
      </c>
      <c r="R659" s="3">
        <f t="shared" si="63"/>
        <v>1.0377885664953428</v>
      </c>
      <c r="S659" s="3">
        <f t="shared" si="64"/>
        <v>-1.0830488868243859</v>
      </c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</row>
    <row r="660" spans="1:100" x14ac:dyDescent="0.2">
      <c r="A660" s="32"/>
      <c r="F660" s="3"/>
      <c r="G660" s="3"/>
      <c r="H660" s="3"/>
      <c r="M660" s="1">
        <f t="shared" si="65"/>
        <v>19.739999999999991</v>
      </c>
      <c r="N660" s="1">
        <f t="shared" si="66"/>
        <v>-10.19052052350251</v>
      </c>
      <c r="O660" s="1">
        <f t="shared" si="67"/>
        <v>-2.3875505207152536</v>
      </c>
      <c r="P660" s="1">
        <f t="shared" si="68"/>
        <v>5.4048230894519929</v>
      </c>
      <c r="R660" s="3">
        <f t="shared" si="63"/>
        <v>0.95761888737286116</v>
      </c>
      <c r="S660" s="3">
        <f t="shared" si="64"/>
        <v>-1.1545414962428868</v>
      </c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</row>
    <row r="661" spans="1:100" x14ac:dyDescent="0.2">
      <c r="A661" s="32"/>
      <c r="F661" s="3"/>
      <c r="G661" s="3"/>
      <c r="H661" s="3"/>
      <c r="M661" s="1">
        <f t="shared" si="65"/>
        <v>19.769999999999992</v>
      </c>
      <c r="N661" s="1">
        <f t="shared" si="66"/>
        <v>-9.3613093268642391</v>
      </c>
      <c r="O661" s="1">
        <f t="shared" si="67"/>
        <v>-2.6683898005211808</v>
      </c>
      <c r="P661" s="1">
        <f t="shared" si="68"/>
        <v>5.3247713954363576</v>
      </c>
      <c r="R661" s="3">
        <f t="shared" si="63"/>
        <v>0.86222786138871288</v>
      </c>
      <c r="S661" s="3">
        <f t="shared" si="64"/>
        <v>-1.2274213274361199</v>
      </c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</row>
    <row r="662" spans="1:100" x14ac:dyDescent="0.2">
      <c r="A662" s="32"/>
      <c r="F662" s="3"/>
      <c r="G662" s="3"/>
      <c r="H662" s="3"/>
      <c r="M662" s="1">
        <f t="shared" si="65"/>
        <v>19.799999999999994</v>
      </c>
      <c r="N662" s="1">
        <f t="shared" si="66"/>
        <v>-8.3821235318402234</v>
      </c>
      <c r="O662" s="1">
        <f t="shared" si="67"/>
        <v>-2.9198535064763873</v>
      </c>
      <c r="P662" s="1">
        <f t="shared" si="68"/>
        <v>5.2371757902420661</v>
      </c>
      <c r="R662" s="3">
        <f t="shared" si="63"/>
        <v>0.75154277212588527</v>
      </c>
      <c r="S662" s="3">
        <f t="shared" si="64"/>
        <v>-1.2981461634443709</v>
      </c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</row>
    <row r="663" spans="1:100" x14ac:dyDescent="0.2">
      <c r="A663" s="32"/>
      <c r="F663" s="3"/>
      <c r="G663" s="3"/>
      <c r="H663" s="3"/>
      <c r="M663" s="1">
        <f t="shared" si="65"/>
        <v>19.829999999999995</v>
      </c>
      <c r="N663" s="1">
        <f t="shared" si="66"/>
        <v>-7.2526409056759773</v>
      </c>
      <c r="O663" s="1">
        <f t="shared" si="67"/>
        <v>-3.1374327336466665</v>
      </c>
      <c r="P663" s="1">
        <f t="shared" si="68"/>
        <v>5.1430528082326665</v>
      </c>
      <c r="R663" s="3">
        <f t="shared" si="63"/>
        <v>0.62621116096755047</v>
      </c>
      <c r="S663" s="3">
        <f t="shared" si="64"/>
        <v>-1.3630332284576456</v>
      </c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</row>
    <row r="664" spans="1:100" x14ac:dyDescent="0.2">
      <c r="A664" s="32"/>
      <c r="F664" s="3"/>
      <c r="G664" s="3"/>
      <c r="H664" s="3"/>
      <c r="M664" s="1">
        <f t="shared" si="65"/>
        <v>19.859999999999996</v>
      </c>
      <c r="N664" s="1">
        <f t="shared" si="66"/>
        <v>-5.979742663647305</v>
      </c>
      <c r="O664" s="1">
        <f t="shared" si="67"/>
        <v>-3.3168250135560857</v>
      </c>
      <c r="P664" s="1">
        <f t="shared" si="68"/>
        <v>5.0435480578259844</v>
      </c>
      <c r="R664" s="3">
        <f t="shared" si="63"/>
        <v>0.48770902022813017</v>
      </c>
      <c r="S664" s="3">
        <f t="shared" si="64"/>
        <v>-1.4184991757446026</v>
      </c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</row>
    <row r="665" spans="1:100" x14ac:dyDescent="0.2">
      <c r="A665" s="32"/>
      <c r="F665" s="3"/>
      <c r="G665" s="3"/>
      <c r="H665" s="3"/>
      <c r="M665" s="1">
        <f t="shared" si="65"/>
        <v>19.889999999999997</v>
      </c>
      <c r="N665" s="1">
        <f t="shared" si="66"/>
        <v>-4.5785759510612545</v>
      </c>
      <c r="O665" s="1">
        <f t="shared" si="67"/>
        <v>-3.4541822920879235</v>
      </c>
      <c r="P665" s="1">
        <f t="shared" si="68"/>
        <v>4.9399225890633467</v>
      </c>
      <c r="R665" s="3">
        <f t="shared" si="63"/>
        <v>0.33836308533037984</v>
      </c>
      <c r="S665" s="3">
        <f t="shared" si="64"/>
        <v>-1.4613385721610532</v>
      </c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</row>
    <row r="666" spans="1:100" x14ac:dyDescent="0.2">
      <c r="A666" s="32"/>
      <c r="F666" s="3"/>
      <c r="G666" s="3"/>
      <c r="H666" s="3"/>
      <c r="M666" s="1">
        <f t="shared" si="65"/>
        <v>19.919999999999998</v>
      </c>
      <c r="N666" s="1">
        <f t="shared" si="66"/>
        <v>-3.0727544470158854</v>
      </c>
      <c r="O666" s="1">
        <f t="shared" si="67"/>
        <v>-3.5463649254984002</v>
      </c>
      <c r="P666" s="1">
        <f t="shared" si="68"/>
        <v>4.8335316412983946</v>
      </c>
      <c r="R666" s="3">
        <f t="shared" si="63"/>
        <v>0.18126985876872245</v>
      </c>
      <c r="S666" s="3">
        <f t="shared" si="64"/>
        <v>-1.4890067959220226</v>
      </c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</row>
    <row r="667" spans="1:100" x14ac:dyDescent="0.2">
      <c r="A667" s="32"/>
      <c r="F667" s="3"/>
      <c r="G667" s="3"/>
      <c r="H667" s="3"/>
      <c r="M667" s="1">
        <f t="shared" si="65"/>
        <v>19.95</v>
      </c>
      <c r="N667" s="1">
        <f t="shared" si="66"/>
        <v>-1.4935257443923686</v>
      </c>
      <c r="O667" s="1">
        <f t="shared" si="67"/>
        <v>-3.5911706978301714</v>
      </c>
      <c r="P667" s="1">
        <f t="shared" si="68"/>
        <v>4.7257965203634891</v>
      </c>
      <c r="R667" s="3">
        <f t="shared" si="63"/>
        <v>2.0110707431634105E-2</v>
      </c>
      <c r="S667" s="3">
        <f t="shared" si="64"/>
        <v>-1.4998651804234271</v>
      </c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</row>
    <row r="668" spans="1:100" x14ac:dyDescent="0.2">
      <c r="A668" s="32"/>
      <c r="F668" s="3"/>
      <c r="G668" s="3"/>
      <c r="H668" s="3"/>
      <c r="M668" s="1">
        <f t="shared" si="65"/>
        <v>19.98</v>
      </c>
      <c r="N668" s="1">
        <f t="shared" si="66"/>
        <v>0.12209828848837437</v>
      </c>
      <c r="O668" s="1">
        <f t="shared" si="67"/>
        <v>-3.5875077491755203</v>
      </c>
      <c r="P668" s="1">
        <f t="shared" si="68"/>
        <v>4.6181712878882237</v>
      </c>
      <c r="R668" s="3">
        <f t="shared" si="63"/>
        <v>-0.14111753953854111</v>
      </c>
      <c r="S668" s="3">
        <f t="shared" si="64"/>
        <v>-1.4933471933996421</v>
      </c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</row>
    <row r="669" spans="1:100" x14ac:dyDescent="0.2">
      <c r="A669" s="32"/>
      <c r="F669" s="3"/>
      <c r="G669" s="3"/>
      <c r="H669" s="3"/>
      <c r="M669" s="1">
        <f t="shared" si="65"/>
        <v>20.010000000000002</v>
      </c>
      <c r="N669" s="1">
        <f t="shared" si="66"/>
        <v>1.7340510928112081</v>
      </c>
      <c r="O669" s="1">
        <f t="shared" si="67"/>
        <v>-3.5354862163911842</v>
      </c>
      <c r="P669" s="1">
        <f t="shared" si="68"/>
        <v>4.5121067013964886</v>
      </c>
      <c r="R669" s="3">
        <f t="shared" si="63"/>
        <v>-0.29841896261733336</v>
      </c>
      <c r="S669" s="3">
        <f t="shared" si="64"/>
        <v>-1.4700156879266271</v>
      </c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</row>
    <row r="670" spans="1:100" x14ac:dyDescent="0.2">
      <c r="A670" s="32"/>
      <c r="F670" s="3"/>
      <c r="G670" s="3"/>
      <c r="H670" s="3"/>
      <c r="M670" s="1">
        <f t="shared" si="65"/>
        <v>20.040000000000003</v>
      </c>
      <c r="N670" s="1">
        <f t="shared" si="66"/>
        <v>3.3023833856485401</v>
      </c>
      <c r="O670" s="1">
        <f t="shared" si="67"/>
        <v>-3.4364147148217281</v>
      </c>
      <c r="P670" s="1">
        <f t="shared" si="68"/>
        <v>4.4090142599518369</v>
      </c>
      <c r="R670" s="3">
        <f t="shared" si="63"/>
        <v>-0.44811376696860339</v>
      </c>
      <c r="S670" s="3">
        <f t="shared" si="64"/>
        <v>-1.4315006293582997</v>
      </c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</row>
    <row r="671" spans="1:100" x14ac:dyDescent="0.2">
      <c r="A671" s="32"/>
      <c r="F671" s="3"/>
      <c r="G671" s="3"/>
      <c r="H671" s="3"/>
      <c r="M671" s="1">
        <f t="shared" si="65"/>
        <v>20.070000000000004</v>
      </c>
      <c r="N671" s="1">
        <f t="shared" si="66"/>
        <v>4.79041499401999</v>
      </c>
      <c r="O671" s="1">
        <f t="shared" si="67"/>
        <v>-3.2927022650011284</v>
      </c>
      <c r="P671" s="1">
        <f t="shared" si="68"/>
        <v>4.3102331920018031</v>
      </c>
      <c r="R671" s="3">
        <f t="shared" si="63"/>
        <v>-0.58710457269872696</v>
      </c>
      <c r="S671" s="3">
        <f t="shared" si="64"/>
        <v>-1.3803290262528878</v>
      </c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</row>
    <row r="672" spans="1:100" x14ac:dyDescent="0.2">
      <c r="A672" s="32"/>
      <c r="F672" s="3"/>
      <c r="G672" s="3"/>
      <c r="H672" s="3"/>
      <c r="M672" s="1">
        <f t="shared" si="65"/>
        <v>20.100000000000005</v>
      </c>
      <c r="N672" s="1">
        <f t="shared" si="66"/>
        <v>6.1673889308373706</v>
      </c>
      <c r="O672" s="1">
        <f t="shared" si="67"/>
        <v>-3.1076805970760071</v>
      </c>
      <c r="P672" s="1">
        <f t="shared" si="68"/>
        <v>4.2170027740895231</v>
      </c>
      <c r="R672" s="3">
        <f t="shared" si="63"/>
        <v>-0.71305719793656985</v>
      </c>
      <c r="S672" s="3">
        <f t="shared" si="64"/>
        <v>-1.3196777760009628</v>
      </c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</row>
    <row r="673" spans="1:100" x14ac:dyDescent="0.2">
      <c r="A673" s="32"/>
      <c r="F673" s="3"/>
      <c r="G673" s="3"/>
      <c r="H673" s="3"/>
      <c r="M673" s="1">
        <f t="shared" si="65"/>
        <v>20.130000000000006</v>
      </c>
      <c r="N673" s="1">
        <f t="shared" si="66"/>
        <v>7.4102632331025395</v>
      </c>
      <c r="O673" s="1">
        <f t="shared" si="67"/>
        <v>-2.885372700082931</v>
      </c>
      <c r="P673" s="1">
        <f t="shared" si="68"/>
        <v>4.1304415930870348</v>
      </c>
      <c r="R673" s="3">
        <f t="shared" si="63"/>
        <v>-0.82447772004258568</v>
      </c>
      <c r="S673" s="3">
        <f t="shared" si="64"/>
        <v>-1.2530907745065318</v>
      </c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</row>
    <row r="674" spans="1:100" x14ac:dyDescent="0.2">
      <c r="A674" s="32"/>
      <c r="F674" s="3"/>
      <c r="G674" s="3"/>
      <c r="H674" s="3"/>
      <c r="M674" s="1">
        <f t="shared" si="65"/>
        <v>20.160000000000007</v>
      </c>
      <c r="N674" s="1">
        <f t="shared" si="66"/>
        <v>8.5044607434333201</v>
      </c>
      <c r="O674" s="1">
        <f t="shared" si="67"/>
        <v>-2.6302388777799313</v>
      </c>
      <c r="P674" s="1">
        <f t="shared" si="68"/>
        <v>4.0515344267536371</v>
      </c>
      <c r="R674" s="3">
        <f t="shared" si="63"/>
        <v>-0.92068757812990554</v>
      </c>
      <c r="S674" s="3">
        <f t="shared" si="64"/>
        <v>-1.1842020028176312</v>
      </c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</row>
    <row r="675" spans="1:100" x14ac:dyDescent="0.2">
      <c r="A675" s="32"/>
      <c r="F675" s="3"/>
      <c r="G675" s="3"/>
      <c r="H675" s="3"/>
      <c r="M675" s="1">
        <f t="shared" si="65"/>
        <v>20.190000000000008</v>
      </c>
      <c r="N675" s="1">
        <f t="shared" si="66"/>
        <v>9.4435972802992474</v>
      </c>
      <c r="O675" s="1">
        <f t="shared" si="67"/>
        <v>-2.3469309593709538</v>
      </c>
      <c r="P675" s="1">
        <f t="shared" si="68"/>
        <v>3.9811264979725083</v>
      </c>
      <c r="R675" s="3">
        <f t="shared" si="63"/>
        <v>-1.0017148093226929</v>
      </c>
      <c r="S675" s="3">
        <f t="shared" si="64"/>
        <v>-1.1164978462959976</v>
      </c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</row>
    <row r="676" spans="1:100" x14ac:dyDescent="0.2">
      <c r="A676" s="32"/>
      <c r="F676" s="3"/>
      <c r="G676" s="3"/>
      <c r="H676" s="3"/>
      <c r="M676" s="1">
        <f t="shared" si="65"/>
        <v>20.22000000000001</v>
      </c>
      <c r="N676" s="1">
        <f t="shared" si="66"/>
        <v>10.228371879570314</v>
      </c>
      <c r="O676" s="1">
        <f t="shared" si="67"/>
        <v>-2.0400798029838443</v>
      </c>
      <c r="P676" s="1">
        <f t="shared" si="68"/>
        <v>3.9199241038829928</v>
      </c>
      <c r="R676" s="3">
        <f t="shared" si="63"/>
        <v>-1.0681290067866178</v>
      </c>
      <c r="S676" s="3">
        <f t="shared" si="64"/>
        <v>-1.0531383692853629</v>
      </c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</row>
    <row r="677" spans="1:100" x14ac:dyDescent="0.2">
      <c r="A677" s="32"/>
      <c r="F677" s="3"/>
      <c r="G677" s="3"/>
      <c r="H677" s="3"/>
      <c r="M677" s="1">
        <f t="shared" si="65"/>
        <v>20.250000000000011</v>
      </c>
      <c r="N677" s="1">
        <f t="shared" si="66"/>
        <v>10.864897250134723</v>
      </c>
      <c r="O677" s="1">
        <f t="shared" si="67"/>
        <v>-1.7141328854798026</v>
      </c>
      <c r="P677" s="1">
        <f t="shared" si="68"/>
        <v>3.8685001173185989</v>
      </c>
      <c r="R677" s="3">
        <f t="shared" si="63"/>
        <v>-1.1208497313789247</v>
      </c>
      <c r="S677" s="3">
        <f t="shared" si="64"/>
        <v>-0.99684295637166054</v>
      </c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</row>
    <row r="678" spans="1:100" x14ac:dyDescent="0.2">
      <c r="A678" s="32"/>
      <c r="F678" s="3"/>
      <c r="G678" s="3"/>
      <c r="H678" s="3"/>
      <c r="M678" s="1">
        <f t="shared" si="65"/>
        <v>20.280000000000012</v>
      </c>
      <c r="N678" s="1">
        <f t="shared" si="66"/>
        <v>11.36276927348243</v>
      </c>
      <c r="O678" s="1">
        <f t="shared" si="67"/>
        <v>-1.3732498072753296</v>
      </c>
      <c r="P678" s="1">
        <f t="shared" si="68"/>
        <v>3.8273026231003389</v>
      </c>
      <c r="R678" s="3">
        <f t="shared" si="63"/>
        <v>-1.1609545101087053</v>
      </c>
      <c r="S678" s="3">
        <f t="shared" si="64"/>
        <v>-0.94983399889573117</v>
      </c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</row>
    <row r="679" spans="1:100" x14ac:dyDescent="0.2">
      <c r="A679" s="32"/>
      <c r="F679" s="3"/>
      <c r="G679" s="3"/>
      <c r="H679" s="3"/>
      <c r="M679" s="1">
        <f t="shared" si="65"/>
        <v>20.310000000000013</v>
      </c>
      <c r="N679" s="1">
        <f t="shared" si="66"/>
        <v>11.733137583741835</v>
      </c>
      <c r="O679" s="1">
        <f t="shared" si="67"/>
        <v>-1.0212556797630747</v>
      </c>
      <c r="P679" s="1">
        <f t="shared" si="68"/>
        <v>3.7966649527074465</v>
      </c>
      <c r="R679" s="3">
        <f t="shared" si="63"/>
        <v>-1.1895058265297993</v>
      </c>
      <c r="S679" s="3">
        <f t="shared" si="64"/>
        <v>-0.91382486760410431</v>
      </c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</row>
    <row r="680" spans="1:100" x14ac:dyDescent="0.2">
      <c r="A680" s="32"/>
      <c r="F680" s="3"/>
      <c r="G680" s="3"/>
      <c r="H680" s="3"/>
      <c r="M680" s="1">
        <f t="shared" si="65"/>
        <v>20.340000000000014</v>
      </c>
      <c r="N680" s="1">
        <f t="shared" si="66"/>
        <v>11.986971276476671</v>
      </c>
      <c r="O680" s="1">
        <f t="shared" si="67"/>
        <v>-0.66164654146877466</v>
      </c>
      <c r="P680" s="1">
        <f t="shared" si="68"/>
        <v>3.7768155564633834</v>
      </c>
      <c r="R680" s="3">
        <f t="shared" si="63"/>
        <v>-1.2074091832526805</v>
      </c>
      <c r="S680" s="3">
        <f t="shared" si="64"/>
        <v>-0.89003542861904938</v>
      </c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</row>
    <row r="681" spans="1:100" x14ac:dyDescent="0.2">
      <c r="A681" s="32"/>
      <c r="F681" s="3"/>
      <c r="G681" s="3"/>
      <c r="H681" s="3"/>
      <c r="M681" s="1">
        <f t="shared" si="65"/>
        <v>20.370000000000015</v>
      </c>
      <c r="N681" s="1">
        <f t="shared" si="66"/>
        <v>12.133640021258996</v>
      </c>
      <c r="O681" s="1">
        <f t="shared" si="67"/>
        <v>-0.29763734083100479</v>
      </c>
      <c r="P681" s="1">
        <f t="shared" si="68"/>
        <v>3.7678864362384532</v>
      </c>
      <c r="R681" s="3">
        <f t="shared" si="63"/>
        <v>-1.2153081784381996</v>
      </c>
      <c r="S681" s="3">
        <f t="shared" si="64"/>
        <v>-0.87921898945667953</v>
      </c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</row>
    <row r="682" spans="1:100" x14ac:dyDescent="0.2">
      <c r="A682" s="32"/>
      <c r="F682" s="3"/>
      <c r="G682" s="3"/>
      <c r="H682" s="3"/>
      <c r="M682" s="1">
        <f t="shared" si="65"/>
        <v>20.400000000000016</v>
      </c>
      <c r="N682" s="1">
        <f t="shared" si="66"/>
        <v>12.179869145056788</v>
      </c>
      <c r="O682" s="1">
        <f t="shared" si="67"/>
        <v>6.7758733520698833E-2</v>
      </c>
      <c r="P682" s="1">
        <f t="shared" si="68"/>
        <v>3.7699191982440743</v>
      </c>
      <c r="R682" s="3">
        <f t="shared" si="63"/>
        <v>-1.2135184258130782</v>
      </c>
      <c r="S682" s="3">
        <f t="shared" si="64"/>
        <v>-0.88168760352641251</v>
      </c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</row>
    <row r="683" spans="1:100" x14ac:dyDescent="0.2">
      <c r="A683" s="32"/>
      <c r="F683" s="3"/>
      <c r="G683" s="3"/>
      <c r="H683" s="3"/>
      <c r="M683" s="1">
        <f t="shared" si="65"/>
        <v>20.430000000000017</v>
      </c>
      <c r="N683" s="1">
        <f t="shared" si="66"/>
        <v>12.129085972113918</v>
      </c>
      <c r="O683" s="1">
        <f t="shared" si="67"/>
        <v>0.43163131268411636</v>
      </c>
      <c r="P683" s="1">
        <f t="shared" si="68"/>
        <v>3.7828681376245976</v>
      </c>
      <c r="R683" s="3">
        <f t="shared" si="63"/>
        <v>-1.2020000885868565</v>
      </c>
      <c r="S683" s="3">
        <f t="shared" si="64"/>
        <v>-0.89732702346312343</v>
      </c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</row>
    <row r="684" spans="1:100" x14ac:dyDescent="0.2">
      <c r="A684" s="32"/>
      <c r="F684" s="3"/>
      <c r="G684" s="3"/>
      <c r="H684" s="3"/>
      <c r="M684" s="1">
        <f t="shared" si="65"/>
        <v>20.460000000000019</v>
      </c>
      <c r="N684" s="1">
        <f t="shared" si="66"/>
        <v>11.981154067726996</v>
      </c>
      <c r="O684" s="1">
        <f t="shared" si="67"/>
        <v>0.79106593471592623</v>
      </c>
      <c r="P684" s="1">
        <f t="shared" si="68"/>
        <v>3.8066001156660754</v>
      </c>
      <c r="R684" s="3">
        <f t="shared" si="63"/>
        <v>-1.1803682708463015</v>
      </c>
      <c r="S684" s="3">
        <f t="shared" si="64"/>
        <v>-0.92559750711597777</v>
      </c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</row>
    <row r="685" spans="1:100" x14ac:dyDescent="0.2">
      <c r="A685" s="32"/>
      <c r="F685" s="3"/>
      <c r="G685" s="3"/>
      <c r="H685" s="3"/>
      <c r="M685" s="1">
        <f t="shared" si="65"/>
        <v>20.49000000000002</v>
      </c>
      <c r="N685" s="1">
        <f t="shared" si="66"/>
        <v>11.732486774338581</v>
      </c>
      <c r="O685" s="1">
        <f t="shared" si="67"/>
        <v>1.1430405379460837</v>
      </c>
      <c r="P685" s="1">
        <f t="shared" si="68"/>
        <v>3.8408913318044577</v>
      </c>
      <c r="R685" s="3">
        <f t="shared" si="63"/>
        <v>-1.1479407045770154</v>
      </c>
      <c r="S685" s="3">
        <f t="shared" si="64"/>
        <v>-0.96552169254513676</v>
      </c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</row>
    <row r="686" spans="1:100" x14ac:dyDescent="0.2">
      <c r="A686" s="32"/>
      <c r="F686" s="3"/>
      <c r="G686" s="3"/>
      <c r="H686" s="3"/>
      <c r="M686" s="1">
        <f t="shared" si="65"/>
        <v>20.520000000000021</v>
      </c>
      <c r="N686" s="1">
        <f t="shared" si="66"/>
        <v>11.376533397355004</v>
      </c>
      <c r="O686" s="1">
        <f t="shared" si="67"/>
        <v>1.4843365398667339</v>
      </c>
      <c r="P686" s="1">
        <f t="shared" si="68"/>
        <v>3.88542142800046</v>
      </c>
      <c r="R686" s="3">
        <f t="shared" si="63"/>
        <v>-1.1038221839213531</v>
      </c>
      <c r="S686" s="3">
        <f t="shared" si="64"/>
        <v>-1.0156655878206637</v>
      </c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</row>
    <row r="687" spans="1:100" x14ac:dyDescent="0.2">
      <c r="A687" s="32"/>
      <c r="F687" s="3"/>
      <c r="G687" s="3"/>
      <c r="H687" s="3"/>
      <c r="M687" s="1">
        <f t="shared" si="65"/>
        <v>20.550000000000022</v>
      </c>
      <c r="N687" s="1">
        <f t="shared" si="66"/>
        <v>10.904631550625524</v>
      </c>
      <c r="O687" s="1">
        <f t="shared" si="67"/>
        <v>1.8114754863854996</v>
      </c>
      <c r="P687" s="1">
        <f t="shared" si="68"/>
        <v>3.939765692592025</v>
      </c>
      <c r="R687" s="3">
        <f t="shared" si="63"/>
        <v>-1.0470241912333202</v>
      </c>
      <c r="S687" s="3">
        <f t="shared" si="64"/>
        <v>-1.0741230576485226</v>
      </c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</row>
    <row r="688" spans="1:100" x14ac:dyDescent="0.2">
      <c r="A688" s="32"/>
      <c r="F688" s="3"/>
      <c r="G688" s="3"/>
      <c r="H688" s="3"/>
      <c r="M688" s="1">
        <f t="shared" si="65"/>
        <v>20.580000000000023</v>
      </c>
      <c r="N688" s="1">
        <f t="shared" si="66"/>
        <v>10.307209118558507</v>
      </c>
      <c r="O688" s="1">
        <f t="shared" si="67"/>
        <v>2.1206917599422548</v>
      </c>
      <c r="P688" s="1">
        <f t="shared" si="68"/>
        <v>4.0033864453902925</v>
      </c>
      <c r="R688" s="3">
        <f t="shared" si="63"/>
        <v>-0.97661551117129464</v>
      </c>
      <c r="S688" s="3">
        <f t="shared" si="64"/>
        <v>-1.1385175199967854</v>
      </c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</row>
    <row r="689" spans="1:100" x14ac:dyDescent="0.2">
      <c r="A689" s="32"/>
      <c r="F689" s="3"/>
      <c r="G689" s="3"/>
      <c r="H689" s="3"/>
      <c r="M689" s="1">
        <f t="shared" si="65"/>
        <v>20.610000000000024</v>
      </c>
      <c r="N689" s="1">
        <f t="shared" si="66"/>
        <v>9.5752928533181425</v>
      </c>
      <c r="O689" s="1">
        <f t="shared" si="67"/>
        <v>2.4079505455417989</v>
      </c>
      <c r="P689" s="1">
        <f t="shared" si="68"/>
        <v>4.0756249617565468</v>
      </c>
      <c r="R689" s="3">
        <f t="shared" si="63"/>
        <v>-0.89189512826332051</v>
      </c>
      <c r="S689" s="3">
        <f t="shared" si="64"/>
        <v>-1.2060361023535553</v>
      </c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</row>
    <row r="690" spans="1:100" x14ac:dyDescent="0.2">
      <c r="A690" s="32"/>
      <c r="F690" s="3"/>
      <c r="G690" s="3"/>
      <c r="H690" s="3"/>
      <c r="M690" s="1">
        <f t="shared" si="65"/>
        <v>20.640000000000025</v>
      </c>
      <c r="N690" s="1">
        <f t="shared" si="66"/>
        <v>8.702235733534442</v>
      </c>
      <c r="O690" s="1">
        <f t="shared" si="67"/>
        <v>2.6690176175478322</v>
      </c>
      <c r="P690" s="1">
        <f t="shared" si="68"/>
        <v>4.1556954902829819</v>
      </c>
      <c r="R690" s="3">
        <f t="shared" si="63"/>
        <v>-0.79257276282886446</v>
      </c>
      <c r="S690" s="3">
        <f t="shared" si="64"/>
        <v>-1.2735102730727461</v>
      </c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</row>
    <row r="691" spans="1:100" x14ac:dyDescent="0.2">
      <c r="A691" s="32"/>
      <c r="F691" s="3"/>
      <c r="G691" s="3"/>
      <c r="H691" s="3"/>
      <c r="M691" s="1">
        <f t="shared" si="65"/>
        <v>20.670000000000027</v>
      </c>
      <c r="N691" s="1">
        <f t="shared" si="66"/>
        <v>7.6855160427093399</v>
      </c>
      <c r="O691" s="1">
        <f t="shared" si="67"/>
        <v>2.8995830988291122</v>
      </c>
      <c r="P691" s="1">
        <f t="shared" si="68"/>
        <v>4.242682983247855</v>
      </c>
      <c r="R691" s="3">
        <f t="shared" si="63"/>
        <v>-0.67893621327028097</v>
      </c>
      <c r="S691" s="3">
        <f t="shared" si="64"/>
        <v>-1.3375520992881778</v>
      </c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</row>
    <row r="692" spans="1:100" x14ac:dyDescent="0.2">
      <c r="A692" s="32"/>
      <c r="F692" s="3"/>
      <c r="G692" s="3"/>
      <c r="H692" s="3"/>
      <c r="M692" s="1">
        <f t="shared" si="65"/>
        <v>20.700000000000028</v>
      </c>
      <c r="N692" s="1">
        <f t="shared" si="66"/>
        <v>6.5283996538081892</v>
      </c>
      <c r="O692" s="1">
        <f t="shared" si="67"/>
        <v>3.0954350884433577</v>
      </c>
      <c r="P692" s="1">
        <f t="shared" si="68"/>
        <v>4.3355460359011557</v>
      </c>
      <c r="R692" s="3">
        <f t="shared" si="63"/>
        <v>-0.55198016998805011</v>
      </c>
      <c r="S692" s="3">
        <f t="shared" si="64"/>
        <v>-1.3947465332238553</v>
      </c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</row>
    <row r="693" spans="1:100" x14ac:dyDescent="0.2">
      <c r="A693" s="32"/>
      <c r="F693" s="3"/>
      <c r="G693" s="3"/>
      <c r="H693" s="3"/>
      <c r="M693" s="1">
        <f t="shared" si="65"/>
        <v>20.730000000000029</v>
      </c>
      <c r="N693" s="1">
        <f t="shared" si="66"/>
        <v>5.2412125419205982</v>
      </c>
      <c r="O693" s="1">
        <f t="shared" si="67"/>
        <v>3.2526714647009758</v>
      </c>
      <c r="P693" s="1">
        <f t="shared" si="68"/>
        <v>4.4331261798421853</v>
      </c>
      <c r="R693" s="3">
        <f t="shared" si="63"/>
        <v>-0.41347062597900597</v>
      </c>
      <c r="S693" s="3">
        <f t="shared" si="64"/>
        <v>-1.4418883595662075</v>
      </c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</row>
    <row r="694" spans="1:100" x14ac:dyDescent="0.2">
      <c r="A694" s="32"/>
      <c r="F694" s="3"/>
      <c r="G694" s="3"/>
      <c r="H694" s="3"/>
      <c r="M694" s="1">
        <f t="shared" si="65"/>
        <v>20.76000000000003</v>
      </c>
      <c r="N694" s="1">
        <f t="shared" si="66"/>
        <v>3.8419658279669715</v>
      </c>
      <c r="O694" s="1">
        <f t="shared" si="67"/>
        <v>3.3679304395399847</v>
      </c>
      <c r="P694" s="1">
        <f t="shared" si="68"/>
        <v>4.5341640930283846</v>
      </c>
      <c r="R694" s="3">
        <f t="shared" si="63"/>
        <v>-0.26592428835189713</v>
      </c>
      <c r="S694" s="3">
        <f t="shared" si="64"/>
        <v>-1.476239910334542</v>
      </c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</row>
    <row r="695" spans="1:100" x14ac:dyDescent="0.2">
      <c r="A695" s="32"/>
      <c r="F695" s="3"/>
      <c r="G695" s="3"/>
      <c r="H695" s="3"/>
      <c r="M695" s="1">
        <f t="shared" si="65"/>
        <v>20.790000000000031</v>
      </c>
      <c r="N695" s="1">
        <f t="shared" si="66"/>
        <v>2.3561291439603727</v>
      </c>
      <c r="O695" s="1">
        <f t="shared" si="67"/>
        <v>3.4386143138587961</v>
      </c>
      <c r="P695" s="1">
        <f t="shared" si="68"/>
        <v>4.6373225224441486</v>
      </c>
      <c r="R695" s="3">
        <f t="shared" si="63"/>
        <v>-0.11249396733361</v>
      </c>
      <c r="S695" s="3">
        <f t="shared" si="64"/>
        <v>-1.495775754354089</v>
      </c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</row>
    <row r="696" spans="1:100" x14ac:dyDescent="0.2">
      <c r="A696" s="32"/>
      <c r="F696" s="3"/>
      <c r="G696" s="3"/>
      <c r="H696" s="3"/>
      <c r="M696" s="1">
        <f t="shared" si="65"/>
        <v>20.820000000000032</v>
      </c>
      <c r="N696" s="1">
        <f t="shared" si="66"/>
        <v>0.81546438508880847</v>
      </c>
      <c r="O696" s="1">
        <f t="shared" si="67"/>
        <v>3.4630782454114604</v>
      </c>
      <c r="P696" s="1">
        <f t="shared" si="68"/>
        <v>4.741214869806492</v>
      </c>
      <c r="R696" s="3">
        <f t="shared" si="63"/>
        <v>4.3232846293709409E-2</v>
      </c>
      <c r="S696" s="3">
        <f t="shared" si="64"/>
        <v>-1.4993768442260753</v>
      </c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</row>
    <row r="697" spans="1:100" x14ac:dyDescent="0.2">
      <c r="A697" s="32"/>
      <c r="F697" s="3"/>
      <c r="G697" s="3"/>
      <c r="H697" s="3"/>
      <c r="M697" s="1">
        <f t="shared" si="65"/>
        <v>20.850000000000033</v>
      </c>
      <c r="N697" s="1">
        <f t="shared" si="66"/>
        <v>-0.74400550502412544</v>
      </c>
      <c r="O697" s="1">
        <f t="shared" si="67"/>
        <v>3.4407580802607365</v>
      </c>
      <c r="P697" s="1">
        <f t="shared" si="68"/>
        <v>4.844437612214314</v>
      </c>
      <c r="R697" s="3">
        <f t="shared" si="63"/>
        <v>0.19749782163770252</v>
      </c>
      <c r="S697" s="3">
        <f t="shared" si="64"/>
        <v>-1.4869413607968411</v>
      </c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</row>
    <row r="698" spans="1:100" x14ac:dyDescent="0.2">
      <c r="A698" s="32"/>
      <c r="F698" s="3"/>
      <c r="G698" s="3"/>
      <c r="H698" s="3"/>
      <c r="M698" s="1">
        <f t="shared" si="65"/>
        <v>20.880000000000035</v>
      </c>
      <c r="N698" s="1">
        <f t="shared" si="66"/>
        <v>-2.2846464436004914</v>
      </c>
      <c r="O698" s="1">
        <f t="shared" si="67"/>
        <v>3.3722186869527215</v>
      </c>
      <c r="P698" s="1">
        <f t="shared" si="68"/>
        <v>4.9456041728228959</v>
      </c>
      <c r="R698" s="3">
        <f t="shared" si="63"/>
        <v>0.34666029692791295</v>
      </c>
      <c r="S698" s="3">
        <f t="shared" si="64"/>
        <v>-1.4593925580644336</v>
      </c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</row>
    <row r="699" spans="1:100" x14ac:dyDescent="0.2">
      <c r="A699" s="32"/>
      <c r="F699" s="3"/>
      <c r="G699" s="3"/>
      <c r="H699" s="3"/>
      <c r="M699" s="1">
        <f t="shared" si="65"/>
        <v>20.910000000000036</v>
      </c>
      <c r="N699" s="1">
        <f t="shared" si="66"/>
        <v>-3.7701026511048745</v>
      </c>
      <c r="O699" s="1">
        <f t="shared" si="67"/>
        <v>3.2591156074195755</v>
      </c>
      <c r="P699" s="1">
        <f t="shared" si="68"/>
        <v>5.0433776410454829</v>
      </c>
      <c r="R699" s="3">
        <f t="shared" si="63"/>
        <v>0.48746727708463272</v>
      </c>
      <c r="S699" s="3">
        <f t="shared" si="64"/>
        <v>-1.4185822689473087</v>
      </c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</row>
    <row r="700" spans="1:100" x14ac:dyDescent="0.2">
      <c r="A700" s="32"/>
      <c r="F700" s="3"/>
      <c r="G700" s="3"/>
      <c r="H700" s="3"/>
      <c r="M700" s="1">
        <f t="shared" si="65"/>
        <v>20.940000000000037</v>
      </c>
      <c r="N700" s="1">
        <f t="shared" si="66"/>
        <v>-5.1679931755140895</v>
      </c>
      <c r="O700" s="1">
        <f t="shared" si="67"/>
        <v>3.1040758121541527</v>
      </c>
      <c r="P700" s="1">
        <f t="shared" si="68"/>
        <v>5.1364999154101074</v>
      </c>
      <c r="R700" s="3">
        <f t="shared" si="63"/>
        <v>0.61726596939821943</v>
      </c>
      <c r="S700" s="3">
        <f t="shared" si="64"/>
        <v>-1.367107429217937</v>
      </c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</row>
    <row r="701" spans="1:100" x14ac:dyDescent="0.2">
      <c r="A701" s="32"/>
      <c r="F701" s="3"/>
      <c r="G701" s="3"/>
      <c r="H701" s="3"/>
      <c r="M701" s="1">
        <f t="shared" si="65"/>
        <v>20.970000000000038</v>
      </c>
      <c r="N701" s="1">
        <f t="shared" si="66"/>
        <v>-6.4520265170760673</v>
      </c>
      <c r="O701" s="1">
        <f t="shared" si="67"/>
        <v>2.9105150166418707</v>
      </c>
      <c r="P701" s="1">
        <f t="shared" si="68"/>
        <v>5.2238153659093634</v>
      </c>
      <c r="R701" s="3">
        <f t="shared" si="63"/>
        <v>0.73413242996479822</v>
      </c>
      <c r="S701" s="3">
        <f t="shared" si="64"/>
        <v>-1.3080709366368402</v>
      </c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</row>
    <row r="702" spans="1:100" x14ac:dyDescent="0.2">
      <c r="A702" s="32"/>
      <c r="F702" s="3"/>
      <c r="G702" s="3"/>
      <c r="H702" s="3"/>
      <c r="M702" s="1">
        <f t="shared" si="65"/>
        <v>21.000000000000039</v>
      </c>
      <c r="N702" s="1">
        <f t="shared" si="66"/>
        <v>-7.6032706511457508</v>
      </c>
      <c r="O702" s="1">
        <f t="shared" si="67"/>
        <v>2.6824168971074984</v>
      </c>
      <c r="P702" s="1">
        <f t="shared" si="68"/>
        <v>5.304287872822588</v>
      </c>
      <c r="R702" s="3">
        <f t="shared" si="63"/>
        <v>0.8369068288132917</v>
      </c>
      <c r="S702" s="3">
        <f t="shared" si="64"/>
        <v>-1.2448240678448017</v>
      </c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</row>
    <row r="703" spans="1:100" x14ac:dyDescent="0.2">
      <c r="A703" s="32"/>
      <c r="F703" s="3"/>
      <c r="G703" s="3"/>
      <c r="H703" s="3"/>
      <c r="M703" s="1">
        <f t="shared" si="65"/>
        <v>21.03000000000004</v>
      </c>
      <c r="N703" s="1">
        <f t="shared" si="66"/>
        <v>-8.6104858088725926</v>
      </c>
      <c r="O703" s="1">
        <f t="shared" si="67"/>
        <v>2.4241023228413208</v>
      </c>
      <c r="P703" s="1">
        <f t="shared" si="68"/>
        <v>5.3770109425078276</v>
      </c>
      <c r="R703" s="3">
        <f t="shared" si="63"/>
        <v>0.92514240643752288</v>
      </c>
      <c r="S703" s="3">
        <f t="shared" si="64"/>
        <v>-1.180725000925698</v>
      </c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</row>
    <row r="704" spans="1:100" x14ac:dyDescent="0.2">
      <c r="A704" s="32"/>
      <c r="F704" s="3"/>
      <c r="G704" s="3"/>
      <c r="H704" s="3"/>
      <c r="M704" s="1">
        <f t="shared" si="65"/>
        <v>21.060000000000041</v>
      </c>
      <c r="N704" s="1">
        <f t="shared" si="66"/>
        <v>-9.4695932734309469</v>
      </c>
      <c r="O704" s="1">
        <f t="shared" si="67"/>
        <v>2.1400145246383921</v>
      </c>
      <c r="P704" s="1">
        <f t="shared" si="68"/>
        <v>5.4412113782469795</v>
      </c>
      <c r="R704" s="3">
        <f t="shared" si="63"/>
        <v>0.99898748077160193</v>
      </c>
      <c r="S704" s="3">
        <f t="shared" si="64"/>
        <v>-1.1189387888806108</v>
      </c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</row>
    <row r="705" spans="1:100" x14ac:dyDescent="0.2">
      <c r="A705" s="32"/>
      <c r="F705" s="3"/>
      <c r="G705" s="3"/>
      <c r="H705" s="3"/>
      <c r="M705" s="1">
        <f t="shared" si="65"/>
        <v>21.090000000000042</v>
      </c>
      <c r="N705" s="1">
        <f t="shared" si="66"/>
        <v>-10.182476114933474</v>
      </c>
      <c r="O705" s="1">
        <f t="shared" si="67"/>
        <v>1.8345402411903879</v>
      </c>
      <c r="P705" s="1">
        <f t="shared" si="68"/>
        <v>5.4962475854826911</v>
      </c>
      <c r="R705" s="3">
        <f t="shared" si="63"/>
        <v>1.0590259672453386</v>
      </c>
      <c r="S705" s="3">
        <f t="shared" si="64"/>
        <v>-1.0622918622958923</v>
      </c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</row>
    <row r="706" spans="1:100" x14ac:dyDescent="0.2">
      <c r="A706" s="32"/>
      <c r="F706" s="3"/>
      <c r="G706" s="3"/>
      <c r="H706" s="3"/>
      <c r="M706" s="1">
        <f t="shared" si="65"/>
        <v>21.120000000000044</v>
      </c>
      <c r="N706" s="1">
        <f t="shared" si="66"/>
        <v>-10.755368294160521</v>
      </c>
      <c r="O706" s="1">
        <f t="shared" si="67"/>
        <v>1.5118791923655723</v>
      </c>
      <c r="P706" s="1">
        <f t="shared" si="68"/>
        <v>5.5416039612536583</v>
      </c>
      <c r="R706" s="3">
        <f t="shared" ref="R706:R769" si="69">$B$3*COS(P706)</f>
        <v>1.1061020301070523</v>
      </c>
      <c r="S706" s="3">
        <f t="shared" ref="S706:S769" si="70">$B$3*SIN(P706)</f>
        <v>-1.0131822634615442</v>
      </c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</row>
    <row r="707" spans="1:100" x14ac:dyDescent="0.2">
      <c r="A707" s="32"/>
      <c r="F707" s="3"/>
      <c r="G707" s="3"/>
      <c r="H707" s="3"/>
      <c r="M707" s="1">
        <f t="shared" ref="M707:M770" si="71">M706+B$13</f>
        <v>21.150000000000045</v>
      </c>
      <c r="N707" s="1">
        <f t="shared" ref="N707:N770" si="72">-$B$12*$B$3*COS(P706)-B$10*O706</f>
        <v>-11.197089428383423</v>
      </c>
      <c r="O707" s="1">
        <f t="shared" ref="O707:O770" si="73">N707*$B$13+O706</f>
        <v>1.1759665095140697</v>
      </c>
      <c r="P707" s="1">
        <f t="shared" ref="P707:P770" si="74">O707*$B$13+P706</f>
        <v>5.5768829565390803</v>
      </c>
      <c r="R707" s="3">
        <f t="shared" si="69"/>
        <v>1.1411504082548141</v>
      </c>
      <c r="S707" s="3">
        <f t="shared" si="70"/>
        <v>-0.97353774746533128</v>
      </c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</row>
    <row r="708" spans="1:100" x14ac:dyDescent="0.2">
      <c r="A708" s="32"/>
      <c r="F708" s="3"/>
      <c r="G708" s="3"/>
      <c r="H708" s="3"/>
      <c r="M708" s="1">
        <f t="shared" si="71"/>
        <v>21.180000000000046</v>
      </c>
      <c r="N708" s="1">
        <f t="shared" si="72"/>
        <v>-11.517341068404406</v>
      </c>
      <c r="O708" s="1">
        <f t="shared" si="73"/>
        <v>0.83044627746193744</v>
      </c>
      <c r="P708" s="1">
        <f t="shared" si="74"/>
        <v>5.6017963448629384</v>
      </c>
      <c r="R708" s="3">
        <f t="shared" si="69"/>
        <v>1.1650478987453208</v>
      </c>
      <c r="S708" s="3">
        <f t="shared" si="70"/>
        <v>-0.94480865450582785</v>
      </c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</row>
    <row r="709" spans="1:100" x14ac:dyDescent="0.2">
      <c r="A709" s="32"/>
      <c r="F709" s="3"/>
      <c r="G709" s="3"/>
      <c r="H709" s="3"/>
      <c r="M709" s="1">
        <f t="shared" si="71"/>
        <v>21.210000000000047</v>
      </c>
      <c r="N709" s="1">
        <f t="shared" si="72"/>
        <v>-11.725219152424783</v>
      </c>
      <c r="O709" s="1">
        <f t="shared" si="73"/>
        <v>0.47868970288919399</v>
      </c>
      <c r="P709" s="1">
        <f t="shared" si="74"/>
        <v>5.6161570359496142</v>
      </c>
      <c r="R709" s="3">
        <f t="shared" si="69"/>
        <v>1.1784954060881294</v>
      </c>
      <c r="S709" s="3">
        <f t="shared" si="70"/>
        <v>-0.92798091458239318</v>
      </c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</row>
    <row r="710" spans="1:100" x14ac:dyDescent="0.2">
      <c r="A710" s="32"/>
      <c r="F710" s="3"/>
      <c r="G710" s="3"/>
      <c r="H710" s="3"/>
      <c r="M710" s="1">
        <f t="shared" si="71"/>
        <v>21.240000000000048</v>
      </c>
      <c r="N710" s="1">
        <f t="shared" si="72"/>
        <v>-11.828036134141321</v>
      </c>
      <c r="O710" s="1">
        <f t="shared" si="73"/>
        <v>0.12384861886495435</v>
      </c>
      <c r="P710" s="1">
        <f t="shared" si="74"/>
        <v>5.6198724945155627</v>
      </c>
      <c r="R710" s="3">
        <f t="shared" si="69"/>
        <v>1.1819351384549339</v>
      </c>
      <c r="S710" s="3">
        <f t="shared" si="70"/>
        <v>-0.92359586859487197</v>
      </c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</row>
    <row r="711" spans="1:100" x14ac:dyDescent="0.2">
      <c r="A711" s="32"/>
      <c r="F711" s="3"/>
      <c r="G711" s="3"/>
      <c r="H711" s="3"/>
      <c r="M711" s="1">
        <f t="shared" si="71"/>
        <v>21.270000000000049</v>
      </c>
      <c r="N711" s="1">
        <f t="shared" si="72"/>
        <v>-11.830497760247185</v>
      </c>
      <c r="O711" s="1">
        <f t="shared" si="73"/>
        <v>-0.23106631394246119</v>
      </c>
      <c r="P711" s="1">
        <f t="shared" si="74"/>
        <v>5.6129405050972885</v>
      </c>
      <c r="R711" s="3">
        <f t="shared" si="69"/>
        <v>1.1755044355998114</v>
      </c>
      <c r="S711" s="3">
        <f t="shared" si="70"/>
        <v>-0.93176677440503797</v>
      </c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</row>
    <row r="712" spans="1:100" x14ac:dyDescent="0.2">
      <c r="A712" s="32"/>
      <c r="F712" s="3"/>
      <c r="G712" s="3"/>
      <c r="H712" s="3"/>
      <c r="M712" s="1">
        <f t="shared" si="71"/>
        <v>21.30000000000005</v>
      </c>
      <c r="N712" s="1">
        <f t="shared" si="72"/>
        <v>-11.734248387743293</v>
      </c>
      <c r="O712" s="1">
        <f t="shared" si="73"/>
        <v>-0.58309376557475989</v>
      </c>
      <c r="P712" s="1">
        <f t="shared" si="74"/>
        <v>5.5954476921300458</v>
      </c>
      <c r="R712" s="3">
        <f t="shared" si="69"/>
        <v>1.1590261982154766</v>
      </c>
      <c r="S712" s="3">
        <f t="shared" si="70"/>
        <v>-0.95218604896846637</v>
      </c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</row>
    <row r="713" spans="1:100" x14ac:dyDescent="0.2">
      <c r="A713" s="32"/>
      <c r="F713" s="3"/>
      <c r="G713" s="3"/>
      <c r="H713" s="3"/>
      <c r="M713" s="1">
        <f t="shared" si="71"/>
        <v>21.330000000000052</v>
      </c>
      <c r="N713" s="1">
        <f t="shared" si="72"/>
        <v>-11.537783543253038</v>
      </c>
      <c r="O713" s="1">
        <f t="shared" si="73"/>
        <v>-0.9292272718723511</v>
      </c>
      <c r="P713" s="1">
        <f t="shared" si="74"/>
        <v>5.5675708739738754</v>
      </c>
      <c r="R713" s="3">
        <f t="shared" si="69"/>
        <v>1.1320353983870404</v>
      </c>
      <c r="S713" s="3">
        <f t="shared" si="70"/>
        <v>-0.98412187090761005</v>
      </c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</row>
    <row r="714" spans="1:100" x14ac:dyDescent="0.2">
      <c r="A714" s="32"/>
      <c r="F714" s="3"/>
      <c r="G714" s="3"/>
      <c r="H714" s="3"/>
      <c r="M714" s="1">
        <f t="shared" si="71"/>
        <v>21.360000000000053</v>
      </c>
      <c r="N714" s="1">
        <f t="shared" si="72"/>
        <v>-11.236723529401893</v>
      </c>
      <c r="O714" s="1">
        <f t="shared" si="73"/>
        <v>-1.2663289777544078</v>
      </c>
      <c r="P714" s="1">
        <f t="shared" si="74"/>
        <v>5.5295810046412432</v>
      </c>
      <c r="R714" s="3">
        <f t="shared" si="69"/>
        <v>1.0938409338023323</v>
      </c>
      <c r="S714" s="3">
        <f t="shared" si="70"/>
        <v>-1.0264073321729739</v>
      </c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</row>
    <row r="715" spans="1:100" x14ac:dyDescent="0.2">
      <c r="A715" s="32"/>
      <c r="F715" s="3"/>
      <c r="G715" s="3"/>
      <c r="H715" s="3"/>
      <c r="M715" s="1">
        <f t="shared" si="71"/>
        <v>21.390000000000054</v>
      </c>
      <c r="N715" s="1">
        <f t="shared" si="72"/>
        <v>-10.824439730025427</v>
      </c>
      <c r="O715" s="1">
        <f t="shared" si="73"/>
        <v>-1.5910621696551706</v>
      </c>
      <c r="P715" s="1">
        <f t="shared" si="74"/>
        <v>5.4818491395515885</v>
      </c>
      <c r="R715" s="3">
        <f t="shared" si="69"/>
        <v>1.0436213695732719</v>
      </c>
      <c r="S715" s="3">
        <f t="shared" si="70"/>
        <v>-1.0774295508152765</v>
      </c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</row>
    <row r="716" spans="1:100" x14ac:dyDescent="0.2">
      <c r="A716" s="32"/>
      <c r="F716" s="3"/>
      <c r="G716" s="3"/>
      <c r="H716" s="3"/>
      <c r="M716" s="1">
        <f t="shared" si="71"/>
        <v>21.420000000000055</v>
      </c>
      <c r="N716" s="1">
        <f t="shared" si="72"/>
        <v>-10.293018100463753</v>
      </c>
      <c r="O716" s="1">
        <f t="shared" si="73"/>
        <v>-1.8998527126690832</v>
      </c>
      <c r="P716" s="1">
        <f t="shared" si="74"/>
        <v>5.4248535581715158</v>
      </c>
      <c r="R716" s="3">
        <f t="shared" si="69"/>
        <v>0.98055124694753526</v>
      </c>
      <c r="S716" s="3">
        <f t="shared" si="70"/>
        <v>-1.1351296190786466</v>
      </c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</row>
    <row r="717" spans="1:100" x14ac:dyDescent="0.2">
      <c r="A717" s="32"/>
      <c r="F717" s="3"/>
      <c r="G717" s="3"/>
      <c r="H717" s="3"/>
      <c r="M717" s="1">
        <f t="shared" si="71"/>
        <v>21.450000000000056</v>
      </c>
      <c r="N717" s="1">
        <f t="shared" si="72"/>
        <v>-9.634525725335136</v>
      </c>
      <c r="O717" s="1">
        <f t="shared" si="73"/>
        <v>-2.1888884844291372</v>
      </c>
      <c r="P717" s="1">
        <f t="shared" si="74"/>
        <v>5.3591869036386415</v>
      </c>
      <c r="R717" s="3">
        <f t="shared" si="69"/>
        <v>0.90395127914711426</v>
      </c>
      <c r="S717" s="3">
        <f t="shared" si="70"/>
        <v>-1.1970263509749048</v>
      </c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</row>
    <row r="718" spans="1:100" x14ac:dyDescent="0.2">
      <c r="A718" s="32"/>
      <c r="F718" s="3"/>
      <c r="G718" s="3"/>
      <c r="H718" s="3"/>
      <c r="M718" s="1">
        <f t="shared" si="71"/>
        <v>21.480000000000057</v>
      </c>
      <c r="N718" s="1">
        <f t="shared" si="72"/>
        <v>-8.84251282787252</v>
      </c>
      <c r="O718" s="1">
        <f t="shared" si="73"/>
        <v>-2.4541638692653129</v>
      </c>
      <c r="P718" s="1">
        <f t="shared" si="74"/>
        <v>5.2855619875606825</v>
      </c>
      <c r="R718" s="3">
        <f t="shared" si="69"/>
        <v>0.8134510283827876</v>
      </c>
      <c r="S718" s="3">
        <f t="shared" si="70"/>
        <v>-1.2602767253357436</v>
      </c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</row>
    <row r="719" spans="1:100" x14ac:dyDescent="0.2">
      <c r="A719" s="32"/>
      <c r="F719" s="3"/>
      <c r="G719" s="3"/>
      <c r="H719" s="3"/>
      <c r="M719" s="1">
        <f t="shared" si="71"/>
        <v>21.510000000000058</v>
      </c>
      <c r="N719" s="1">
        <f t="shared" si="72"/>
        <v>-7.9136355355939978</v>
      </c>
      <c r="O719" s="1">
        <f t="shared" si="73"/>
        <v>-2.691572935333133</v>
      </c>
      <c r="P719" s="1">
        <f t="shared" si="74"/>
        <v>5.2048147995006886</v>
      </c>
      <c r="R719" s="3">
        <f t="shared" si="69"/>
        <v>0.70914732189831731</v>
      </c>
      <c r="S719" s="3">
        <f t="shared" si="70"/>
        <v>-1.3217829155517347</v>
      </c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</row>
    <row r="720" spans="1:100" x14ac:dyDescent="0.2">
      <c r="A720" s="32"/>
      <c r="F720" s="3"/>
      <c r="G720" s="3"/>
      <c r="H720" s="3"/>
      <c r="M720" s="1">
        <f t="shared" si="71"/>
        <v>21.54000000000006</v>
      </c>
      <c r="N720" s="1">
        <f t="shared" si="72"/>
        <v>-6.8492316548031908</v>
      </c>
      <c r="O720" s="1">
        <f t="shared" si="73"/>
        <v>-2.8970498849772288</v>
      </c>
      <c r="P720" s="1">
        <f t="shared" si="74"/>
        <v>5.1179033029513716</v>
      </c>
      <c r="R720" s="3">
        <f t="shared" si="69"/>
        <v>0.59173713500918323</v>
      </c>
      <c r="S720" s="3">
        <f t="shared" si="70"/>
        <v>-1.3783494343058018</v>
      </c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</row>
    <row r="721" spans="1:100" x14ac:dyDescent="0.2">
      <c r="A721" s="32"/>
      <c r="F721" s="3"/>
      <c r="G721" s="3"/>
      <c r="H721" s="3"/>
      <c r="M721" s="1">
        <f t="shared" si="71"/>
        <v>21.570000000000061</v>
      </c>
      <c r="N721" s="1">
        <f t="shared" si="72"/>
        <v>-5.6566368604438813</v>
      </c>
      <c r="O721" s="1">
        <f t="shared" si="73"/>
        <v>-3.0667489907905452</v>
      </c>
      <c r="P721" s="1">
        <f t="shared" si="74"/>
        <v>5.0259008332276549</v>
      </c>
      <c r="R721" s="3">
        <f t="shared" si="69"/>
        <v>0.46260180564708953</v>
      </c>
      <c r="S721" s="3">
        <f t="shared" si="70"/>
        <v>-1.4268845676550197</v>
      </c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</row>
    <row r="722" spans="1:100" x14ac:dyDescent="0.2">
      <c r="A722" s="32"/>
      <c r="F722" s="3"/>
      <c r="G722" s="3"/>
      <c r="H722" s="3"/>
      <c r="M722" s="1">
        <f t="shared" si="71"/>
        <v>21.600000000000062</v>
      </c>
      <c r="N722" s="1">
        <f t="shared" si="72"/>
        <v>-4.3500106472997464</v>
      </c>
      <c r="O722" s="1">
        <f t="shared" si="73"/>
        <v>-3.1972493102095374</v>
      </c>
      <c r="P722" s="1">
        <f t="shared" si="74"/>
        <v>4.9299833539213687</v>
      </c>
      <c r="R722" s="3">
        <f t="shared" si="69"/>
        <v>0.32382202374638885</v>
      </c>
      <c r="S722" s="3">
        <f t="shared" si="70"/>
        <v>-1.4646294060057627</v>
      </c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</row>
    <row r="723" spans="1:100" x14ac:dyDescent="0.2">
      <c r="A723" s="32"/>
      <c r="F723" s="3"/>
      <c r="G723" s="3"/>
      <c r="H723" s="3"/>
      <c r="M723" s="1">
        <f t="shared" si="71"/>
        <v>21.630000000000063</v>
      </c>
      <c r="N723" s="1">
        <f t="shared" si="72"/>
        <v>-2.9504677995450304</v>
      </c>
      <c r="O723" s="1">
        <f t="shared" si="73"/>
        <v>-3.2857633441958884</v>
      </c>
      <c r="P723" s="1">
        <f t="shared" si="74"/>
        <v>4.8314104535954918</v>
      </c>
      <c r="R723" s="3">
        <f t="shared" si="69"/>
        <v>0.17811099042619793</v>
      </c>
      <c r="S723" s="3">
        <f t="shared" si="70"/>
        <v>-1.489387953183924</v>
      </c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</row>
    <row r="724" spans="1:100" x14ac:dyDescent="0.2">
      <c r="A724" s="32"/>
      <c r="F724" s="3"/>
      <c r="G724" s="3"/>
      <c r="H724" s="3"/>
      <c r="M724" s="1">
        <f t="shared" si="71"/>
        <v>21.660000000000064</v>
      </c>
      <c r="N724" s="1">
        <f t="shared" si="72"/>
        <v>-1.4853912032843497</v>
      </c>
      <c r="O724" s="1">
        <f t="shared" si="73"/>
        <v>-3.3303250802944189</v>
      </c>
      <c r="P724" s="1">
        <f t="shared" si="74"/>
        <v>4.7315007011866594</v>
      </c>
      <c r="R724" s="3">
        <f t="shared" si="69"/>
        <v>2.8665836058208417E-2</v>
      </c>
      <c r="S724" s="3">
        <f t="shared" si="70"/>
        <v>-1.4997260649342212</v>
      </c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</row>
    <row r="725" spans="1:100" x14ac:dyDescent="0.2">
      <c r="A725" s="32"/>
      <c r="F725" s="3"/>
      <c r="G725" s="3"/>
      <c r="H725" s="3"/>
      <c r="M725" s="1">
        <f t="shared" si="71"/>
        <v>21.690000000000065</v>
      </c>
      <c r="N725" s="1">
        <f t="shared" si="72"/>
        <v>1.3070896644413521E-2</v>
      </c>
      <c r="O725" s="1">
        <f t="shared" si="73"/>
        <v>-3.3299329533950863</v>
      </c>
      <c r="P725" s="1">
        <f t="shared" si="74"/>
        <v>4.6316027125848072</v>
      </c>
      <c r="R725" s="3">
        <f t="shared" si="69"/>
        <v>-0.12104763340595942</v>
      </c>
      <c r="S725" s="3">
        <f t="shared" si="70"/>
        <v>-1.4951078457578959</v>
      </c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</row>
    <row r="726" spans="1:100" x14ac:dyDescent="0.2">
      <c r="A726" s="32"/>
      <c r="F726" s="3"/>
      <c r="G726" s="3"/>
      <c r="H726" s="3"/>
      <c r="M726" s="1">
        <f t="shared" si="71"/>
        <v>21.720000000000066</v>
      </c>
      <c r="N726" s="1">
        <f t="shared" si="72"/>
        <v>1.5101702998651518</v>
      </c>
      <c r="O726" s="1">
        <f t="shared" si="73"/>
        <v>-3.2846278443991319</v>
      </c>
      <c r="P726" s="1">
        <f t="shared" si="74"/>
        <v>4.5330638772528333</v>
      </c>
      <c r="R726" s="3">
        <f t="shared" si="69"/>
        <v>-0.26754830951477127</v>
      </c>
      <c r="S726" s="3">
        <f t="shared" si="70"/>
        <v>-1.4759464428209408</v>
      </c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</row>
    <row r="727" spans="1:100" x14ac:dyDescent="0.2">
      <c r="A727" s="32"/>
      <c r="F727" s="3"/>
      <c r="G727" s="3"/>
      <c r="H727" s="3"/>
      <c r="M727" s="1">
        <f t="shared" si="71"/>
        <v>21.750000000000068</v>
      </c>
      <c r="N727" s="1">
        <f t="shared" si="72"/>
        <v>2.971099601143635</v>
      </c>
      <c r="O727" s="1">
        <f t="shared" si="73"/>
        <v>-3.1954948563648227</v>
      </c>
      <c r="P727" s="1">
        <f t="shared" si="74"/>
        <v>4.4371990315618888</v>
      </c>
      <c r="R727" s="3">
        <f t="shared" si="69"/>
        <v>-0.4075946153843325</v>
      </c>
      <c r="S727" s="3">
        <f t="shared" si="70"/>
        <v>-1.4435604003676805</v>
      </c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</row>
    <row r="728" spans="1:100" x14ac:dyDescent="0.2">
      <c r="A728" s="32"/>
      <c r="F728" s="3"/>
      <c r="G728" s="3"/>
      <c r="H728" s="3"/>
      <c r="M728" s="1">
        <f t="shared" si="71"/>
        <v>21.780000000000069</v>
      </c>
      <c r="N728" s="1">
        <f t="shared" si="72"/>
        <v>4.3635406909161585</v>
      </c>
      <c r="O728" s="1">
        <f t="shared" si="73"/>
        <v>-3.064588635637338</v>
      </c>
      <c r="P728" s="1">
        <f t="shared" si="74"/>
        <v>4.3452613724927689</v>
      </c>
      <c r="R728" s="3">
        <f t="shared" si="69"/>
        <v>-0.53840390124021231</v>
      </c>
      <c r="S728" s="3">
        <f t="shared" si="70"/>
        <v>-1.4000432990194696</v>
      </c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</row>
    <row r="729" spans="1:100" x14ac:dyDescent="0.2">
      <c r="A729" s="32"/>
      <c r="F729" s="3"/>
      <c r="G729" s="3"/>
      <c r="H729" s="3"/>
      <c r="M729" s="1">
        <f t="shared" si="71"/>
        <v>21.81000000000007</v>
      </c>
      <c r="N729" s="1">
        <f t="shared" si="72"/>
        <v>5.659851989609483</v>
      </c>
      <c r="O729" s="1">
        <f t="shared" si="73"/>
        <v>-2.8947930759490537</v>
      </c>
      <c r="P729" s="1">
        <f t="shared" si="74"/>
        <v>4.2584175802142976</v>
      </c>
      <c r="R729" s="3">
        <f t="shared" si="69"/>
        <v>-0.65780719552325806</v>
      </c>
      <c r="S729" s="3">
        <f t="shared" si="70"/>
        <v>-1.3480688756580008</v>
      </c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</row>
    <row r="730" spans="1:100" x14ac:dyDescent="0.2">
      <c r="A730" s="32"/>
      <c r="F730" s="3"/>
      <c r="G730" s="3"/>
      <c r="H730" s="3"/>
      <c r="M730" s="1">
        <f t="shared" si="71"/>
        <v>21.840000000000071</v>
      </c>
      <c r="N730" s="1">
        <f t="shared" si="72"/>
        <v>6.8386033320679953</v>
      </c>
      <c r="O730" s="1">
        <f t="shared" si="73"/>
        <v>-2.6896349759870137</v>
      </c>
      <c r="P730" s="1">
        <f t="shared" si="74"/>
        <v>4.1777285309346874</v>
      </c>
      <c r="R730" s="3">
        <f t="shared" si="69"/>
        <v>-0.76432335803570983</v>
      </c>
      <c r="S730" s="3">
        <f t="shared" si="70"/>
        <v>-1.2906625447269384</v>
      </c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</row>
    <row r="731" spans="1:100" x14ac:dyDescent="0.2">
      <c r="A731" s="32"/>
      <c r="F731" s="3"/>
      <c r="G731" s="3"/>
      <c r="H731" s="3"/>
      <c r="M731" s="1">
        <f t="shared" si="71"/>
        <v>21.870000000000072</v>
      </c>
      <c r="N731" s="1">
        <f t="shared" si="72"/>
        <v>7.8853007281959302</v>
      </c>
      <c r="O731" s="1">
        <f t="shared" si="73"/>
        <v>-2.453075954141136</v>
      </c>
      <c r="P731" s="1">
        <f t="shared" si="74"/>
        <v>4.104136252310453</v>
      </c>
      <c r="R731" s="3">
        <f t="shared" si="69"/>
        <v>-0.8571516575825151</v>
      </c>
      <c r="S731" s="3">
        <f t="shared" si="70"/>
        <v>-1.2309715820860962</v>
      </c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</row>
    <row r="732" spans="1:100" x14ac:dyDescent="0.2">
      <c r="A732" s="32"/>
      <c r="F732" s="3"/>
      <c r="G732" s="3"/>
      <c r="H732" s="3"/>
      <c r="M732" s="1">
        <f t="shared" si="71"/>
        <v>21.900000000000073</v>
      </c>
      <c r="N732" s="1">
        <f t="shared" si="72"/>
        <v>8.7922934116978517</v>
      </c>
      <c r="O732" s="1">
        <f t="shared" si="73"/>
        <v>-2.1893071517902003</v>
      </c>
      <c r="P732" s="1">
        <f t="shared" si="74"/>
        <v>4.0384570377567472</v>
      </c>
      <c r="R732" s="3">
        <f t="shared" si="69"/>
        <v>-0.93609468097044668</v>
      </c>
      <c r="S732" s="3">
        <f t="shared" si="70"/>
        <v>-1.1720608978456868</v>
      </c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</row>
    <row r="733" spans="1:100" x14ac:dyDescent="0.2">
      <c r="A733" s="32"/>
      <c r="F733" s="3"/>
      <c r="G733" s="3"/>
      <c r="H733" s="3"/>
      <c r="M733" s="1">
        <f t="shared" si="71"/>
        <v>21.930000000000074</v>
      </c>
      <c r="N733" s="1">
        <f t="shared" si="72"/>
        <v>9.5579844533655844</v>
      </c>
      <c r="O733" s="1">
        <f t="shared" si="73"/>
        <v>-1.9025676181892328</v>
      </c>
      <c r="P733" s="1">
        <f t="shared" si="74"/>
        <v>3.9813800092110703</v>
      </c>
      <c r="R733" s="3">
        <f t="shared" si="69"/>
        <v>-1.0014317323847808</v>
      </c>
      <c r="S733" s="3">
        <f t="shared" si="70"/>
        <v>-1.116751756377762</v>
      </c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</row>
    <row r="734" spans="1:100" x14ac:dyDescent="0.2">
      <c r="A734" s="32"/>
      <c r="F734" s="3"/>
      <c r="G734" s="3"/>
      <c r="H734" s="3"/>
      <c r="M734" s="1">
        <f t="shared" si="71"/>
        <v>21.960000000000075</v>
      </c>
      <c r="N734" s="1">
        <f t="shared" si="72"/>
        <v>10.185548409484838</v>
      </c>
      <c r="O734" s="1">
        <f t="shared" si="73"/>
        <v>-1.5970011659046877</v>
      </c>
      <c r="P734" s="1">
        <f t="shared" si="74"/>
        <v>3.9334699742339296</v>
      </c>
      <c r="R734" s="3">
        <f t="shared" si="69"/>
        <v>-1.0537657729206198</v>
      </c>
      <c r="S734" s="3">
        <f t="shared" si="70"/>
        <v>-1.0675100448337753</v>
      </c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</row>
    <row r="735" spans="1:100" x14ac:dyDescent="0.2">
      <c r="A735" s="32"/>
      <c r="F735" s="3"/>
      <c r="G735" s="3"/>
      <c r="H735" s="3"/>
      <c r="M735" s="1">
        <f t="shared" si="71"/>
        <v>21.990000000000077</v>
      </c>
      <c r="N735" s="1">
        <f t="shared" si="72"/>
        <v>10.68138783413762</v>
      </c>
      <c r="O735" s="1">
        <f t="shared" si="73"/>
        <v>-1.2765595308805591</v>
      </c>
      <c r="P735" s="1">
        <f t="shared" si="74"/>
        <v>3.8951731883075129</v>
      </c>
      <c r="R735" s="3">
        <f t="shared" si="69"/>
        <v>-1.0938653289587272</v>
      </c>
      <c r="S735" s="3">
        <f t="shared" si="70"/>
        <v>-1.0263813336679577</v>
      </c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</row>
    <row r="736" spans="1:100" x14ac:dyDescent="0.2">
      <c r="A736" s="32"/>
      <c r="F736" s="3"/>
      <c r="G736" s="3"/>
      <c r="H736" s="3"/>
      <c r="M736" s="1">
        <f t="shared" si="71"/>
        <v>22.020000000000078</v>
      </c>
      <c r="N736" s="1">
        <f t="shared" si="72"/>
        <v>11.053543647366524</v>
      </c>
      <c r="O736" s="1">
        <f t="shared" si="73"/>
        <v>-0.94495322145956329</v>
      </c>
      <c r="P736" s="1">
        <f t="shared" si="74"/>
        <v>3.8668245916637258</v>
      </c>
      <c r="R736" s="3">
        <f t="shared" si="69"/>
        <v>-1.1225183932160281</v>
      </c>
      <c r="S736" s="3">
        <f t="shared" si="70"/>
        <v>-0.99496354550893285</v>
      </c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</row>
    <row r="737" spans="1:100" x14ac:dyDescent="0.2">
      <c r="A737" s="32"/>
      <c r="F737" s="3"/>
      <c r="G737" s="3"/>
      <c r="H737" s="3"/>
      <c r="M737" s="1">
        <f t="shared" si="71"/>
        <v>22.050000000000079</v>
      </c>
      <c r="N737" s="1">
        <f t="shared" si="72"/>
        <v>11.310229722091643</v>
      </c>
      <c r="O737" s="1">
        <f t="shared" si="73"/>
        <v>-0.60564632979681399</v>
      </c>
      <c r="P737" s="1">
        <f t="shared" si="74"/>
        <v>3.8486552017698212</v>
      </c>
      <c r="R737" s="3">
        <f t="shared" si="69"/>
        <v>-1.1404099975902762</v>
      </c>
      <c r="S737" s="3">
        <f t="shared" si="70"/>
        <v>-0.97440496581049207</v>
      </c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</row>
    <row r="738" spans="1:100" x14ac:dyDescent="0.2">
      <c r="A738" s="32"/>
      <c r="F738" s="3"/>
      <c r="G738" s="3"/>
      <c r="H738" s="3"/>
      <c r="M738" s="1">
        <f t="shared" si="71"/>
        <v>22.08000000000008</v>
      </c>
      <c r="N738" s="1">
        <f t="shared" si="72"/>
        <v>11.458608145584474</v>
      </c>
      <c r="O738" s="1">
        <f t="shared" si="73"/>
        <v>-0.26188808542927977</v>
      </c>
      <c r="P738" s="1">
        <f t="shared" si="74"/>
        <v>3.8407985592069429</v>
      </c>
      <c r="R738" s="3">
        <f t="shared" si="69"/>
        <v>-1.148030273592239</v>
      </c>
      <c r="S738" s="3">
        <f t="shared" si="70"/>
        <v>-0.96541519094932871</v>
      </c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</row>
    <row r="739" spans="1:100" x14ac:dyDescent="0.2">
      <c r="A739" s="32"/>
      <c r="F739" s="3"/>
      <c r="G739" s="3"/>
      <c r="H739" s="3"/>
      <c r="M739" s="1">
        <f t="shared" si="71"/>
        <v>22.110000000000081</v>
      </c>
      <c r="N739" s="1">
        <f t="shared" si="72"/>
        <v>11.503872663611025</v>
      </c>
      <c r="O739" s="1">
        <f t="shared" si="73"/>
        <v>8.3228094479050996E-2</v>
      </c>
      <c r="P739" s="1">
        <f t="shared" si="74"/>
        <v>3.8432954020413144</v>
      </c>
      <c r="R739" s="3">
        <f t="shared" si="69"/>
        <v>-1.145616207557949</v>
      </c>
      <c r="S739" s="3">
        <f t="shared" si="70"/>
        <v>-0.96827862982745938</v>
      </c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</row>
    <row r="740" spans="1:100" x14ac:dyDescent="0.2">
      <c r="A740" s="32"/>
      <c r="F740" s="3"/>
      <c r="G740" s="3"/>
      <c r="H740" s="3"/>
      <c r="M740" s="1">
        <f t="shared" si="71"/>
        <v>22.140000000000082</v>
      </c>
      <c r="N740" s="1">
        <f t="shared" si="72"/>
        <v>11.448671547076378</v>
      </c>
      <c r="O740" s="1">
        <f t="shared" si="73"/>
        <v>0.42668824089134233</v>
      </c>
      <c r="P740" s="1">
        <f t="shared" si="74"/>
        <v>3.8560960492680545</v>
      </c>
      <c r="R740" s="3">
        <f t="shared" si="69"/>
        <v>-1.1331280957975947</v>
      </c>
      <c r="S740" s="3">
        <f t="shared" si="70"/>
        <v>-0.98286352995424398</v>
      </c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</row>
    <row r="741" spans="1:100" x14ac:dyDescent="0.2">
      <c r="A741" s="32"/>
      <c r="F741" s="3"/>
      <c r="G741" s="3"/>
      <c r="H741" s="3"/>
      <c r="M741" s="1">
        <f t="shared" si="71"/>
        <v>22.170000000000083</v>
      </c>
      <c r="N741" s="1">
        <f t="shared" si="72"/>
        <v>11.292879016295727</v>
      </c>
      <c r="O741" s="1">
        <f t="shared" si="73"/>
        <v>0.76547461138021411</v>
      </c>
      <c r="P741" s="1">
        <f t="shared" si="74"/>
        <v>3.8790602876094611</v>
      </c>
      <c r="R741" s="3">
        <f t="shared" si="69"/>
        <v>-1.1102605992299677</v>
      </c>
      <c r="S741" s="3">
        <f t="shared" si="70"/>
        <v>-1.0086235183642671</v>
      </c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</row>
    <row r="742" spans="1:100" x14ac:dyDescent="0.2">
      <c r="A742" s="32"/>
      <c r="F742" s="3"/>
      <c r="G742" s="3"/>
      <c r="H742" s="3"/>
      <c r="M742" s="1">
        <f t="shared" si="71"/>
        <v>22.200000000000085</v>
      </c>
      <c r="N742" s="1">
        <f t="shared" si="72"/>
        <v>11.033713277275456</v>
      </c>
      <c r="O742" s="1">
        <f t="shared" si="73"/>
        <v>1.0964860096984779</v>
      </c>
      <c r="P742" s="1">
        <f t="shared" si="74"/>
        <v>3.9119548679004152</v>
      </c>
      <c r="R742" s="3">
        <f t="shared" si="69"/>
        <v>-1.0764877085643649</v>
      </c>
      <c r="S742" s="3">
        <f t="shared" si="70"/>
        <v>-1.0445928457106353</v>
      </c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</row>
    <row r="743" spans="1:100" x14ac:dyDescent="0.2">
      <c r="A743" s="32"/>
      <c r="F743" s="3"/>
      <c r="G743" s="3"/>
      <c r="H743" s="3"/>
      <c r="M743" s="1">
        <f t="shared" si="71"/>
        <v>22.230000000000086</v>
      </c>
      <c r="N743" s="1">
        <f t="shared" si="72"/>
        <v>10.666193344770786</v>
      </c>
      <c r="O743" s="1">
        <f t="shared" si="73"/>
        <v>1.4164718100416014</v>
      </c>
      <c r="P743" s="1">
        <f t="shared" si="74"/>
        <v>3.9544490222016635</v>
      </c>
      <c r="R743" s="3">
        <f t="shared" si="69"/>
        <v>-1.0311401877926296</v>
      </c>
      <c r="S743" s="3">
        <f t="shared" si="70"/>
        <v>-1.0893805180555509</v>
      </c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</row>
    <row r="744" spans="1:100" x14ac:dyDescent="0.2">
      <c r="A744" s="32"/>
      <c r="F744" s="3"/>
      <c r="G744" s="3"/>
      <c r="H744" s="3"/>
      <c r="M744" s="1">
        <f t="shared" si="71"/>
        <v>22.260000000000087</v>
      </c>
      <c r="N744" s="1">
        <f t="shared" si="72"/>
        <v>10.183919415022551</v>
      </c>
      <c r="O744" s="1">
        <f t="shared" si="73"/>
        <v>1.721989392492278</v>
      </c>
      <c r="P744" s="1">
        <f t="shared" si="74"/>
        <v>4.006108703976432</v>
      </c>
      <c r="R744" s="3">
        <f t="shared" si="69"/>
        <v>-0.97351255720900265</v>
      </c>
      <c r="S744" s="3">
        <f t="shared" si="70"/>
        <v>-1.1411718980751273</v>
      </c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</row>
    <row r="745" spans="1:100" x14ac:dyDescent="0.2">
      <c r="A745" s="32"/>
      <c r="F745" s="3"/>
      <c r="G745" s="3"/>
      <c r="H745" s="3"/>
      <c r="M745" s="1">
        <f t="shared" si="71"/>
        <v>22.290000000000088</v>
      </c>
      <c r="N745" s="1">
        <f t="shared" si="72"/>
        <v>9.5801465267657218</v>
      </c>
      <c r="O745" s="1">
        <f t="shared" si="73"/>
        <v>2.0093937882952497</v>
      </c>
      <c r="P745" s="1">
        <f t="shared" si="74"/>
        <v>4.0663905176252895</v>
      </c>
      <c r="R745" s="3">
        <f t="shared" si="69"/>
        <v>-0.90299401509613642</v>
      </c>
      <c r="S745" s="3">
        <f t="shared" si="70"/>
        <v>-1.1977486417026564</v>
      </c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</row>
    <row r="746" spans="1:100" x14ac:dyDescent="0.2">
      <c r="A746" s="32"/>
      <c r="F746" s="3"/>
      <c r="G746" s="3"/>
      <c r="H746" s="3"/>
      <c r="M746" s="1">
        <f t="shared" si="71"/>
        <v>22.320000000000089</v>
      </c>
      <c r="N746" s="1">
        <f t="shared" si="72"/>
        <v>8.849094710014791</v>
      </c>
      <c r="O746" s="1">
        <f t="shared" si="73"/>
        <v>2.2748666295956936</v>
      </c>
      <c r="P746" s="1">
        <f t="shared" si="74"/>
        <v>4.1346365165131607</v>
      </c>
      <c r="R746" s="3">
        <f t="shared" si="69"/>
        <v>-0.81921386130037344</v>
      </c>
      <c r="S746" s="3">
        <f t="shared" si="70"/>
        <v>-1.2565383597221904</v>
      </c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</row>
    <row r="747" spans="1:100" x14ac:dyDescent="0.2">
      <c r="A747" s="32"/>
      <c r="F747" s="3"/>
      <c r="G747" s="3"/>
      <c r="H747" s="3"/>
      <c r="M747" s="1">
        <f t="shared" si="71"/>
        <v>22.35000000000009</v>
      </c>
      <c r="N747" s="1">
        <f t="shared" si="72"/>
        <v>7.9874006163401203</v>
      </c>
      <c r="O747" s="1">
        <f t="shared" si="73"/>
        <v>2.514488648085897</v>
      </c>
      <c r="P747" s="1">
        <f t="shared" si="74"/>
        <v>4.2100711759557372</v>
      </c>
      <c r="R747" s="3">
        <f t="shared" si="69"/>
        <v>-0.72218747061473731</v>
      </c>
      <c r="S747" s="3">
        <f t="shared" si="70"/>
        <v>-1.3147034864512559</v>
      </c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</row>
    <row r="748" spans="1:100" x14ac:dyDescent="0.2">
      <c r="A748" s="32"/>
      <c r="F748" s="3"/>
      <c r="G748" s="3"/>
      <c r="H748" s="3"/>
      <c r="M748" s="1">
        <f t="shared" si="71"/>
        <v>22.380000000000091</v>
      </c>
      <c r="N748" s="1">
        <f t="shared" si="72"/>
        <v>6.9955707278196426</v>
      </c>
      <c r="O748" s="1">
        <f t="shared" si="73"/>
        <v>2.7243557699204861</v>
      </c>
      <c r="P748" s="1">
        <f t="shared" si="74"/>
        <v>4.2918018490533516</v>
      </c>
      <c r="R748" s="3">
        <f t="shared" si="69"/>
        <v>-0.61244472880752399</v>
      </c>
      <c r="S748" s="3">
        <f t="shared" si="70"/>
        <v>-1.3692740610103875</v>
      </c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</row>
    <row r="749" spans="1:100" x14ac:dyDescent="0.2">
      <c r="A749" s="32"/>
      <c r="F749" s="3"/>
      <c r="G749" s="3"/>
      <c r="H749" s="3"/>
      <c r="M749" s="1">
        <f t="shared" si="71"/>
        <v>22.410000000000093</v>
      </c>
      <c r="N749" s="1">
        <f t="shared" si="72"/>
        <v>5.879255268782396</v>
      </c>
      <c r="O749" s="1">
        <f t="shared" si="73"/>
        <v>2.9007334279839578</v>
      </c>
      <c r="P749" s="1">
        <f t="shared" si="74"/>
        <v>4.3788238518928706</v>
      </c>
      <c r="R749" s="3">
        <f t="shared" si="69"/>
        <v>-0.49112058667410452</v>
      </c>
      <c r="S749" s="3">
        <f t="shared" si="70"/>
        <v>-1.4173216181745354</v>
      </c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</row>
    <row r="750" spans="1:100" x14ac:dyDescent="0.2">
      <c r="A750" s="32"/>
      <c r="F750" s="3"/>
      <c r="G750" s="3"/>
      <c r="H750" s="3"/>
      <c r="M750" s="1">
        <f t="shared" si="71"/>
        <v>22.440000000000094</v>
      </c>
      <c r="N750" s="1">
        <f t="shared" si="72"/>
        <v>4.6501398582224898</v>
      </c>
      <c r="O750" s="1">
        <f t="shared" si="73"/>
        <v>3.0402376237306323</v>
      </c>
      <c r="P750" s="1">
        <f t="shared" si="74"/>
        <v>4.4700309806047898</v>
      </c>
      <c r="R750" s="3">
        <f t="shared" si="69"/>
        <v>-0.35998856730475226</v>
      </c>
      <c r="S750" s="3">
        <f t="shared" si="70"/>
        <v>-1.4561621583497737</v>
      </c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</row>
    <row r="751" spans="1:100" x14ac:dyDescent="0.2">
      <c r="A751" s="32"/>
      <c r="F751" s="3"/>
      <c r="G751" s="3"/>
      <c r="H751" s="3"/>
      <c r="M751" s="1">
        <f t="shared" si="71"/>
        <v>22.470000000000095</v>
      </c>
      <c r="N751" s="1">
        <f t="shared" si="72"/>
        <v>3.3262642869117651</v>
      </c>
      <c r="O751" s="1">
        <f t="shared" si="73"/>
        <v>3.1400255523379852</v>
      </c>
      <c r="P751" s="1">
        <f t="shared" si="74"/>
        <v>4.5642317471749294</v>
      </c>
      <c r="R751" s="3">
        <f t="shared" si="69"/>
        <v>-0.22142370790367225</v>
      </c>
      <c r="S751" s="3">
        <f t="shared" si="70"/>
        <v>-1.4835671678687787</v>
      </c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</row>
    <row r="752" spans="1:100" x14ac:dyDescent="0.2">
      <c r="A752" s="32"/>
      <c r="F752" s="3"/>
      <c r="G752" s="3"/>
      <c r="H752" s="3"/>
      <c r="M752" s="1">
        <f t="shared" si="71"/>
        <v>22.500000000000096</v>
      </c>
      <c r="N752" s="1">
        <f t="shared" si="72"/>
        <v>1.9316347793263036</v>
      </c>
      <c r="O752" s="1">
        <f t="shared" si="73"/>
        <v>3.1979745957177741</v>
      </c>
      <c r="P752" s="1">
        <f t="shared" si="74"/>
        <v>4.660170985046463</v>
      </c>
      <c r="R752" s="3">
        <f t="shared" si="69"/>
        <v>-7.8291401909540495E-2</v>
      </c>
      <c r="S752" s="3">
        <f t="shared" si="70"/>
        <v>-1.4979554253672032</v>
      </c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</row>
    <row r="753" spans="1:100" x14ac:dyDescent="0.2">
      <c r="A753" s="32"/>
      <c r="F753" s="3"/>
      <c r="G753" s="3"/>
      <c r="H753" s="3"/>
      <c r="M753" s="1">
        <f t="shared" si="71"/>
        <v>22.530000000000097</v>
      </c>
      <c r="N753" s="1">
        <f t="shared" si="72"/>
        <v>0.49509630548080535</v>
      </c>
      <c r="O753" s="1">
        <f t="shared" si="73"/>
        <v>3.2128274848821983</v>
      </c>
      <c r="P753" s="1">
        <f t="shared" si="74"/>
        <v>4.7565558095929292</v>
      </c>
      <c r="R753" s="3">
        <f t="shared" si="69"/>
        <v>6.6228706757465852E-2</v>
      </c>
      <c r="S753" s="3">
        <f t="shared" si="70"/>
        <v>-1.4985372062118556</v>
      </c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</row>
    <row r="754" spans="1:100" x14ac:dyDescent="0.2">
      <c r="A754" s="32"/>
      <c r="F754" s="3"/>
      <c r="G754" s="3"/>
      <c r="H754" s="3"/>
      <c r="M754" s="1">
        <f t="shared" si="71"/>
        <v>22.560000000000098</v>
      </c>
      <c r="N754" s="1">
        <f t="shared" si="72"/>
        <v>-0.95144154121405633</v>
      </c>
      <c r="O754" s="1">
        <f t="shared" si="73"/>
        <v>3.1842842386457764</v>
      </c>
      <c r="P754" s="1">
        <f t="shared" si="74"/>
        <v>4.8520843367523021</v>
      </c>
      <c r="R754" s="3">
        <f t="shared" si="69"/>
        <v>0.20886216776344085</v>
      </c>
      <c r="S754" s="3">
        <f t="shared" si="70"/>
        <v>-1.4853876917751663</v>
      </c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</row>
    <row r="755" spans="1:100" x14ac:dyDescent="0.2">
      <c r="A755" s="32"/>
      <c r="F755" s="3"/>
      <c r="G755" s="3"/>
      <c r="H755" s="3"/>
      <c r="M755" s="1">
        <f t="shared" si="71"/>
        <v>22.590000000000099</v>
      </c>
      <c r="N755" s="1">
        <f t="shared" si="72"/>
        <v>-2.3752072591125284</v>
      </c>
      <c r="O755" s="1">
        <f t="shared" si="73"/>
        <v>3.1130280208724006</v>
      </c>
      <c r="P755" s="1">
        <f t="shared" si="74"/>
        <v>4.9454751773784738</v>
      </c>
      <c r="R755" s="3">
        <f t="shared" si="69"/>
        <v>0.34647203905263785</v>
      </c>
      <c r="S755" s="3">
        <f t="shared" si="70"/>
        <v>-1.4594372635213573</v>
      </c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</row>
    <row r="756" spans="1:100" x14ac:dyDescent="0.2">
      <c r="A756" s="32"/>
      <c r="F756" s="3"/>
      <c r="G756" s="3"/>
      <c r="H756" s="3"/>
      <c r="M756" s="1">
        <f t="shared" si="71"/>
        <v>22.6200000000001</v>
      </c>
      <c r="N756" s="1">
        <f t="shared" si="72"/>
        <v>-3.7448929124048949</v>
      </c>
      <c r="O756" s="1">
        <f t="shared" si="73"/>
        <v>3.000681233500254</v>
      </c>
      <c r="P756" s="1">
        <f t="shared" si="74"/>
        <v>5.035495614383481</v>
      </c>
      <c r="R756" s="3">
        <f t="shared" si="69"/>
        <v>0.47627094739221865</v>
      </c>
      <c r="S756" s="3">
        <f t="shared" si="70"/>
        <v>-1.4223803938012218</v>
      </c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</row>
    <row r="757" spans="1:100" x14ac:dyDescent="0.2">
      <c r="A757" s="32"/>
      <c r="F757" s="3"/>
      <c r="G757" s="3"/>
      <c r="H757" s="3"/>
      <c r="M757" s="1">
        <f t="shared" si="71"/>
        <v>22.650000000000102</v>
      </c>
      <c r="N757" s="1">
        <f t="shared" si="72"/>
        <v>-5.0327707849372088</v>
      </c>
      <c r="O757" s="1">
        <f t="shared" si="73"/>
        <v>2.8496981099521377</v>
      </c>
      <c r="P757" s="1">
        <f t="shared" si="74"/>
        <v>5.1209865576820448</v>
      </c>
      <c r="R757" s="3">
        <f t="shared" si="69"/>
        <v>0.59598411802920581</v>
      </c>
      <c r="S757" s="3">
        <f t="shared" si="70"/>
        <v>-1.3765184092691785</v>
      </c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</row>
    <row r="758" spans="1:100" x14ac:dyDescent="0.2">
      <c r="A758" s="32"/>
      <c r="F758" s="3"/>
      <c r="G758" s="3"/>
      <c r="H758" s="3"/>
      <c r="M758" s="1">
        <f t="shared" si="71"/>
        <v>22.680000000000103</v>
      </c>
      <c r="N758" s="1">
        <f t="shared" si="72"/>
        <v>-6.2163140101877499</v>
      </c>
      <c r="O758" s="1">
        <f t="shared" si="73"/>
        <v>2.6632086896465053</v>
      </c>
      <c r="P758" s="1">
        <f t="shared" si="74"/>
        <v>5.20088281837144</v>
      </c>
      <c r="R758" s="3">
        <f t="shared" si="69"/>
        <v>0.70394462793895285</v>
      </c>
      <c r="S758" s="3">
        <f t="shared" si="70"/>
        <v>-1.3245610445713287</v>
      </c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</row>
    <row r="759" spans="1:100" x14ac:dyDescent="0.2">
      <c r="A759" s="32"/>
      <c r="F759" s="3"/>
      <c r="G759" s="3"/>
      <c r="H759" s="3"/>
      <c r="M759" s="1">
        <f t="shared" si="71"/>
        <v>22.710000000000104</v>
      </c>
      <c r="N759" s="1">
        <f t="shared" si="72"/>
        <v>-7.2791350614577137</v>
      </c>
      <c r="O759" s="1">
        <f t="shared" si="73"/>
        <v>2.4448346378027739</v>
      </c>
      <c r="P759" s="1">
        <f t="shared" si="74"/>
        <v>5.2742278575055233</v>
      </c>
      <c r="R759" s="3">
        <f t="shared" si="69"/>
        <v>0.79911494548107975</v>
      </c>
      <c r="S759" s="3">
        <f t="shared" si="70"/>
        <v>-1.2694153394018723</v>
      </c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</row>
    <row r="760" spans="1:100" x14ac:dyDescent="0.2">
      <c r="A760" s="32"/>
      <c r="F760" s="3"/>
      <c r="G760" s="3"/>
      <c r="H760" s="3"/>
      <c r="M760" s="1">
        <f t="shared" si="71"/>
        <v>22.740000000000105</v>
      </c>
      <c r="N760" s="1">
        <f t="shared" si="72"/>
        <v>-8.2111845722130479</v>
      </c>
      <c r="O760" s="1">
        <f t="shared" si="73"/>
        <v>2.1984991006363823</v>
      </c>
      <c r="P760" s="1">
        <f t="shared" si="74"/>
        <v>5.3401828305246148</v>
      </c>
      <c r="R760" s="3">
        <f t="shared" si="69"/>
        <v>0.88104104385313109</v>
      </c>
      <c r="S760" s="3">
        <f t="shared" si="70"/>
        <v>-1.2139879237645592</v>
      </c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</row>
    <row r="761" spans="1:100" x14ac:dyDescent="0.2">
      <c r="A761" s="32"/>
      <c r="F761" s="3"/>
      <c r="G761" s="3"/>
      <c r="H761" s="3"/>
      <c r="M761" s="1">
        <f t="shared" si="71"/>
        <v>22.770000000000106</v>
      </c>
      <c r="N761" s="1">
        <f t="shared" si="72"/>
        <v>-9.0082753575885839</v>
      </c>
      <c r="O761" s="1">
        <f t="shared" si="73"/>
        <v>1.9282508399087248</v>
      </c>
      <c r="P761" s="1">
        <f t="shared" si="74"/>
        <v>5.3980303557218763</v>
      </c>
      <c r="R761" s="3">
        <f t="shared" si="69"/>
        <v>0.94975436194630425</v>
      </c>
      <c r="S761" s="3">
        <f t="shared" si="70"/>
        <v>-1.1610196604553982</v>
      </c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</row>
    <row r="762" spans="1:100" x14ac:dyDescent="0.2">
      <c r="A762" s="32"/>
      <c r="F762" s="3"/>
      <c r="G762" s="3"/>
      <c r="H762" s="3"/>
      <c r="M762" s="1">
        <f t="shared" si="71"/>
        <v>22.800000000000107</v>
      </c>
      <c r="N762" s="1">
        <f t="shared" si="72"/>
        <v>-9.6710861950548281</v>
      </c>
      <c r="O762" s="1">
        <f t="shared" si="73"/>
        <v>1.63811825405708</v>
      </c>
      <c r="P762" s="1">
        <f t="shared" si="74"/>
        <v>5.4471739033435886</v>
      </c>
      <c r="R762" s="3">
        <f t="shared" si="69"/>
        <v>1.0056413840484586</v>
      </c>
      <c r="S762" s="3">
        <f t="shared" si="70"/>
        <v>-1.1129624462168974</v>
      </c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</row>
    <row r="763" spans="1:100" x14ac:dyDescent="0.2">
      <c r="A763" s="32"/>
      <c r="F763" s="3"/>
      <c r="G763" s="3"/>
      <c r="H763" s="3"/>
      <c r="M763" s="1">
        <f t="shared" si="71"/>
        <v>22.830000000000108</v>
      </c>
      <c r="N763" s="1">
        <f t="shared" si="72"/>
        <v>-10.203844483349723</v>
      </c>
      <c r="O763" s="1">
        <f t="shared" si="73"/>
        <v>1.3320029195565883</v>
      </c>
      <c r="P763" s="1">
        <f t="shared" si="74"/>
        <v>5.4871339909302863</v>
      </c>
      <c r="R763" s="3">
        <f t="shared" si="69"/>
        <v>1.049300824156878</v>
      </c>
      <c r="S763" s="3">
        <f t="shared" si="70"/>
        <v>-1.0718991465728929</v>
      </c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</row>
    <row r="764" spans="1:100" x14ac:dyDescent="0.2">
      <c r="A764" s="32"/>
      <c r="F764" s="3"/>
      <c r="G764" s="3"/>
      <c r="H764" s="3"/>
      <c r="M764" s="1">
        <f t="shared" si="71"/>
        <v>22.86000000000011</v>
      </c>
      <c r="N764" s="1">
        <f t="shared" si="72"/>
        <v>-10.612888504328874</v>
      </c>
      <c r="O764" s="1">
        <f t="shared" si="73"/>
        <v>1.0136162644267221</v>
      </c>
      <c r="P764" s="1">
        <f t="shared" si="74"/>
        <v>5.5175424788630876</v>
      </c>
      <c r="R764" s="3">
        <f t="shared" si="69"/>
        <v>1.081405539039884</v>
      </c>
      <c r="S764" s="3">
        <f t="shared" si="70"/>
        <v>-1.0395008706748916</v>
      </c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</row>
    <row r="765" spans="1:100" x14ac:dyDescent="0.2">
      <c r="A765" s="32"/>
      <c r="F765" s="3"/>
      <c r="G765" s="3"/>
      <c r="H765" s="3"/>
      <c r="M765" s="1">
        <f t="shared" si="71"/>
        <v>22.890000000000111</v>
      </c>
      <c r="N765" s="1">
        <f t="shared" si="72"/>
        <v>-10.905280854197246</v>
      </c>
      <c r="O765" s="1">
        <f t="shared" si="73"/>
        <v>0.6864578388008048</v>
      </c>
      <c r="P765" s="1">
        <f t="shared" si="74"/>
        <v>5.5381362140271113</v>
      </c>
      <c r="R765" s="3">
        <f t="shared" si="69"/>
        <v>1.1025819265830878</v>
      </c>
      <c r="S765" s="3">
        <f t="shared" si="70"/>
        <v>-1.0170118461317577</v>
      </c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</row>
    <row r="766" spans="1:100" x14ac:dyDescent="0.2">
      <c r="A766" s="32"/>
      <c r="F766" s="3"/>
      <c r="G766" s="3"/>
      <c r="H766" s="3"/>
      <c r="M766" s="1">
        <f t="shared" si="71"/>
        <v>22.920000000000112</v>
      </c>
      <c r="N766" s="1">
        <f t="shared" si="72"/>
        <v>-11.087600471322952</v>
      </c>
      <c r="O766" s="1">
        <f t="shared" si="73"/>
        <v>0.35382982466111623</v>
      </c>
      <c r="P766" s="1">
        <f t="shared" si="74"/>
        <v>5.548751108766945</v>
      </c>
      <c r="R766" s="3">
        <f t="shared" si="69"/>
        <v>1.1133150808763059</v>
      </c>
      <c r="S766" s="3">
        <f t="shared" si="70"/>
        <v>-1.0052509789566904</v>
      </c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</row>
    <row r="767" spans="1:100" x14ac:dyDescent="0.2">
      <c r="A767" s="32"/>
      <c r="F767" s="3"/>
      <c r="G767" s="3"/>
      <c r="H767" s="3"/>
      <c r="M767" s="1">
        <f t="shared" si="71"/>
        <v>22.950000000000113</v>
      </c>
      <c r="N767" s="1">
        <f t="shared" si="72"/>
        <v>-11.164995492982559</v>
      </c>
      <c r="O767" s="1">
        <f t="shared" si="73"/>
        <v>1.8879959871639485E-2</v>
      </c>
      <c r="P767" s="1">
        <f t="shared" si="74"/>
        <v>5.5493175075630941</v>
      </c>
      <c r="R767" s="3">
        <f t="shared" si="69"/>
        <v>1.1138842752102085</v>
      </c>
      <c r="S767" s="3">
        <f t="shared" si="70"/>
        <v>-1.0046202374227926</v>
      </c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</row>
    <row r="768" spans="1:100" x14ac:dyDescent="0.2">
      <c r="A768" s="32"/>
      <c r="F768" s="3"/>
      <c r="G768" s="3"/>
      <c r="H768" s="3"/>
      <c r="M768" s="1">
        <f t="shared" si="71"/>
        <v>22.980000000000114</v>
      </c>
      <c r="N768" s="1">
        <f t="shared" si="72"/>
        <v>-11.140541948490533</v>
      </c>
      <c r="O768" s="1">
        <f t="shared" si="73"/>
        <v>-0.31533629858307649</v>
      </c>
      <c r="P768" s="1">
        <f t="shared" si="74"/>
        <v>5.5398574186056013</v>
      </c>
      <c r="R768" s="3">
        <f t="shared" si="69"/>
        <v>1.1043307779407185</v>
      </c>
      <c r="S768" s="3">
        <f t="shared" si="70"/>
        <v>-1.0151125715371903</v>
      </c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</row>
    <row r="769" spans="1:100" x14ac:dyDescent="0.2">
      <c r="A769" s="32"/>
      <c r="F769" s="3"/>
      <c r="G769" s="3"/>
      <c r="H769" s="3"/>
      <c r="M769" s="1">
        <f t="shared" si="71"/>
        <v>23.010000000000115</v>
      </c>
      <c r="N769" s="1">
        <f t="shared" si="72"/>
        <v>-11.01492751253471</v>
      </c>
      <c r="O769" s="1">
        <f t="shared" si="73"/>
        <v>-0.64578412395911777</v>
      </c>
      <c r="P769" s="1">
        <f t="shared" si="74"/>
        <v>5.5204838948868282</v>
      </c>
      <c r="R769" s="3">
        <f t="shared" si="69"/>
        <v>1.0844584610303725</v>
      </c>
      <c r="S769" s="3">
        <f t="shared" si="70"/>
        <v>-1.0363155148407439</v>
      </c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</row>
    <row r="770" spans="1:100" x14ac:dyDescent="0.2">
      <c r="A770" s="32"/>
      <c r="F770" s="3"/>
      <c r="G770" s="3"/>
      <c r="H770" s="3"/>
      <c r="M770" s="1">
        <f t="shared" si="71"/>
        <v>23.040000000000116</v>
      </c>
      <c r="N770" s="1">
        <f t="shared" si="72"/>
        <v>-10.786464039147404</v>
      </c>
      <c r="O770" s="1">
        <f t="shared" si="73"/>
        <v>-0.96937804513353987</v>
      </c>
      <c r="P770" s="1">
        <f t="shared" si="74"/>
        <v>5.4914025535328221</v>
      </c>
      <c r="R770" s="3">
        <f t="shared" ref="R770:R833" si="75">$B$3*COS(P770)</f>
        <v>1.0538667194282039</v>
      </c>
      <c r="S770" s="3">
        <f t="shared" ref="S770:S833" si="76">$B$3*SIN(P770)</f>
        <v>-1.0674103885955184</v>
      </c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</row>
    <row r="771" spans="1:100" x14ac:dyDescent="0.2">
      <c r="A771" s="32"/>
      <c r="F771" s="3"/>
      <c r="G771" s="3"/>
      <c r="H771" s="3"/>
      <c r="M771" s="1">
        <f t="shared" ref="M771:M834" si="77">M770+B$13</f>
        <v>23.070000000000118</v>
      </c>
      <c r="N771" s="1">
        <f t="shared" ref="N771:N834" si="78">-$B$12*$B$3*COS(P770)-B$10*O770</f>
        <v>-10.45142317022002</v>
      </c>
      <c r="O771" s="1">
        <f t="shared" ref="O771:O834" si="79">N771*$B$13+O770</f>
        <v>-1.2829207402401406</v>
      </c>
      <c r="P771" s="1">
        <f t="shared" ref="P771:P834" si="80">O771*$B$13+P770</f>
        <v>5.4529149313256182</v>
      </c>
      <c r="R771" s="3">
        <f t="shared" si="75"/>
        <v>1.0120143248719626</v>
      </c>
      <c r="S771" s="3">
        <f t="shared" si="76"/>
        <v>-1.1071707213677326</v>
      </c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</row>
    <row r="772" spans="1:100" x14ac:dyDescent="0.2">
      <c r="A772" s="32"/>
      <c r="F772" s="3"/>
      <c r="G772" s="3"/>
      <c r="H772" s="3"/>
      <c r="M772" s="1">
        <f t="shared" si="77"/>
        <v>23.100000000000119</v>
      </c>
      <c r="N772" s="1">
        <f t="shared" si="78"/>
        <v>-10.004680382098012</v>
      </c>
      <c r="O772" s="1">
        <f t="shared" si="79"/>
        <v>-1.583061151703081</v>
      </c>
      <c r="P772" s="1">
        <f t="shared" si="80"/>
        <v>5.405423096774526</v>
      </c>
      <c r="R772" s="3">
        <f t="shared" si="75"/>
        <v>0.95831144830760828</v>
      </c>
      <c r="S772" s="3">
        <f t="shared" si="76"/>
        <v>-1.1539667101102069</v>
      </c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</row>
    <row r="773" spans="1:100" x14ac:dyDescent="0.2">
      <c r="A773" s="32"/>
      <c r="F773" s="3"/>
      <c r="G773" s="3"/>
      <c r="H773" s="3"/>
      <c r="M773" s="1">
        <f t="shared" si="77"/>
        <v>23.13000000000012</v>
      </c>
      <c r="N773" s="1">
        <f t="shared" si="78"/>
        <v>-9.4406389794228058</v>
      </c>
      <c r="O773" s="1">
        <f t="shared" si="79"/>
        <v>-1.8662803210857652</v>
      </c>
      <c r="P773" s="1">
        <f t="shared" si="80"/>
        <v>5.3494346871419527</v>
      </c>
      <c r="R773" s="3">
        <f t="shared" si="75"/>
        <v>0.89223481892701328</v>
      </c>
      <c r="S773" s="3">
        <f t="shared" si="76"/>
        <v>-1.2057848182384283</v>
      </c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</row>
    <row r="774" spans="1:100" x14ac:dyDescent="0.2">
      <c r="A774" s="32"/>
      <c r="F774" s="3"/>
      <c r="G774" s="3"/>
      <c r="H774" s="3"/>
      <c r="M774" s="1">
        <f t="shared" si="77"/>
        <v>23.160000000000121</v>
      </c>
      <c r="N774" s="1">
        <f t="shared" si="78"/>
        <v>-8.7543829603724141</v>
      </c>
      <c r="O774" s="1">
        <f t="shared" si="79"/>
        <v>-2.1289118098969375</v>
      </c>
      <c r="P774" s="1">
        <f t="shared" si="80"/>
        <v>5.2855673328450443</v>
      </c>
      <c r="R774" s="3">
        <f t="shared" si="75"/>
        <v>0.81345776490863808</v>
      </c>
      <c r="S774" s="3">
        <f t="shared" si="76"/>
        <v>-1.2602723771906781</v>
      </c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</row>
    <row r="775" spans="1:100" x14ac:dyDescent="0.2">
      <c r="A775" s="32"/>
      <c r="F775" s="3"/>
      <c r="G775" s="3"/>
      <c r="H775" s="3"/>
      <c r="M775" s="1">
        <f t="shared" si="77"/>
        <v>23.190000000000122</v>
      </c>
      <c r="N775" s="1">
        <f t="shared" si="78"/>
        <v>-7.942975586195657</v>
      </c>
      <c r="O775" s="1">
        <f t="shared" si="79"/>
        <v>-2.3672010774828074</v>
      </c>
      <c r="P775" s="1">
        <f t="shared" si="80"/>
        <v>5.2145513005205597</v>
      </c>
      <c r="R775" s="3">
        <f t="shared" si="75"/>
        <v>0.72198304614378361</v>
      </c>
      <c r="S775" s="3">
        <f t="shared" si="76"/>
        <v>-1.3148157593674268</v>
      </c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</row>
    <row r="776" spans="1:100" x14ac:dyDescent="0.2">
      <c r="A776" s="32"/>
      <c r="F776" s="3"/>
      <c r="G776" s="3"/>
      <c r="H776" s="3"/>
      <c r="M776" s="1">
        <f t="shared" si="77"/>
        <v>23.220000000000123</v>
      </c>
      <c r="N776" s="1">
        <f t="shared" si="78"/>
        <v>-7.0067823644643825</v>
      </c>
      <c r="O776" s="1">
        <f t="shared" si="79"/>
        <v>-2.5774045484167387</v>
      </c>
      <c r="P776" s="1">
        <f t="shared" si="80"/>
        <v>5.1372291640680574</v>
      </c>
      <c r="R776" s="3">
        <f t="shared" si="75"/>
        <v>0.61826276643575884</v>
      </c>
      <c r="S776" s="3">
        <f t="shared" si="76"/>
        <v>-1.3666569253617391</v>
      </c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</row>
    <row r="777" spans="1:100" x14ac:dyDescent="0.2">
      <c r="A777" s="32"/>
      <c r="F777" s="3"/>
      <c r="G777" s="3"/>
      <c r="H777" s="3"/>
      <c r="M777" s="1">
        <f t="shared" si="77"/>
        <v>23.250000000000124</v>
      </c>
      <c r="N777" s="1">
        <f t="shared" si="78"/>
        <v>-5.9506612550000808</v>
      </c>
      <c r="O777" s="1">
        <f t="shared" si="79"/>
        <v>-2.7559243860667411</v>
      </c>
      <c r="P777" s="1">
        <f t="shared" si="80"/>
        <v>5.054551432486055</v>
      </c>
      <c r="R777" s="3">
        <f t="shared" si="75"/>
        <v>0.5032874589506684</v>
      </c>
      <c r="S777" s="3">
        <f t="shared" si="76"/>
        <v>-1.4130469679607183</v>
      </c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</row>
    <row r="778" spans="1:100" x14ac:dyDescent="0.2">
      <c r="A778" s="32"/>
      <c r="F778" s="3"/>
      <c r="G778" s="3"/>
      <c r="H778" s="3"/>
      <c r="M778" s="1">
        <f t="shared" si="77"/>
        <v>23.280000000000125</v>
      </c>
      <c r="N778" s="1">
        <f t="shared" si="78"/>
        <v>-4.7848413947606767</v>
      </c>
      <c r="O778" s="1">
        <f t="shared" si="79"/>
        <v>-2.8994696279095615</v>
      </c>
      <c r="P778" s="1">
        <f t="shared" si="80"/>
        <v>4.967567343648768</v>
      </c>
      <c r="R778" s="3">
        <f t="shared" si="75"/>
        <v>0.3786270003075175</v>
      </c>
      <c r="S778" s="3">
        <f t="shared" si="76"/>
        <v>-1.4514274334730382</v>
      </c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</row>
    <row r="779" spans="1:100" x14ac:dyDescent="0.2">
      <c r="A779" s="32"/>
      <c r="F779" s="3"/>
      <c r="G779" s="3"/>
      <c r="H779" s="3"/>
      <c r="M779" s="1">
        <f t="shared" si="77"/>
        <v>23.310000000000127</v>
      </c>
      <c r="N779" s="1">
        <f t="shared" si="78"/>
        <v>-3.5253177365633142</v>
      </c>
      <c r="O779" s="1">
        <f t="shared" si="79"/>
        <v>-3.0052291600064609</v>
      </c>
      <c r="P779" s="1">
        <f t="shared" si="80"/>
        <v>4.8774104688485744</v>
      </c>
      <c r="R779" s="3">
        <f t="shared" si="75"/>
        <v>0.24641029135164177</v>
      </c>
      <c r="S779" s="3">
        <f t="shared" si="76"/>
        <v>-1.4796222383824862</v>
      </c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</row>
    <row r="780" spans="1:100" x14ac:dyDescent="0.2">
      <c r="A780" s="32"/>
      <c r="F780" s="3"/>
      <c r="G780" s="3"/>
      <c r="H780" s="3"/>
      <c r="M780" s="1">
        <f t="shared" si="77"/>
        <v>23.340000000000128</v>
      </c>
      <c r="N780" s="1">
        <f t="shared" si="78"/>
        <v>-2.1936322891158362</v>
      </c>
      <c r="O780" s="1">
        <f t="shared" si="79"/>
        <v>-3.0710381286799358</v>
      </c>
      <c r="P780" s="1">
        <f t="shared" si="80"/>
        <v>4.785279324988176</v>
      </c>
      <c r="R780" s="3">
        <f t="shared" si="75"/>
        <v>0.10923872597853329</v>
      </c>
      <c r="S780" s="3">
        <f t="shared" si="76"/>
        <v>-1.4960170121848839</v>
      </c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</row>
    <row r="781" spans="1:100" x14ac:dyDescent="0.2">
      <c r="A781" s="32"/>
      <c r="F781" s="3"/>
      <c r="G781" s="3"/>
      <c r="H781" s="3"/>
      <c r="M781" s="1">
        <f t="shared" si="77"/>
        <v>23.370000000000129</v>
      </c>
      <c r="N781" s="1">
        <f t="shared" si="78"/>
        <v>-0.81599382820413879</v>
      </c>
      <c r="O781" s="1">
        <f t="shared" si="79"/>
        <v>-3.09551794352606</v>
      </c>
      <c r="P781" s="1">
        <f t="shared" si="80"/>
        <v>4.6924137866823941</v>
      </c>
      <c r="R781" s="3">
        <f t="shared" si="75"/>
        <v>-2.9960798025858711E-2</v>
      </c>
      <c r="S781" s="3">
        <f t="shared" si="76"/>
        <v>-1.499700753677764</v>
      </c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</row>
    <row r="782" spans="1:100" x14ac:dyDescent="0.2">
      <c r="A782" s="32"/>
      <c r="F782" s="3"/>
      <c r="G782" s="3"/>
      <c r="H782" s="3"/>
      <c r="M782" s="1">
        <f t="shared" si="77"/>
        <v>23.40000000000013</v>
      </c>
      <c r="N782" s="1">
        <f t="shared" si="78"/>
        <v>0.57820459517593248</v>
      </c>
      <c r="O782" s="1">
        <f t="shared" si="79"/>
        <v>-3.0781718056707819</v>
      </c>
      <c r="P782" s="1">
        <f t="shared" si="80"/>
        <v>4.6000686325122704</v>
      </c>
      <c r="R782" s="3">
        <f t="shared" si="75"/>
        <v>-0.16812649074144803</v>
      </c>
      <c r="S782" s="3">
        <f t="shared" si="76"/>
        <v>-1.4905480479041815</v>
      </c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</row>
    <row r="783" spans="1:100" x14ac:dyDescent="0.2">
      <c r="A783" s="32"/>
      <c r="F783" s="3"/>
      <c r="G783" s="3"/>
      <c r="H783" s="3"/>
      <c r="M783" s="1">
        <f t="shared" si="77"/>
        <v>23.430000000000131</v>
      </c>
      <c r="N783" s="1">
        <f t="shared" si="78"/>
        <v>1.9583003699248509</v>
      </c>
      <c r="O783" s="1">
        <f t="shared" si="79"/>
        <v>-3.0194227945730363</v>
      </c>
      <c r="P783" s="1">
        <f t="shared" si="80"/>
        <v>4.5094859486750796</v>
      </c>
      <c r="R783" s="3">
        <f t="shared" si="75"/>
        <v>-0.30227048100029585</v>
      </c>
      <c r="S783" s="3">
        <f t="shared" si="76"/>
        <v>-1.4692285582290625</v>
      </c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</row>
    <row r="784" spans="1:100" x14ac:dyDescent="0.2">
      <c r="A784" s="32"/>
      <c r="F784" s="3"/>
      <c r="G784" s="3"/>
      <c r="H784" s="3"/>
      <c r="M784" s="1">
        <f t="shared" si="77"/>
        <v>23.460000000000132</v>
      </c>
      <c r="N784" s="1">
        <f t="shared" si="78"/>
        <v>3.2944528615145314</v>
      </c>
      <c r="O784" s="1">
        <f t="shared" si="79"/>
        <v>-2.9205892087276002</v>
      </c>
      <c r="P784" s="1">
        <f t="shared" si="80"/>
        <v>4.4218682724132519</v>
      </c>
      <c r="R784" s="3">
        <f t="shared" si="75"/>
        <v>-0.4296767273111477</v>
      </c>
      <c r="S784" s="3">
        <f t="shared" si="76"/>
        <v>-1.4371422720131717</v>
      </c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</row>
    <row r="785" spans="1:100" x14ac:dyDescent="0.2">
      <c r="A785" s="32"/>
      <c r="F785" s="3"/>
      <c r="G785" s="3"/>
      <c r="H785" s="3"/>
      <c r="M785" s="1">
        <f t="shared" si="77"/>
        <v>23.490000000000133</v>
      </c>
      <c r="N785" s="1">
        <f t="shared" si="78"/>
        <v>4.5596203018969605</v>
      </c>
      <c r="O785" s="1">
        <f t="shared" si="79"/>
        <v>-2.7838005996706912</v>
      </c>
      <c r="P785" s="1">
        <f t="shared" si="80"/>
        <v>4.3383542544231313</v>
      </c>
      <c r="R785" s="3">
        <f t="shared" si="75"/>
        <v>-0.54806124560639757</v>
      </c>
      <c r="S785" s="3">
        <f t="shared" si="76"/>
        <v>-1.3962911125780197</v>
      </c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</row>
    <row r="786" spans="1:100" x14ac:dyDescent="0.2">
      <c r="A786" s="32"/>
      <c r="F786" s="3"/>
      <c r="G786" s="3"/>
      <c r="H786" s="3"/>
      <c r="M786" s="1">
        <f t="shared" si="77"/>
        <v>23.520000000000135</v>
      </c>
      <c r="N786" s="1">
        <f t="shared" si="78"/>
        <v>5.7311545100343366</v>
      </c>
      <c r="O786" s="1">
        <f t="shared" si="79"/>
        <v>-2.6118659643696609</v>
      </c>
      <c r="P786" s="1">
        <f t="shared" si="80"/>
        <v>4.2599982754920411</v>
      </c>
      <c r="R786" s="3">
        <f t="shared" si="75"/>
        <v>-0.65567548850724733</v>
      </c>
      <c r="S786" s="3">
        <f t="shared" si="76"/>
        <v>-1.3491069838121743</v>
      </c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</row>
    <row r="787" spans="1:100" x14ac:dyDescent="0.2">
      <c r="A787" s="32"/>
      <c r="F787" s="3"/>
      <c r="G787" s="3"/>
      <c r="H787" s="3"/>
      <c r="M787" s="1">
        <f t="shared" si="77"/>
        <v>23.550000000000136</v>
      </c>
      <c r="N787" s="1">
        <f t="shared" si="78"/>
        <v>6.7918228218657433</v>
      </c>
      <c r="O787" s="1">
        <f t="shared" si="79"/>
        <v>-2.4081112797136885</v>
      </c>
      <c r="P787" s="1">
        <f t="shared" si="80"/>
        <v>4.1877549371006308</v>
      </c>
      <c r="R787" s="3">
        <f t="shared" si="75"/>
        <v>-0.75134445001599026</v>
      </c>
      <c r="S787" s="3">
        <f t="shared" si="76"/>
        <v>-1.2982609589100989</v>
      </c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</row>
    <row r="788" spans="1:100" x14ac:dyDescent="0.2">
      <c r="A788" s="32"/>
      <c r="F788" s="3"/>
      <c r="G788" s="3"/>
      <c r="H788" s="3"/>
      <c r="M788" s="1">
        <f t="shared" si="77"/>
        <v>23.580000000000137</v>
      </c>
      <c r="N788" s="1">
        <f t="shared" si="78"/>
        <v>7.7301745153341352</v>
      </c>
      <c r="O788" s="1">
        <f t="shared" si="79"/>
        <v>-2.1762060442536644</v>
      </c>
      <c r="P788" s="1">
        <f t="shared" si="80"/>
        <v>4.1224687557730206</v>
      </c>
      <c r="R788" s="3">
        <f t="shared" si="75"/>
        <v>-0.83444209879069042</v>
      </c>
      <c r="S788" s="3">
        <f t="shared" si="76"/>
        <v>-1.2464775905590071</v>
      </c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</row>
    <row r="789" spans="1:100" x14ac:dyDescent="0.2">
      <c r="A789" s="32"/>
      <c r="F789" s="3"/>
      <c r="G789" s="3"/>
      <c r="H789" s="3"/>
      <c r="M789" s="1">
        <f t="shared" si="77"/>
        <v>23.610000000000138</v>
      </c>
      <c r="N789" s="1">
        <f t="shared" si="78"/>
        <v>8.540279531889734</v>
      </c>
      <c r="O789" s="1">
        <f t="shared" si="79"/>
        <v>-1.9199976582969724</v>
      </c>
      <c r="P789" s="1">
        <f t="shared" si="80"/>
        <v>4.064868826024111</v>
      </c>
      <c r="R789" s="3">
        <f t="shared" si="75"/>
        <v>-0.90481557297956616</v>
      </c>
      <c r="S789" s="3">
        <f t="shared" si="76"/>
        <v>-1.1963731771038915</v>
      </c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</row>
    <row r="790" spans="1:100" x14ac:dyDescent="0.2">
      <c r="A790" s="32"/>
      <c r="F790" s="3"/>
      <c r="G790" s="3"/>
      <c r="H790" s="3"/>
      <c r="M790" s="1">
        <f t="shared" si="77"/>
        <v>23.640000000000139</v>
      </c>
      <c r="N790" s="1">
        <f t="shared" si="78"/>
        <v>9.2209555190423895</v>
      </c>
      <c r="O790" s="1">
        <f t="shared" si="79"/>
        <v>-1.6433689927257007</v>
      </c>
      <c r="P790" s="1">
        <f t="shared" si="80"/>
        <v>4.0155677562423397</v>
      </c>
      <c r="R790" s="3">
        <f t="shared" si="75"/>
        <v>-0.96267476200336843</v>
      </c>
      <c r="S790" s="3">
        <f t="shared" si="76"/>
        <v>-1.150329214877966</v>
      </c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</row>
    <row r="791" spans="1:100" x14ac:dyDescent="0.2">
      <c r="A791" s="32"/>
      <c r="F791" s="3"/>
      <c r="G791" s="3"/>
      <c r="H791" s="3"/>
      <c r="M791" s="1">
        <f t="shared" si="77"/>
        <v>23.67000000000014</v>
      </c>
      <c r="N791" s="1">
        <f t="shared" si="78"/>
        <v>9.7746508293789987</v>
      </c>
      <c r="O791" s="1">
        <f t="shared" si="79"/>
        <v>-1.3501294678443307</v>
      </c>
      <c r="P791" s="1">
        <f t="shared" si="80"/>
        <v>3.9750638722070097</v>
      </c>
      <c r="R791" s="3">
        <f t="shared" si="75"/>
        <v>-1.0084652672936767</v>
      </c>
      <c r="S791" s="3">
        <f t="shared" si="76"/>
        <v>-1.1104043428689809</v>
      </c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</row>
    <row r="792" spans="1:100" x14ac:dyDescent="0.2">
      <c r="A792" s="32"/>
      <c r="F792" s="3"/>
      <c r="G792" s="3"/>
      <c r="H792" s="3"/>
      <c r="M792" s="1">
        <f t="shared" si="77"/>
        <v>23.700000000000141</v>
      </c>
      <c r="N792" s="1">
        <f t="shared" si="78"/>
        <v>10.206164325042757</v>
      </c>
      <c r="O792" s="1">
        <f t="shared" si="79"/>
        <v>-1.0439445380930481</v>
      </c>
      <c r="P792" s="1">
        <f t="shared" si="80"/>
        <v>3.9437455360642182</v>
      </c>
      <c r="R792" s="3">
        <f t="shared" si="75"/>
        <v>-1.0427410689011845</v>
      </c>
      <c r="S792" s="3">
        <f t="shared" si="76"/>
        <v>-1.0782815324518988</v>
      </c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</row>
    <row r="793" spans="1:100" x14ac:dyDescent="0.2">
      <c r="A793" s="32"/>
      <c r="F793" s="3"/>
      <c r="G793" s="3"/>
      <c r="H793" s="3"/>
      <c r="M793" s="1">
        <f t="shared" si="77"/>
        <v>23.730000000000143</v>
      </c>
      <c r="N793" s="1">
        <f t="shared" si="78"/>
        <v>10.521365697440217</v>
      </c>
      <c r="O793" s="1">
        <f t="shared" si="79"/>
        <v>-0.72830356716984168</v>
      </c>
      <c r="P793" s="1">
        <f t="shared" si="80"/>
        <v>3.9218964290491227</v>
      </c>
      <c r="R793" s="3">
        <f t="shared" si="75"/>
        <v>-1.0660497992783631</v>
      </c>
      <c r="S793" s="3">
        <f t="shared" si="76"/>
        <v>-1.0552430172517429</v>
      </c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</row>
    <row r="794" spans="1:100" x14ac:dyDescent="0.2">
      <c r="A794" s="32"/>
      <c r="F794" s="3"/>
      <c r="G794" s="3"/>
      <c r="H794" s="3"/>
      <c r="M794" s="1">
        <f t="shared" si="77"/>
        <v>23.760000000000144</v>
      </c>
      <c r="N794" s="1">
        <f t="shared" si="78"/>
        <v>10.726045313828916</v>
      </c>
      <c r="O794" s="1">
        <f t="shared" si="79"/>
        <v>-0.40652220775497422</v>
      </c>
      <c r="P794" s="1">
        <f t="shared" si="80"/>
        <v>3.9097007628164735</v>
      </c>
      <c r="R794" s="3">
        <f t="shared" si="75"/>
        <v>-1.0788395938042248</v>
      </c>
      <c r="S794" s="3">
        <f t="shared" si="76"/>
        <v>-1.0421636775671734</v>
      </c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</row>
    <row r="795" spans="1:100" x14ac:dyDescent="0.2">
      <c r="A795" s="32"/>
      <c r="F795" s="3"/>
      <c r="G795" s="3"/>
      <c r="H795" s="3"/>
      <c r="M795" s="1">
        <f t="shared" si="77"/>
        <v>23.790000000000145</v>
      </c>
      <c r="N795" s="1">
        <f t="shared" si="78"/>
        <v>10.824982936740195</v>
      </c>
      <c r="O795" s="1">
        <f t="shared" si="79"/>
        <v>-8.1772719652768389E-2</v>
      </c>
      <c r="P795" s="1">
        <f t="shared" si="80"/>
        <v>3.9072475812268905</v>
      </c>
      <c r="R795" s="3">
        <f t="shared" si="75"/>
        <v>-1.0813929617064324</v>
      </c>
      <c r="S795" s="3">
        <f t="shared" si="76"/>
        <v>-1.039513954871117</v>
      </c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</row>
    <row r="796" spans="1:100" x14ac:dyDescent="0.2">
      <c r="A796" s="32"/>
      <c r="F796" s="3"/>
      <c r="G796" s="3"/>
      <c r="H796" s="3"/>
      <c r="M796" s="1">
        <f t="shared" si="77"/>
        <v>23.820000000000146</v>
      </c>
      <c r="N796" s="1">
        <f t="shared" si="78"/>
        <v>10.821289161833072</v>
      </c>
      <c r="O796" s="1">
        <f t="shared" si="79"/>
        <v>0.24286595520222376</v>
      </c>
      <c r="P796" s="1">
        <f t="shared" si="80"/>
        <v>3.9145335598829574</v>
      </c>
      <c r="R796" s="3">
        <f t="shared" si="75"/>
        <v>-1.0737904492209296</v>
      </c>
      <c r="S796" s="3">
        <f t="shared" si="76"/>
        <v>-1.0473652997698149</v>
      </c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</row>
    <row r="797" spans="1:100" x14ac:dyDescent="0.2">
      <c r="A797" s="32"/>
      <c r="F797" s="3"/>
      <c r="G797" s="3"/>
      <c r="H797" s="3"/>
      <c r="M797" s="1">
        <f t="shared" si="77"/>
        <v>23.850000000000147</v>
      </c>
      <c r="N797" s="1">
        <f t="shared" si="78"/>
        <v>10.716046556241096</v>
      </c>
      <c r="O797" s="1">
        <f t="shared" si="79"/>
        <v>0.56434735188945662</v>
      </c>
      <c r="P797" s="1">
        <f t="shared" si="80"/>
        <v>3.931463980439641</v>
      </c>
      <c r="R797" s="3">
        <f t="shared" si="75"/>
        <v>-1.0559050698278414</v>
      </c>
      <c r="S797" s="3">
        <f t="shared" si="76"/>
        <v>-1.0653940508149373</v>
      </c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</row>
    <row r="798" spans="1:100" x14ac:dyDescent="0.2">
      <c r="A798" s="32"/>
      <c r="F798" s="3"/>
      <c r="G798" s="3"/>
      <c r="H798" s="3"/>
      <c r="M798" s="1">
        <f t="shared" si="77"/>
        <v>23.880000000000148</v>
      </c>
      <c r="N798" s="1">
        <f t="shared" si="78"/>
        <v>10.508259436608364</v>
      </c>
      <c r="O798" s="1">
        <f t="shared" si="79"/>
        <v>0.87959513498770758</v>
      </c>
      <c r="P798" s="1">
        <f t="shared" si="80"/>
        <v>3.9578518344892721</v>
      </c>
      <c r="R798" s="3">
        <f t="shared" si="75"/>
        <v>-1.0274272676856597</v>
      </c>
      <c r="S798" s="3">
        <f t="shared" si="76"/>
        <v>-1.0928829807513609</v>
      </c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</row>
    <row r="799" spans="1:100" x14ac:dyDescent="0.2">
      <c r="A799" s="32"/>
      <c r="F799" s="3"/>
      <c r="G799" s="3"/>
      <c r="H799" s="3"/>
      <c r="M799" s="1">
        <f t="shared" si="77"/>
        <v>23.910000000000149</v>
      </c>
      <c r="N799" s="1">
        <f t="shared" si="78"/>
        <v>10.195109114707703</v>
      </c>
      <c r="O799" s="1">
        <f t="shared" si="79"/>
        <v>1.1854484084289387</v>
      </c>
      <c r="P799" s="1">
        <f t="shared" si="80"/>
        <v>3.9934152867421404</v>
      </c>
      <c r="R799" s="3">
        <f t="shared" si="75"/>
        <v>-0.98791911276160582</v>
      </c>
      <c r="S799" s="3">
        <f t="shared" si="76"/>
        <v>-1.128723095644065</v>
      </c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</row>
    <row r="800" spans="1:100" x14ac:dyDescent="0.2">
      <c r="A800" s="32"/>
      <c r="F800" s="3"/>
      <c r="G800" s="3"/>
      <c r="H800" s="3"/>
      <c r="M800" s="1">
        <f t="shared" si="77"/>
        <v>23.94000000000015</v>
      </c>
      <c r="N800" s="1">
        <f t="shared" si="78"/>
        <v>9.7725007708574534</v>
      </c>
      <c r="O800" s="1">
        <f t="shared" si="79"/>
        <v>1.4786234315546622</v>
      </c>
      <c r="P800" s="1">
        <f t="shared" si="80"/>
        <v>4.0377739896887803</v>
      </c>
      <c r="R800" s="3">
        <f t="shared" si="75"/>
        <v>-0.93689503647034711</v>
      </c>
      <c r="S800" s="3">
        <f t="shared" si="76"/>
        <v>-1.1714212268169066</v>
      </c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</row>
    <row r="801" spans="1:100" x14ac:dyDescent="0.2">
      <c r="A801" s="32"/>
      <c r="F801" s="3"/>
      <c r="G801" s="3"/>
      <c r="H801" s="3"/>
      <c r="M801" s="1">
        <f t="shared" si="77"/>
        <v>23.970000000000152</v>
      </c>
      <c r="N801" s="1">
        <f t="shared" si="78"/>
        <v>9.2358742558635516</v>
      </c>
      <c r="O801" s="1">
        <f t="shared" si="79"/>
        <v>1.7556996592305687</v>
      </c>
      <c r="P801" s="1">
        <f t="shared" si="80"/>
        <v>4.0904449794656976</v>
      </c>
      <c r="R801" s="3">
        <f t="shared" si="75"/>
        <v>-0.87392436315347988</v>
      </c>
      <c r="S801" s="3">
        <f t="shared" si="76"/>
        <v>-1.2191210799124035</v>
      </c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</row>
    <row r="802" spans="1:100" x14ac:dyDescent="0.2">
      <c r="A802" s="32"/>
      <c r="F802" s="3"/>
      <c r="G802" s="3"/>
      <c r="H802" s="3"/>
      <c r="M802" s="1">
        <f t="shared" si="77"/>
        <v>24.000000000000153</v>
      </c>
      <c r="N802" s="1">
        <f t="shared" si="78"/>
        <v>8.581230662204046</v>
      </c>
      <c r="O802" s="1">
        <f t="shared" si="79"/>
        <v>2.01313657909669</v>
      </c>
      <c r="P802" s="1">
        <f t="shared" si="80"/>
        <v>4.1508390768385981</v>
      </c>
      <c r="R802" s="3">
        <f t="shared" si="75"/>
        <v>-0.79874808463238933</v>
      </c>
      <c r="S802" s="3">
        <f t="shared" si="76"/>
        <v>-1.2696462094993586</v>
      </c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</row>
    <row r="803" spans="1:100" x14ac:dyDescent="0.2">
      <c r="A803" s="32"/>
      <c r="F803" s="3"/>
      <c r="G803" s="3"/>
      <c r="H803" s="3"/>
      <c r="M803" s="1">
        <f t="shared" si="77"/>
        <v>24.030000000000154</v>
      </c>
      <c r="N803" s="1">
        <f t="shared" si="78"/>
        <v>7.8062985542051901</v>
      </c>
      <c r="O803" s="1">
        <f t="shared" si="79"/>
        <v>2.2473255357228457</v>
      </c>
      <c r="P803" s="1">
        <f t="shared" si="80"/>
        <v>4.2182588429102834</v>
      </c>
      <c r="R803" s="3">
        <f t="shared" si="75"/>
        <v>-0.7113990297662911</v>
      </c>
      <c r="S803" s="3">
        <f t="shared" si="76"/>
        <v>-1.3205723836456598</v>
      </c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</row>
    <row r="804" spans="1:100" x14ac:dyDescent="0.2">
      <c r="A804" s="32"/>
      <c r="F804" s="3"/>
      <c r="G804" s="3"/>
      <c r="H804" s="3"/>
      <c r="M804" s="1">
        <f t="shared" si="77"/>
        <v>24.060000000000155</v>
      </c>
      <c r="N804" s="1">
        <f t="shared" si="78"/>
        <v>6.9117309994478555</v>
      </c>
      <c r="O804" s="1">
        <f t="shared" si="79"/>
        <v>2.4546774657062813</v>
      </c>
      <c r="P804" s="1">
        <f t="shared" si="80"/>
        <v>4.2918991668814721</v>
      </c>
      <c r="R804" s="3">
        <f t="shared" si="75"/>
        <v>-0.61231147112985662</v>
      </c>
      <c r="S804" s="3">
        <f t="shared" si="76"/>
        <v>-1.3693336563171119</v>
      </c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</row>
    <row r="805" spans="1:100" x14ac:dyDescent="0.2">
      <c r="A805" s="32"/>
      <c r="F805" s="3"/>
      <c r="G805" s="3"/>
      <c r="H805" s="3"/>
      <c r="M805" s="1">
        <f t="shared" si="77"/>
        <v>24.090000000000156</v>
      </c>
      <c r="N805" s="1">
        <f t="shared" si="78"/>
        <v>5.9021937393850008</v>
      </c>
      <c r="O805" s="1">
        <f t="shared" si="79"/>
        <v>2.6317432778878311</v>
      </c>
      <c r="P805" s="1">
        <f t="shared" si="80"/>
        <v>4.3708514652181067</v>
      </c>
      <c r="R805" s="3">
        <f t="shared" si="75"/>
        <v>-0.5024042954887955</v>
      </c>
      <c r="S805" s="3">
        <f t="shared" si="76"/>
        <v>-1.4133612149321233</v>
      </c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</row>
    <row r="806" spans="1:100" x14ac:dyDescent="0.2">
      <c r="A806" s="32"/>
      <c r="F806" s="3"/>
      <c r="G806" s="3"/>
      <c r="H806" s="3"/>
      <c r="M806" s="1">
        <f t="shared" si="77"/>
        <v>24.120000000000157</v>
      </c>
      <c r="N806" s="1">
        <f t="shared" si="78"/>
        <v>4.7871860598780493</v>
      </c>
      <c r="O806" s="1">
        <f t="shared" si="79"/>
        <v>2.7753588596841725</v>
      </c>
      <c r="P806" s="1">
        <f t="shared" si="80"/>
        <v>4.4541122310086321</v>
      </c>
      <c r="R806" s="3">
        <f t="shared" si="75"/>
        <v>-0.38312225830712587</v>
      </c>
      <c r="S806" s="3">
        <f t="shared" si="76"/>
        <v>-1.4502473358671093</v>
      </c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</row>
    <row r="807" spans="1:100" x14ac:dyDescent="0.2">
      <c r="A807" s="32"/>
      <c r="F807" s="3"/>
      <c r="G807" s="3"/>
      <c r="H807" s="3"/>
      <c r="M807" s="1">
        <f t="shared" si="77"/>
        <v>24.150000000000158</v>
      </c>
      <c r="N807" s="1">
        <f t="shared" si="78"/>
        <v>3.5814402856996832</v>
      </c>
      <c r="O807" s="1">
        <f t="shared" si="79"/>
        <v>2.8828020682551632</v>
      </c>
      <c r="P807" s="1">
        <f t="shared" si="80"/>
        <v>4.5405962930562866</v>
      </c>
      <c r="R807" s="3">
        <f t="shared" si="75"/>
        <v>-0.25642338238560131</v>
      </c>
      <c r="S807" s="3">
        <f t="shared" si="76"/>
        <v>-1.4779198384776921</v>
      </c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</row>
    <row r="808" spans="1:100" x14ac:dyDescent="0.2">
      <c r="A808" s="32"/>
      <c r="F808" s="3"/>
      <c r="G808" s="3"/>
      <c r="H808" s="3"/>
      <c r="M808" s="1">
        <f t="shared" si="77"/>
        <v>24.18000000000016</v>
      </c>
      <c r="N808" s="1">
        <f t="shared" si="78"/>
        <v>2.3047816377130483</v>
      </c>
      <c r="O808" s="1">
        <f t="shared" si="79"/>
        <v>2.9519455173865548</v>
      </c>
      <c r="P808" s="1">
        <f t="shared" si="80"/>
        <v>4.6291546585778836</v>
      </c>
      <c r="R808" s="3">
        <f t="shared" si="75"/>
        <v>-0.12470737178559463</v>
      </c>
      <c r="S808" s="3">
        <f t="shared" si="76"/>
        <v>-1.4948070348450764</v>
      </c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</row>
    <row r="809" spans="1:100" x14ac:dyDescent="0.2">
      <c r="A809" s="32"/>
      <c r="F809" s="3"/>
      <c r="G809" s="3"/>
      <c r="H809" s="3"/>
      <c r="M809" s="1">
        <f t="shared" si="77"/>
        <v>24.210000000000161</v>
      </c>
      <c r="N809" s="1">
        <f t="shared" si="78"/>
        <v>0.9813986212911564</v>
      </c>
      <c r="O809" s="1">
        <f t="shared" si="79"/>
        <v>2.9813874760252896</v>
      </c>
      <c r="P809" s="1">
        <f t="shared" si="80"/>
        <v>4.7185962828586421</v>
      </c>
      <c r="R809" s="3">
        <f t="shared" si="75"/>
        <v>9.310893918265133E-3</v>
      </c>
      <c r="S809" s="3">
        <f t="shared" si="76"/>
        <v>-1.4999711021397855</v>
      </c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</row>
    <row r="810" spans="1:100" x14ac:dyDescent="0.2">
      <c r="A810" s="32"/>
      <c r="F810" s="3"/>
      <c r="G810" s="3"/>
      <c r="H810" s="3"/>
      <c r="M810" s="1">
        <f t="shared" si="77"/>
        <v>24.240000000000162</v>
      </c>
      <c r="N810" s="1">
        <f t="shared" si="78"/>
        <v>-0.36143381202492741</v>
      </c>
      <c r="O810" s="1">
        <f t="shared" si="79"/>
        <v>2.970544461664542</v>
      </c>
      <c r="P810" s="1">
        <f t="shared" si="80"/>
        <v>4.807712616708578</v>
      </c>
      <c r="R810" s="3">
        <f t="shared" si="75"/>
        <v>0.14276901101135453</v>
      </c>
      <c r="S810" s="3">
        <f t="shared" si="76"/>
        <v>-1.4931902120945073</v>
      </c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</row>
    <row r="811" spans="1:100" x14ac:dyDescent="0.2">
      <c r="A811" s="32"/>
      <c r="F811" s="3"/>
      <c r="G811" s="3"/>
      <c r="H811" s="3"/>
      <c r="M811" s="1">
        <f t="shared" si="77"/>
        <v>24.270000000000163</v>
      </c>
      <c r="N811" s="1">
        <f t="shared" si="78"/>
        <v>-1.6950391116633543</v>
      </c>
      <c r="O811" s="1">
        <f t="shared" si="79"/>
        <v>2.9196932883146416</v>
      </c>
      <c r="P811" s="1">
        <f t="shared" si="80"/>
        <v>4.8953034153580175</v>
      </c>
      <c r="R811" s="3">
        <f t="shared" si="75"/>
        <v>0.27284423625194382</v>
      </c>
      <c r="S811" s="3">
        <f t="shared" si="76"/>
        <v>-1.4749766176940209</v>
      </c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</row>
    <row r="812" spans="1:100" x14ac:dyDescent="0.2">
      <c r="A812" s="32"/>
      <c r="F812" s="3"/>
      <c r="G812" s="3"/>
      <c r="H812" s="3"/>
      <c r="M812" s="1">
        <f t="shared" si="77"/>
        <v>24.300000000000164</v>
      </c>
      <c r="N812" s="1">
        <f t="shared" si="78"/>
        <v>-2.9912147584677555</v>
      </c>
      <c r="O812" s="1">
        <f t="shared" si="79"/>
        <v>2.8299568455606088</v>
      </c>
      <c r="P812" s="1">
        <f t="shared" si="80"/>
        <v>4.9802021207248357</v>
      </c>
      <c r="R812" s="3">
        <f t="shared" si="75"/>
        <v>0.3969347533082328</v>
      </c>
      <c r="S812" s="3">
        <f t="shared" si="76"/>
        <v>-1.4465278433601381</v>
      </c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</row>
    <row r="813" spans="1:100" x14ac:dyDescent="0.2">
      <c r="A813" s="32"/>
      <c r="F813" s="3"/>
      <c r="G813" s="3"/>
      <c r="H813" s="3"/>
      <c r="M813" s="1">
        <f t="shared" si="77"/>
        <v>24.330000000000165</v>
      </c>
      <c r="N813" s="1">
        <f t="shared" si="78"/>
        <v>-4.2240436491827831</v>
      </c>
      <c r="O813" s="1">
        <f t="shared" si="79"/>
        <v>2.7032355360851255</v>
      </c>
      <c r="P813" s="1">
        <f t="shared" si="80"/>
        <v>5.0612991868073891</v>
      </c>
      <c r="R813" s="3">
        <f t="shared" si="75"/>
        <v>0.51281082253148791</v>
      </c>
      <c r="S813" s="3">
        <f t="shared" si="76"/>
        <v>-1.4096187641680209</v>
      </c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</row>
    <row r="814" spans="1:100" x14ac:dyDescent="0.2">
      <c r="A814" s="32"/>
      <c r="F814" s="3"/>
      <c r="G814" s="3"/>
      <c r="H814" s="3"/>
      <c r="M814" s="1">
        <f t="shared" si="77"/>
        <v>24.360000000000166</v>
      </c>
      <c r="N814" s="1">
        <f t="shared" si="78"/>
        <v>-5.37139942356254</v>
      </c>
      <c r="O814" s="1">
        <f t="shared" si="79"/>
        <v>2.5420935533782494</v>
      </c>
      <c r="P814" s="1">
        <f t="shared" si="80"/>
        <v>5.1375619934087364</v>
      </c>
      <c r="R814" s="3">
        <f t="shared" si="75"/>
        <v>0.61871759570662044</v>
      </c>
      <c r="S814" s="3">
        <f t="shared" si="76"/>
        <v>-1.3664510736806565</v>
      </c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</row>
    <row r="815" spans="1:100" x14ac:dyDescent="0.2">
      <c r="A815" s="32"/>
      <c r="F815" s="3"/>
      <c r="G815" s="3"/>
      <c r="H815" s="3"/>
      <c r="M815" s="1">
        <f t="shared" si="77"/>
        <v>24.390000000000168</v>
      </c>
      <c r="N815" s="1">
        <f t="shared" si="78"/>
        <v>-6.4159643768702468</v>
      </c>
      <c r="O815" s="1">
        <f t="shared" si="79"/>
        <v>2.3496146220721421</v>
      </c>
      <c r="P815" s="1">
        <f t="shared" si="80"/>
        <v>5.2080504320709009</v>
      </c>
      <c r="R815" s="3">
        <f t="shared" si="75"/>
        <v>0.71342040614687574</v>
      </c>
      <c r="S815" s="3">
        <f t="shared" si="76"/>
        <v>-1.3194814603067475</v>
      </c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</row>
    <row r="816" spans="1:100" x14ac:dyDescent="0.2">
      <c r="A816" s="32"/>
      <c r="F816" s="3"/>
      <c r="G816" s="3"/>
      <c r="H816" s="3"/>
      <c r="M816" s="1">
        <f t="shared" si="77"/>
        <v>24.420000000000169</v>
      </c>
      <c r="N816" s="1">
        <f t="shared" si="78"/>
        <v>-7.3456693774552493</v>
      </c>
      <c r="O816" s="1">
        <f t="shared" si="79"/>
        <v>2.1292445407484846</v>
      </c>
      <c r="P816" s="1">
        <f t="shared" si="80"/>
        <v>5.2719277682933559</v>
      </c>
      <c r="R816" s="3">
        <f t="shared" si="75"/>
        <v>0.79619306570555248</v>
      </c>
      <c r="S816" s="3">
        <f t="shared" si="76"/>
        <v>-1.2712500155840289</v>
      </c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</row>
    <row r="817" spans="1:100" x14ac:dyDescent="0.2">
      <c r="A817" s="32"/>
      <c r="F817" s="3"/>
      <c r="G817" s="3"/>
      <c r="H817" s="3"/>
      <c r="M817" s="1">
        <f t="shared" si="77"/>
        <v>24.45000000000017</v>
      </c>
      <c r="N817" s="1">
        <f t="shared" si="78"/>
        <v>-8.1535626657228875</v>
      </c>
      <c r="O817" s="1">
        <f t="shared" si="79"/>
        <v>1.8846376607767978</v>
      </c>
      <c r="P817" s="1">
        <f t="shared" si="80"/>
        <v>5.3284668981166599</v>
      </c>
      <c r="R817" s="3">
        <f t="shared" si="75"/>
        <v>0.8667579022655767</v>
      </c>
      <c r="S817" s="3">
        <f t="shared" si="76"/>
        <v>-1.2242265880384142</v>
      </c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</row>
    <row r="818" spans="1:100" x14ac:dyDescent="0.2">
      <c r="A818" s="32"/>
      <c r="F818" s="3"/>
      <c r="G818" s="3"/>
      <c r="H818" s="3"/>
      <c r="M818" s="1">
        <f t="shared" si="77"/>
        <v>24.480000000000171</v>
      </c>
      <c r="N818" s="1">
        <f t="shared" si="78"/>
        <v>-8.8371964121256781</v>
      </c>
      <c r="O818" s="1">
        <f t="shared" si="79"/>
        <v>1.6195217684130276</v>
      </c>
      <c r="P818" s="1">
        <f t="shared" si="80"/>
        <v>5.3770525511690508</v>
      </c>
      <c r="R818" s="3">
        <f t="shared" si="75"/>
        <v>0.9251915340232294</v>
      </c>
      <c r="S818" s="3">
        <f t="shared" si="76"/>
        <v>-1.1806865059666531</v>
      </c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</row>
    <row r="819" spans="1:100" x14ac:dyDescent="0.2">
      <c r="A819" s="32"/>
      <c r="F819" s="3"/>
      <c r="G819" s="3"/>
      <c r="H819" s="3"/>
      <c r="M819" s="1">
        <f t="shared" si="77"/>
        <v>24.510000000000172</v>
      </c>
      <c r="N819" s="1">
        <f t="shared" si="78"/>
        <v>-9.3976722993894661</v>
      </c>
      <c r="O819" s="1">
        <f t="shared" si="79"/>
        <v>1.3375915994313436</v>
      </c>
      <c r="P819" s="1">
        <f t="shared" si="80"/>
        <v>5.4171802991519913</v>
      </c>
      <c r="R819" s="3">
        <f t="shared" si="75"/>
        <v>0.97181232208358903</v>
      </c>
      <c r="S819" s="3">
        <f t="shared" si="76"/>
        <v>-1.142620151514274</v>
      </c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</row>
    <row r="820" spans="1:100" x14ac:dyDescent="0.2">
      <c r="A820" s="32"/>
      <c r="F820" s="3"/>
      <c r="G820" s="3"/>
      <c r="H820" s="3"/>
      <c r="M820" s="1">
        <f t="shared" si="77"/>
        <v>24.540000000000173</v>
      </c>
      <c r="N820" s="1">
        <f t="shared" si="78"/>
        <v>-9.8385064647847109</v>
      </c>
      <c r="O820" s="1">
        <f t="shared" si="79"/>
        <v>1.0424364054878024</v>
      </c>
      <c r="P820" s="1">
        <f t="shared" si="80"/>
        <v>5.4484533913166251</v>
      </c>
      <c r="R820" s="3">
        <f t="shared" si="75"/>
        <v>1.0070645825619429</v>
      </c>
      <c r="S820" s="3">
        <f t="shared" si="76"/>
        <v>-1.1116748295024672</v>
      </c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</row>
    <row r="821" spans="1:100" x14ac:dyDescent="0.2">
      <c r="A821" s="32"/>
      <c r="F821" s="3"/>
      <c r="G821" s="3"/>
      <c r="H821" s="3"/>
      <c r="M821" s="1">
        <f t="shared" si="77"/>
        <v>24.570000000000174</v>
      </c>
      <c r="N821" s="1">
        <f t="shared" si="78"/>
        <v>-10.164465102113331</v>
      </c>
      <c r="O821" s="1">
        <f t="shared" si="79"/>
        <v>0.73750245242440249</v>
      </c>
      <c r="P821" s="1">
        <f t="shared" si="80"/>
        <v>5.470578464889357</v>
      </c>
      <c r="R821" s="3">
        <f t="shared" si="75"/>
        <v>1.031411984802207</v>
      </c>
      <c r="S821" s="3">
        <f t="shared" si="76"/>
        <v>-1.0891231875258058</v>
      </c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</row>
    <row r="822" spans="1:100" x14ac:dyDescent="0.2">
      <c r="A822" s="32"/>
      <c r="F822" s="3"/>
      <c r="G822" s="3"/>
      <c r="H822" s="3"/>
      <c r="M822" s="1">
        <f t="shared" si="77"/>
        <v>24.600000000000176</v>
      </c>
      <c r="N822" s="1">
        <f t="shared" si="78"/>
        <v>-10.380495068740267</v>
      </c>
      <c r="O822" s="1">
        <f t="shared" si="79"/>
        <v>0.42608760036219451</v>
      </c>
      <c r="P822" s="1">
        <f t="shared" si="80"/>
        <v>5.483361092900223</v>
      </c>
      <c r="R822" s="3">
        <f t="shared" si="75"/>
        <v>1.04524919930936</v>
      </c>
      <c r="S822" s="3">
        <f t="shared" si="76"/>
        <v>-1.0758504130887072</v>
      </c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</row>
    <row r="823" spans="1:100" x14ac:dyDescent="0.2">
      <c r="A823" s="32"/>
      <c r="F823" s="3"/>
      <c r="G823" s="3"/>
      <c r="H823" s="3"/>
      <c r="M823" s="1">
        <f t="shared" si="77"/>
        <v>24.630000000000177</v>
      </c>
      <c r="N823" s="1">
        <f t="shared" si="78"/>
        <v>-10.490839877126199</v>
      </c>
      <c r="O823" s="1">
        <f t="shared" si="79"/>
        <v>0.11136240404840858</v>
      </c>
      <c r="P823" s="1">
        <f t="shared" si="80"/>
        <v>5.4867019650216751</v>
      </c>
      <c r="R823" s="3">
        <f t="shared" si="75"/>
        <v>1.0488376380444444</v>
      </c>
      <c r="S823" s="3">
        <f t="shared" si="76"/>
        <v>-1.0723523716677046</v>
      </c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</row>
    <row r="824" spans="1:100" x14ac:dyDescent="0.2">
      <c r="A824" s="32"/>
      <c r="F824" s="3"/>
      <c r="G824" s="3"/>
      <c r="H824" s="3"/>
      <c r="M824" s="1">
        <f t="shared" si="77"/>
        <v>24.660000000000178</v>
      </c>
      <c r="N824" s="1">
        <f t="shared" si="78"/>
        <v>-10.498398996808799</v>
      </c>
      <c r="O824" s="1">
        <f t="shared" si="79"/>
        <v>-0.20358956585585536</v>
      </c>
      <c r="P824" s="1">
        <f t="shared" si="80"/>
        <v>5.4805942780459995</v>
      </c>
      <c r="R824" s="3">
        <f t="shared" si="75"/>
        <v>1.04226852337642</v>
      </c>
      <c r="S824" s="3">
        <f t="shared" si="76"/>
        <v>-1.0787383024527948</v>
      </c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</row>
    <row r="825" spans="1:100" x14ac:dyDescent="0.2">
      <c r="A825" s="32"/>
      <c r="F825" s="3"/>
      <c r="G825" s="3"/>
      <c r="H825" s="3"/>
      <c r="M825" s="1">
        <f t="shared" si="77"/>
        <v>24.690000000000179</v>
      </c>
      <c r="N825" s="1">
        <f t="shared" si="78"/>
        <v>-10.404362172837171</v>
      </c>
      <c r="O825" s="1">
        <f t="shared" si="79"/>
        <v>-0.51572043104097043</v>
      </c>
      <c r="P825" s="1">
        <f t="shared" si="80"/>
        <v>5.4651226651147704</v>
      </c>
      <c r="R825" s="3">
        <f t="shared" si="75"/>
        <v>1.0254546259011914</v>
      </c>
      <c r="S825" s="3">
        <f t="shared" si="76"/>
        <v>-1.0947341276391485</v>
      </c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</row>
    <row r="826" spans="1:100" x14ac:dyDescent="0.2">
      <c r="A826" s="32"/>
      <c r="F826" s="3"/>
      <c r="G826" s="3"/>
      <c r="H826" s="3"/>
      <c r="M826" s="1">
        <f t="shared" si="77"/>
        <v>24.72000000000018</v>
      </c>
      <c r="N826" s="1">
        <f t="shared" si="78"/>
        <v>-10.208131420218226</v>
      </c>
      <c r="O826" s="1">
        <f t="shared" si="79"/>
        <v>-0.82196437364751729</v>
      </c>
      <c r="P826" s="1">
        <f t="shared" si="80"/>
        <v>5.4404637339053448</v>
      </c>
      <c r="R826" s="3">
        <f t="shared" si="75"/>
        <v>0.99815063339236321</v>
      </c>
      <c r="S826" s="3">
        <f t="shared" si="76"/>
        <v>-1.1196853634206458</v>
      </c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</row>
    <row r="827" spans="1:100" x14ac:dyDescent="0.2">
      <c r="A827" s="32"/>
      <c r="F827" s="3"/>
      <c r="G827" s="3"/>
      <c r="H827" s="3"/>
      <c r="M827" s="1">
        <f t="shared" si="77"/>
        <v>24.750000000000181</v>
      </c>
      <c r="N827" s="1">
        <f t="shared" si="78"/>
        <v>-9.9075295402953554</v>
      </c>
      <c r="O827" s="1">
        <f t="shared" si="79"/>
        <v>-1.1191902598563779</v>
      </c>
      <c r="P827" s="1">
        <f t="shared" si="80"/>
        <v>5.4068880261096535</v>
      </c>
      <c r="R827" s="3">
        <f t="shared" si="75"/>
        <v>0.96000089911177167</v>
      </c>
      <c r="S827" s="3">
        <f t="shared" si="76"/>
        <v>-1.1525616138430907</v>
      </c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</row>
    <row r="828" spans="1:100" x14ac:dyDescent="0.2">
      <c r="A828" s="32"/>
      <c r="F828" s="3"/>
      <c r="G828" s="3"/>
      <c r="H828" s="3"/>
      <c r="M828" s="1">
        <f t="shared" si="77"/>
        <v>24.780000000000182</v>
      </c>
      <c r="N828" s="1">
        <f t="shared" si="78"/>
        <v>-9.4992818677306428</v>
      </c>
      <c r="O828" s="1">
        <f t="shared" si="79"/>
        <v>-1.4041687158882972</v>
      </c>
      <c r="P828" s="1">
        <f t="shared" si="80"/>
        <v>5.3647629646330044</v>
      </c>
      <c r="R828" s="3">
        <f t="shared" si="75"/>
        <v>0.91061188350693179</v>
      </c>
      <c r="S828" s="3">
        <f t="shared" si="76"/>
        <v>-1.1919672804301122</v>
      </c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</row>
    <row r="829" spans="1:100" x14ac:dyDescent="0.2">
      <c r="A829" s="32"/>
      <c r="F829" s="3"/>
      <c r="G829" s="3"/>
      <c r="H829" s="3"/>
      <c r="M829" s="1">
        <f t="shared" si="77"/>
        <v>24.810000000000183</v>
      </c>
      <c r="N829" s="1">
        <f t="shared" si="78"/>
        <v>-8.9797436506393709</v>
      </c>
      <c r="O829" s="1">
        <f t="shared" si="79"/>
        <v>-1.6735610254074782</v>
      </c>
      <c r="P829" s="1">
        <f t="shared" si="80"/>
        <v>5.3145561338707799</v>
      </c>
      <c r="R829" s="3">
        <f t="shared" si="75"/>
        <v>0.8496446625203038</v>
      </c>
      <c r="S829" s="3">
        <f t="shared" si="76"/>
        <v>-1.2361650162703843</v>
      </c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</row>
    <row r="830" spans="1:100" x14ac:dyDescent="0.2">
      <c r="A830" s="32"/>
      <c r="F830" s="3"/>
      <c r="G830" s="3"/>
      <c r="H830" s="3"/>
      <c r="M830" s="1">
        <f t="shared" si="77"/>
        <v>24.840000000000185</v>
      </c>
      <c r="N830" s="1">
        <f t="shared" si="78"/>
        <v>-8.3458261329163648</v>
      </c>
      <c r="O830" s="1">
        <f t="shared" si="79"/>
        <v>-1.923935809394969</v>
      </c>
      <c r="P830" s="1">
        <f t="shared" si="80"/>
        <v>5.2568380595889304</v>
      </c>
      <c r="R830" s="3">
        <f t="shared" si="75"/>
        <v>0.77692035667100301</v>
      </c>
      <c r="S830" s="3">
        <f t="shared" si="76"/>
        <v>-1.2831191524524141</v>
      </c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</row>
    <row r="831" spans="1:100" x14ac:dyDescent="0.2">
      <c r="A831" s="32"/>
      <c r="F831" s="3"/>
      <c r="G831" s="3"/>
      <c r="H831" s="3"/>
      <c r="M831" s="1">
        <f t="shared" si="77"/>
        <v>24.870000000000186</v>
      </c>
      <c r="N831" s="1">
        <f t="shared" si="78"/>
        <v>-7.5960493438644834</v>
      </c>
      <c r="O831" s="1">
        <f t="shared" si="79"/>
        <v>-2.1518172897109036</v>
      </c>
      <c r="P831" s="1">
        <f t="shared" si="80"/>
        <v>5.1922835408976029</v>
      </c>
      <c r="R831" s="3">
        <f t="shared" si="75"/>
        <v>0.69252847302755693</v>
      </c>
      <c r="S831" s="3">
        <f t="shared" si="76"/>
        <v>-1.3305654114120509</v>
      </c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</row>
    <row r="832" spans="1:100" x14ac:dyDescent="0.2">
      <c r="A832" s="32"/>
      <c r="F832" s="3"/>
      <c r="G832" s="3"/>
      <c r="H832" s="3"/>
      <c r="M832" s="1">
        <f t="shared" si="77"/>
        <v>24.900000000000187</v>
      </c>
      <c r="N832" s="1">
        <f t="shared" si="78"/>
        <v>-6.7316211742015879</v>
      </c>
      <c r="O832" s="1">
        <f t="shared" si="79"/>
        <v>-2.3537659249369511</v>
      </c>
      <c r="P832" s="1">
        <f t="shared" si="80"/>
        <v>5.1216705631494941</v>
      </c>
      <c r="R832" s="3">
        <f t="shared" si="75"/>
        <v>0.59692552465417525</v>
      </c>
      <c r="S832" s="3">
        <f t="shared" si="76"/>
        <v>-1.3761104308943877</v>
      </c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</row>
    <row r="833" spans="1:100" x14ac:dyDescent="0.2">
      <c r="A833" s="32"/>
      <c r="F833" s="3"/>
      <c r="G833" s="3"/>
      <c r="H833" s="3"/>
      <c r="M833" s="1">
        <f t="shared" si="77"/>
        <v>24.930000000000188</v>
      </c>
      <c r="N833" s="1">
        <f t="shared" si="78"/>
        <v>-5.7574163132974263</v>
      </c>
      <c r="O833" s="1">
        <f t="shared" si="79"/>
        <v>-2.5264884143358741</v>
      </c>
      <c r="P833" s="1">
        <f t="shared" si="80"/>
        <v>5.0458759107194178</v>
      </c>
      <c r="R833" s="3">
        <f t="shared" si="75"/>
        <v>0.49100975323408125</v>
      </c>
      <c r="S833" s="3">
        <f t="shared" si="76"/>
        <v>-1.417360018565857</v>
      </c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</row>
    <row r="834" spans="1:100" x14ac:dyDescent="0.2">
      <c r="A834" s="32"/>
      <c r="F834" s="3"/>
      <c r="G834" s="3"/>
      <c r="H834" s="3"/>
      <c r="M834" s="1">
        <f t="shared" si="77"/>
        <v>24.960000000000189</v>
      </c>
      <c r="N834" s="1">
        <f t="shared" si="78"/>
        <v>-4.6827135750505837</v>
      </c>
      <c r="O834" s="1">
        <f t="shared" si="79"/>
        <v>-2.6669698215873918</v>
      </c>
      <c r="P834" s="1">
        <f t="shared" si="80"/>
        <v>4.965866816071796</v>
      </c>
      <c r="R834" s="3">
        <f t="shared" ref="R834:R897" si="81">$B$3*COS(P834)</f>
        <v>0.37615826166498734</v>
      </c>
      <c r="S834" s="3">
        <f t="shared" ref="S834:S897" si="82">$B$3*SIN(P834)</f>
        <v>-1.4520692002040314</v>
      </c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</row>
    <row r="835" spans="1:100" x14ac:dyDescent="0.2">
      <c r="A835" s="32"/>
      <c r="F835" s="3"/>
      <c r="G835" s="3"/>
      <c r="H835" s="3"/>
      <c r="M835" s="1">
        <f t="shared" ref="M835:M898" si="83">M834+B$13</f>
        <v>24.99000000000019</v>
      </c>
      <c r="N835" s="1">
        <f t="shared" ref="N835:N898" si="84">-$B$12*$B$3*COS(P834)-B$10*O834</f>
        <v>-3.5215553327070079</v>
      </c>
      <c r="O835" s="1">
        <f t="shared" ref="O835:O898" si="85">N835*$B$13+O834</f>
        <v>-2.7726164815686021</v>
      </c>
      <c r="P835" s="1">
        <f t="shared" ref="P835:P898" si="86">O835*$B$13+P834</f>
        <v>4.8826883216247383</v>
      </c>
      <c r="R835" s="3">
        <f t="shared" si="81"/>
        <v>0.25421605147362364</v>
      </c>
      <c r="S835" s="3">
        <f t="shared" si="82"/>
        <v>-1.4783011192491062</v>
      </c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</row>
    <row r="836" spans="1:100" x14ac:dyDescent="0.2">
      <c r="A836" s="32"/>
      <c r="F836" s="3"/>
      <c r="G836" s="3"/>
      <c r="H836" s="3"/>
      <c r="M836" s="1">
        <f t="shared" si="83"/>
        <v>25.020000000000191</v>
      </c>
      <c r="N836" s="1">
        <f t="shared" si="84"/>
        <v>-2.2926250313950622</v>
      </c>
      <c r="O836" s="1">
        <f t="shared" si="85"/>
        <v>-2.8413952325104539</v>
      </c>
      <c r="P836" s="1">
        <f t="shared" si="86"/>
        <v>4.7974464646494246</v>
      </c>
      <c r="R836" s="3">
        <f t="shared" si="81"/>
        <v>0.12743243908491425</v>
      </c>
      <c r="S836" s="3">
        <f t="shared" si="82"/>
        <v>-1.4945771888627464</v>
      </c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</row>
    <row r="837" spans="1:100" x14ac:dyDescent="0.2">
      <c r="A837" s="32"/>
      <c r="F837" s="3"/>
      <c r="G837" s="3"/>
      <c r="H837" s="3"/>
      <c r="M837" s="1">
        <f t="shared" si="83"/>
        <v>25.050000000000193</v>
      </c>
      <c r="N837" s="1">
        <f t="shared" si="84"/>
        <v>-1.0185988199232017</v>
      </c>
      <c r="O837" s="1">
        <f t="shared" si="85"/>
        <v>-2.8719531971081498</v>
      </c>
      <c r="P837" s="1">
        <f t="shared" si="86"/>
        <v>4.7112878687361803</v>
      </c>
      <c r="R837" s="3">
        <f t="shared" si="81"/>
        <v>-1.6516671390044728E-3</v>
      </c>
      <c r="S837" s="3">
        <f t="shared" si="82"/>
        <v>-1.4999990906649452</v>
      </c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</row>
    <row r="838" spans="1:100" x14ac:dyDescent="0.2">
      <c r="A838" s="32"/>
      <c r="F838" s="3"/>
      <c r="G838" s="3"/>
      <c r="H838" s="3"/>
      <c r="M838" s="1">
        <f t="shared" si="83"/>
        <v>25.080000000000194</v>
      </c>
      <c r="N838" s="1">
        <f t="shared" si="84"/>
        <v>0.27499245912977821</v>
      </c>
      <c r="O838" s="1">
        <f t="shared" si="85"/>
        <v>-2.8637034233342566</v>
      </c>
      <c r="P838" s="1">
        <f t="shared" si="86"/>
        <v>4.6253767660361529</v>
      </c>
      <c r="R838" s="3">
        <f t="shared" si="81"/>
        <v>-0.1303536887603918</v>
      </c>
      <c r="S838" s="3">
        <f t="shared" si="82"/>
        <v>-1.4943252376328786</v>
      </c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</row>
    <row r="839" spans="1:100" x14ac:dyDescent="0.2">
      <c r="A839" s="32"/>
      <c r="F839" s="3"/>
      <c r="G839" s="3"/>
      <c r="H839" s="3"/>
      <c r="M839" s="1">
        <f t="shared" si="83"/>
        <v>25.110000000000195</v>
      </c>
      <c r="N839" s="1">
        <f t="shared" si="84"/>
        <v>1.5612701957040009</v>
      </c>
      <c r="O839" s="1">
        <f t="shared" si="85"/>
        <v>-2.8168653174631366</v>
      </c>
      <c r="P839" s="1">
        <f t="shared" si="86"/>
        <v>4.5408708065122587</v>
      </c>
      <c r="R839" s="3">
        <f t="shared" si="81"/>
        <v>-0.25601766384645652</v>
      </c>
      <c r="S839" s="3">
        <f t="shared" si="82"/>
        <v>-1.4779901744594255</v>
      </c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</row>
    <row r="840" spans="1:100" x14ac:dyDescent="0.2">
      <c r="A840" s="32"/>
      <c r="F840" s="3"/>
      <c r="G840" s="3"/>
      <c r="H840" s="3"/>
      <c r="M840" s="1">
        <f t="shared" si="83"/>
        <v>25.140000000000196</v>
      </c>
      <c r="N840" s="1">
        <f t="shared" si="84"/>
        <v>2.8136945170362475</v>
      </c>
      <c r="O840" s="1">
        <f t="shared" si="85"/>
        <v>-2.7324544819520491</v>
      </c>
      <c r="P840" s="1">
        <f t="shared" si="86"/>
        <v>4.458897172053697</v>
      </c>
      <c r="R840" s="3">
        <f t="shared" si="81"/>
        <v>-0.37617855087410035</v>
      </c>
      <c r="S840" s="3">
        <f t="shared" si="82"/>
        <v>-1.452063944136849</v>
      </c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</row>
    <row r="841" spans="1:100" x14ac:dyDescent="0.2">
      <c r="A841" s="32"/>
      <c r="F841" s="3"/>
      <c r="G841" s="3"/>
      <c r="H841" s="3"/>
      <c r="M841" s="1">
        <f t="shared" si="83"/>
        <v>25.170000000000197</v>
      </c>
      <c r="N841" s="1">
        <f t="shared" si="84"/>
        <v>4.0077064121166881</v>
      </c>
      <c r="O841" s="1">
        <f t="shared" si="85"/>
        <v>-2.6122232895885484</v>
      </c>
      <c r="P841" s="1">
        <f t="shared" si="86"/>
        <v>4.3805304733660408</v>
      </c>
      <c r="R841" s="3">
        <f t="shared" si="81"/>
        <v>-0.48870104113216184</v>
      </c>
      <c r="S841" s="3">
        <f t="shared" si="82"/>
        <v>-1.4181577106924113</v>
      </c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</row>
    <row r="842" spans="1:100" x14ac:dyDescent="0.2">
      <c r="A842" s="32"/>
      <c r="F842" s="3"/>
      <c r="G842" s="3"/>
      <c r="H842" s="3"/>
      <c r="M842" s="1">
        <f t="shared" si="83"/>
        <v>25.200000000000198</v>
      </c>
      <c r="N842" s="1">
        <f t="shared" si="84"/>
        <v>5.1221105073845878</v>
      </c>
      <c r="O842" s="1">
        <f t="shared" si="85"/>
        <v>-2.4585599743670108</v>
      </c>
      <c r="P842" s="1">
        <f t="shared" si="86"/>
        <v>4.3067736741350302</v>
      </c>
      <c r="R842" s="3">
        <f t="shared" si="81"/>
        <v>-0.59187632279407321</v>
      </c>
      <c r="S842" s="3">
        <f t="shared" si="82"/>
        <v>-1.3782896714826554</v>
      </c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</row>
    <row r="843" spans="1:100" x14ac:dyDescent="0.2">
      <c r="A843" s="32"/>
      <c r="F843" s="3"/>
      <c r="G843" s="3"/>
      <c r="H843" s="3"/>
      <c r="M843" s="1">
        <f t="shared" si="83"/>
        <v>25.230000000000199</v>
      </c>
      <c r="N843" s="1">
        <f t="shared" si="84"/>
        <v>6.1400336256337633</v>
      </c>
      <c r="O843" s="1">
        <f t="shared" si="85"/>
        <v>-2.2743589655979979</v>
      </c>
      <c r="P843" s="1">
        <f t="shared" si="86"/>
        <v>4.2385429051670904</v>
      </c>
      <c r="R843" s="3">
        <f t="shared" si="81"/>
        <v>-0.6844679490204979</v>
      </c>
      <c r="S843" s="3">
        <f t="shared" si="82"/>
        <v>-1.3347297954131665</v>
      </c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</row>
    <row r="844" spans="1:100" x14ac:dyDescent="0.2">
      <c r="A844" s="32"/>
      <c r="F844" s="3"/>
      <c r="G844" s="3"/>
      <c r="H844" s="3"/>
      <c r="M844" s="1">
        <f t="shared" si="83"/>
        <v>25.260000000000201</v>
      </c>
      <c r="N844" s="1">
        <f t="shared" si="84"/>
        <v>7.0493717971087992</v>
      </c>
      <c r="O844" s="1">
        <f t="shared" si="85"/>
        <v>-2.0628778116847339</v>
      </c>
      <c r="P844" s="1">
        <f t="shared" si="86"/>
        <v>4.1766565708165482</v>
      </c>
      <c r="R844" s="3">
        <f t="shared" si="81"/>
        <v>-0.76570645740329479</v>
      </c>
      <c r="S844" s="3">
        <f t="shared" si="82"/>
        <v>-1.2898424791775529</v>
      </c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</row>
    <row r="845" spans="1:100" x14ac:dyDescent="0.2">
      <c r="A845" s="32"/>
      <c r="F845" s="3"/>
      <c r="G845" s="3"/>
      <c r="H845" s="3"/>
      <c r="M845" s="1">
        <f t="shared" si="83"/>
        <v>25.290000000000202</v>
      </c>
      <c r="N845" s="1">
        <f t="shared" si="84"/>
        <v>7.8427235770845742</v>
      </c>
      <c r="O845" s="1">
        <f t="shared" si="85"/>
        <v>-1.8275961043721967</v>
      </c>
      <c r="P845" s="1">
        <f t="shared" si="86"/>
        <v>4.1218286876853822</v>
      </c>
      <c r="R845" s="3">
        <f t="shared" si="81"/>
        <v>-0.83523975833378716</v>
      </c>
      <c r="S845" s="3">
        <f t="shared" si="82"/>
        <v>-1.2459432355041367</v>
      </c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</row>
    <row r="846" spans="1:100" x14ac:dyDescent="0.2">
      <c r="A846" s="32"/>
      <c r="F846" s="3"/>
      <c r="G846" s="3"/>
      <c r="H846" s="3"/>
      <c r="M846" s="1">
        <f t="shared" si="83"/>
        <v>25.320000000000203</v>
      </c>
      <c r="N846" s="1">
        <f t="shared" si="84"/>
        <v>8.5168812327313699</v>
      </c>
      <c r="O846" s="1">
        <f t="shared" si="85"/>
        <v>-1.5720896673902556</v>
      </c>
      <c r="P846" s="1">
        <f t="shared" si="86"/>
        <v>4.0746659976636748</v>
      </c>
      <c r="R846" s="3">
        <f t="shared" si="81"/>
        <v>-0.89305126330416418</v>
      </c>
      <c r="S846" s="3">
        <f t="shared" si="82"/>
        <v>-1.2051802525393605</v>
      </c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</row>
    <row r="847" spans="1:100" x14ac:dyDescent="0.2">
      <c r="A847" s="32"/>
      <c r="F847" s="3"/>
      <c r="G847" s="3"/>
      <c r="H847" s="3"/>
      <c r="M847" s="1">
        <f t="shared" si="83"/>
        <v>25.350000000000204</v>
      </c>
      <c r="N847" s="1">
        <f t="shared" si="84"/>
        <v>9.0720007031067649</v>
      </c>
      <c r="O847" s="1">
        <f t="shared" si="85"/>
        <v>-1.2999296462970527</v>
      </c>
      <c r="P847" s="1">
        <f t="shared" si="86"/>
        <v>4.0356681082747627</v>
      </c>
      <c r="R847" s="3">
        <f t="shared" si="81"/>
        <v>-0.93935983139601031</v>
      </c>
      <c r="S847" s="3">
        <f t="shared" si="82"/>
        <v>-1.1694456409597065</v>
      </c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</row>
    <row r="848" spans="1:100" x14ac:dyDescent="0.2">
      <c r="A848" s="32"/>
      <c r="F848" s="3"/>
      <c r="G848" s="3"/>
      <c r="H848" s="3"/>
      <c r="M848" s="1">
        <f t="shared" si="83"/>
        <v>25.380000000000205</v>
      </c>
      <c r="N848" s="1">
        <f t="shared" si="84"/>
        <v>9.5105919821268383</v>
      </c>
      <c r="O848" s="1">
        <f t="shared" si="85"/>
        <v>-1.0146118868332474</v>
      </c>
      <c r="P848" s="1">
        <f t="shared" si="86"/>
        <v>4.0052297516697655</v>
      </c>
      <c r="R848" s="3">
        <f t="shared" si="81"/>
        <v>-0.97451521670494567</v>
      </c>
      <c r="S848" s="3">
        <f t="shared" si="82"/>
        <v>-1.1403157862673448</v>
      </c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</row>
    <row r="849" spans="1:100" x14ac:dyDescent="0.2">
      <c r="A849" s="32"/>
      <c r="F849" s="3"/>
      <c r="G849" s="3"/>
      <c r="H849" s="3"/>
      <c r="M849" s="1">
        <f t="shared" si="83"/>
        <v>25.410000000000206</v>
      </c>
      <c r="N849" s="1">
        <f t="shared" si="84"/>
        <v>9.8364672368644488</v>
      </c>
      <c r="O849" s="1">
        <f t="shared" si="85"/>
        <v>-0.71951786972731391</v>
      </c>
      <c r="P849" s="1">
        <f t="shared" si="86"/>
        <v>3.9836442155779461</v>
      </c>
      <c r="R849" s="3">
        <f t="shared" si="81"/>
        <v>-0.99890061112414497</v>
      </c>
      <c r="S849" s="3">
        <f t="shared" si="82"/>
        <v>-1.1190163399592561</v>
      </c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</row>
    <row r="850" spans="1:100" x14ac:dyDescent="0.2">
      <c r="A850" s="32"/>
      <c r="F850" s="3"/>
      <c r="G850" s="3"/>
      <c r="H850" s="3"/>
      <c r="M850" s="1">
        <f t="shared" si="83"/>
        <v>25.440000000000207</v>
      </c>
      <c r="N850" s="1">
        <f t="shared" si="84"/>
        <v>10.053762719516907</v>
      </c>
      <c r="O850" s="1">
        <f t="shared" si="85"/>
        <v>-0.41790498814180671</v>
      </c>
      <c r="P850" s="1">
        <f t="shared" si="86"/>
        <v>3.9711070659336918</v>
      </c>
      <c r="R850" s="3">
        <f t="shared" si="81"/>
        <v>-1.0128510162836357</v>
      </c>
      <c r="S850" s="3">
        <f t="shared" si="82"/>
        <v>-1.1064053591759242</v>
      </c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</row>
    <row r="851" spans="1:100" x14ac:dyDescent="0.2">
      <c r="A851" s="32"/>
      <c r="F851" s="3"/>
      <c r="G851" s="3"/>
      <c r="H851" s="3"/>
      <c r="M851" s="1">
        <f t="shared" si="83"/>
        <v>25.470000000000208</v>
      </c>
      <c r="N851" s="1">
        <f t="shared" si="84"/>
        <v>10.166121611769121</v>
      </c>
      <c r="O851" s="1">
        <f t="shared" si="85"/>
        <v>-0.11292133978873309</v>
      </c>
      <c r="P851" s="1">
        <f t="shared" si="86"/>
        <v>3.9677194257400297</v>
      </c>
      <c r="R851" s="3">
        <f t="shared" si="81"/>
        <v>-1.0165933005926331</v>
      </c>
      <c r="S851" s="3">
        <f t="shared" si="82"/>
        <v>-1.1029678423191567</v>
      </c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</row>
    <row r="852" spans="1:100" x14ac:dyDescent="0.2">
      <c r="A852" s="32"/>
      <c r="F852" s="3"/>
      <c r="G852" s="3"/>
      <c r="H852" s="3"/>
      <c r="M852" s="1">
        <f t="shared" si="83"/>
        <v>25.50000000000021</v>
      </c>
      <c r="N852" s="1">
        <f t="shared" si="84"/>
        <v>10.176095926507317</v>
      </c>
      <c r="O852" s="1">
        <f t="shared" si="85"/>
        <v>0.19236153800648642</v>
      </c>
      <c r="P852" s="1">
        <f t="shared" si="86"/>
        <v>3.9734902718802241</v>
      </c>
      <c r="R852" s="3">
        <f t="shared" si="81"/>
        <v>-1.0102113506196899</v>
      </c>
      <c r="S852" s="3">
        <f t="shared" si="82"/>
        <v>-1.1088160474484221</v>
      </c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</row>
    <row r="853" spans="1:100" x14ac:dyDescent="0.2">
      <c r="A853" s="32"/>
      <c r="F853" s="3"/>
      <c r="G853" s="3"/>
      <c r="H853" s="3"/>
      <c r="M853" s="1">
        <f t="shared" si="83"/>
        <v>25.530000000000211</v>
      </c>
      <c r="N853" s="1">
        <f t="shared" si="84"/>
        <v>10.084800967776317</v>
      </c>
      <c r="O853" s="1">
        <f t="shared" si="85"/>
        <v>0.49490556703977595</v>
      </c>
      <c r="P853" s="1">
        <f t="shared" si="86"/>
        <v>3.9883374388914175</v>
      </c>
      <c r="R853" s="3">
        <f t="shared" si="81"/>
        <v>-0.99363783578432507</v>
      </c>
      <c r="S853" s="3">
        <f t="shared" si="82"/>
        <v>-1.1236920624876918</v>
      </c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</row>
    <row r="854" spans="1:100" x14ac:dyDescent="0.2">
      <c r="A854" s="32"/>
      <c r="F854" s="3"/>
      <c r="G854" s="3"/>
      <c r="H854" s="3"/>
      <c r="M854" s="1">
        <f t="shared" si="83"/>
        <v>25.560000000000212</v>
      </c>
      <c r="N854" s="1">
        <f t="shared" si="84"/>
        <v>9.8918368568096717</v>
      </c>
      <c r="O854" s="1">
        <f t="shared" si="85"/>
        <v>0.79166067274406604</v>
      </c>
      <c r="P854" s="1">
        <f t="shared" si="86"/>
        <v>4.0120872590737395</v>
      </c>
      <c r="R854" s="3">
        <f t="shared" si="81"/>
        <v>-0.9666726406472812</v>
      </c>
      <c r="S854" s="3">
        <f t="shared" si="82"/>
        <v>-1.1469716674024744</v>
      </c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</row>
    <row r="855" spans="1:100" x14ac:dyDescent="0.2">
      <c r="A855" s="32"/>
      <c r="F855" s="3"/>
      <c r="G855" s="3"/>
      <c r="H855" s="3"/>
      <c r="M855" s="1">
        <f t="shared" si="83"/>
        <v>25.590000000000213</v>
      </c>
      <c r="N855" s="1">
        <f t="shared" si="84"/>
        <v>9.5954769459258475</v>
      </c>
      <c r="O855" s="1">
        <f t="shared" si="85"/>
        <v>1.0795249811218415</v>
      </c>
      <c r="P855" s="1">
        <f t="shared" si="86"/>
        <v>4.0444730085073948</v>
      </c>
      <c r="R855" s="3">
        <f t="shared" si="81"/>
        <v>-0.92902669994961995</v>
      </c>
      <c r="S855" s="3">
        <f t="shared" si="82"/>
        <v>-1.1776711726032523</v>
      </c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</row>
    <row r="856" spans="1:100" x14ac:dyDescent="0.2">
      <c r="A856" s="32"/>
      <c r="F856" s="3"/>
      <c r="G856" s="3"/>
      <c r="H856" s="3"/>
      <c r="M856" s="1">
        <f t="shared" si="83"/>
        <v>25.620000000000214</v>
      </c>
      <c r="N856" s="1">
        <f t="shared" si="84"/>
        <v>9.1931097511952338</v>
      </c>
      <c r="O856" s="1">
        <f t="shared" si="85"/>
        <v>1.3553182736576985</v>
      </c>
      <c r="P856" s="1">
        <f t="shared" si="86"/>
        <v>4.0851325567171255</v>
      </c>
      <c r="R856" s="3">
        <f t="shared" si="81"/>
        <v>-0.8803884874028689</v>
      </c>
      <c r="S856" s="3">
        <f t="shared" si="82"/>
        <v>-1.2144612432055988</v>
      </c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</row>
    <row r="857" spans="1:100" x14ac:dyDescent="0.2">
      <c r="A857" s="32"/>
      <c r="F857" s="3"/>
      <c r="G857" s="3"/>
      <c r="H857" s="3"/>
      <c r="M857" s="1">
        <f t="shared" si="83"/>
        <v>25.650000000000215</v>
      </c>
      <c r="N857" s="1">
        <f t="shared" si="84"/>
        <v>8.6819062293994946</v>
      </c>
      <c r="O857" s="1">
        <f t="shared" si="85"/>
        <v>1.6157754605396835</v>
      </c>
      <c r="P857" s="1">
        <f t="shared" si="86"/>
        <v>4.1336058205333162</v>
      </c>
      <c r="R857" s="3">
        <f t="shared" si="81"/>
        <v>-0.82050853496753928</v>
      </c>
      <c r="S857" s="3">
        <f t="shared" si="82"/>
        <v>-1.2556933320064347</v>
      </c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</row>
    <row r="858" spans="1:100" x14ac:dyDescent="0.2">
      <c r="A858" s="32"/>
      <c r="F858" s="3"/>
      <c r="G858" s="3"/>
      <c r="H858" s="3"/>
      <c r="M858" s="1">
        <f t="shared" si="83"/>
        <v>25.680000000000216</v>
      </c>
      <c r="N858" s="1">
        <f t="shared" si="84"/>
        <v>8.059665558226822</v>
      </c>
      <c r="O858" s="1">
        <f t="shared" si="85"/>
        <v>1.8575654272864881</v>
      </c>
      <c r="P858" s="1">
        <f t="shared" si="86"/>
        <v>4.1893327833519107</v>
      </c>
      <c r="R858" s="3">
        <f t="shared" si="81"/>
        <v>-0.7492950594058394</v>
      </c>
      <c r="S858" s="3">
        <f t="shared" si="82"/>
        <v>-1.2994448483679479</v>
      </c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</row>
    <row r="859" spans="1:100" x14ac:dyDescent="0.2">
      <c r="A859" s="32"/>
      <c r="F859" s="3"/>
      <c r="G859" s="3"/>
      <c r="H859" s="3"/>
      <c r="M859" s="1">
        <f t="shared" si="83"/>
        <v>25.710000000000218</v>
      </c>
      <c r="N859" s="1">
        <f t="shared" si="84"/>
        <v>7.3257697056026112</v>
      </c>
      <c r="O859" s="1">
        <f t="shared" si="85"/>
        <v>2.0773385184545665</v>
      </c>
      <c r="P859" s="1">
        <f t="shared" si="86"/>
        <v>4.251652938905548</v>
      </c>
      <c r="R859" s="3">
        <f t="shared" si="81"/>
        <v>-0.66691127768344693</v>
      </c>
      <c r="S859" s="3">
        <f t="shared" si="82"/>
        <v>-1.3435882359185169</v>
      </c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</row>
    <row r="860" spans="1:100" x14ac:dyDescent="0.2">
      <c r="A860" s="32"/>
      <c r="F860" s="3"/>
      <c r="G860" s="3"/>
      <c r="H860" s="3"/>
      <c r="M860" s="1">
        <f t="shared" si="83"/>
        <v>25.740000000000219</v>
      </c>
      <c r="N860" s="1">
        <f t="shared" si="84"/>
        <v>6.4821523101735581</v>
      </c>
      <c r="O860" s="1">
        <f t="shared" si="85"/>
        <v>2.271803087759773</v>
      </c>
      <c r="P860" s="1">
        <f t="shared" si="86"/>
        <v>4.3198070315383408</v>
      </c>
      <c r="R860" s="3">
        <f t="shared" si="81"/>
        <v>-0.57386281964282215</v>
      </c>
      <c r="S860" s="3">
        <f t="shared" si="82"/>
        <v>-1.3858865264629676</v>
      </c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</row>
    <row r="861" spans="1:100" x14ac:dyDescent="0.2">
      <c r="A861" s="32"/>
      <c r="F861" s="3"/>
      <c r="G861" s="3"/>
      <c r="H861" s="3"/>
      <c r="M861" s="1">
        <f t="shared" si="83"/>
        <v>25.77000000000022</v>
      </c>
      <c r="N861" s="1">
        <f t="shared" si="84"/>
        <v>5.5341659185298422</v>
      </c>
      <c r="O861" s="1">
        <f t="shared" si="85"/>
        <v>2.4378280653156681</v>
      </c>
      <c r="P861" s="1">
        <f t="shared" si="86"/>
        <v>4.3929418734978105</v>
      </c>
      <c r="R861" s="3">
        <f t="shared" si="81"/>
        <v>-0.47106253025612865</v>
      </c>
      <c r="S861" s="3">
        <f t="shared" si="82"/>
        <v>-1.4241137920084526</v>
      </c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</row>
    <row r="862" spans="1:100" x14ac:dyDescent="0.2">
      <c r="A862" s="32"/>
      <c r="F862" s="3"/>
      <c r="G862" s="3"/>
      <c r="H862" s="3"/>
      <c r="M862" s="1">
        <f t="shared" si="83"/>
        <v>25.800000000000221</v>
      </c>
      <c r="N862" s="1">
        <f t="shared" si="84"/>
        <v>4.4912207766828764</v>
      </c>
      <c r="O862" s="1">
        <f t="shared" si="85"/>
        <v>2.5725646886161542</v>
      </c>
      <c r="P862" s="1">
        <f t="shared" si="86"/>
        <v>4.4701188141562955</v>
      </c>
      <c r="R862" s="3">
        <f t="shared" si="81"/>
        <v>-0.35986066602237277</v>
      </c>
      <c r="S862" s="3">
        <f t="shared" si="82"/>
        <v>-1.45619377180715</v>
      </c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</row>
    <row r="863" spans="1:100" x14ac:dyDescent="0.2">
      <c r="A863" s="32"/>
      <c r="F863" s="3"/>
      <c r="G863" s="3"/>
      <c r="H863" s="3"/>
      <c r="M863" s="1">
        <f t="shared" si="83"/>
        <v>25.830000000000222</v>
      </c>
      <c r="N863" s="1">
        <f t="shared" si="84"/>
        <v>3.3670758382482737</v>
      </c>
      <c r="O863" s="1">
        <f t="shared" si="85"/>
        <v>2.6735769637636024</v>
      </c>
      <c r="P863" s="1">
        <f t="shared" si="86"/>
        <v>4.5503261230692038</v>
      </c>
      <c r="R863" s="3">
        <f t="shared" si="81"/>
        <v>-0.24203156282068897</v>
      </c>
      <c r="S863" s="3">
        <f t="shared" si="82"/>
        <v>-1.4803447985515317</v>
      </c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</row>
    <row r="864" spans="1:100" x14ac:dyDescent="0.2">
      <c r="A864" s="32"/>
      <c r="F864" s="3"/>
      <c r="G864" s="3"/>
      <c r="H864" s="3"/>
      <c r="M864" s="1">
        <f t="shared" si="83"/>
        <v>25.860000000000223</v>
      </c>
      <c r="N864" s="1">
        <f t="shared" si="84"/>
        <v>2.1796937014681652</v>
      </c>
      <c r="O864" s="1">
        <f t="shared" si="85"/>
        <v>2.7389677748076475</v>
      </c>
      <c r="P864" s="1">
        <f t="shared" si="86"/>
        <v>4.6324951563134329</v>
      </c>
      <c r="R864" s="3">
        <f t="shared" si="81"/>
        <v>-0.11971328575796991</v>
      </c>
      <c r="S864" s="3">
        <f t="shared" si="82"/>
        <v>-1.4952152785512294</v>
      </c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</row>
    <row r="865" spans="1:100" x14ac:dyDescent="0.2">
      <c r="A865" s="32"/>
      <c r="F865" s="3"/>
      <c r="G865" s="3"/>
      <c r="H865" s="3"/>
      <c r="M865" s="1">
        <f t="shared" si="83"/>
        <v>25.890000000000224</v>
      </c>
      <c r="N865" s="1">
        <f t="shared" si="84"/>
        <v>0.95062575784701087</v>
      </c>
      <c r="O865" s="1">
        <f t="shared" si="85"/>
        <v>2.7674865475430579</v>
      </c>
      <c r="P865" s="1">
        <f t="shared" si="86"/>
        <v>4.7155197527397243</v>
      </c>
      <c r="R865" s="3">
        <f t="shared" si="81"/>
        <v>4.6961508608048281E-3</v>
      </c>
      <c r="S865" s="3">
        <f t="shared" si="82"/>
        <v>-1.4999926487043502</v>
      </c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</row>
    <row r="866" spans="1:100" x14ac:dyDescent="0.2">
      <c r="A866" s="32"/>
      <c r="F866" s="3"/>
      <c r="G866" s="3"/>
      <c r="H866" s="3"/>
      <c r="M866" s="1">
        <f t="shared" si="83"/>
        <v>25.920000000000226</v>
      </c>
      <c r="N866" s="1">
        <f t="shared" si="84"/>
        <v>-0.29603529788692345</v>
      </c>
      <c r="O866" s="1">
        <f t="shared" si="85"/>
        <v>2.7586054886064502</v>
      </c>
      <c r="P866" s="1">
        <f t="shared" si="86"/>
        <v>4.7982779173979182</v>
      </c>
      <c r="R866" s="3">
        <f t="shared" si="81"/>
        <v>0.12867506520535968</v>
      </c>
      <c r="S866" s="3">
        <f t="shared" si="82"/>
        <v>-1.4944707182124368</v>
      </c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</row>
    <row r="867" spans="1:100" x14ac:dyDescent="0.2">
      <c r="A867" s="32"/>
      <c r="F867" s="3"/>
      <c r="G867" s="3"/>
      <c r="H867" s="3"/>
      <c r="M867" s="1">
        <f t="shared" si="83"/>
        <v>25.950000000000227</v>
      </c>
      <c r="N867" s="1">
        <f t="shared" si="84"/>
        <v>-1.5350251460281772</v>
      </c>
      <c r="O867" s="1">
        <f t="shared" si="85"/>
        <v>2.7125547342256047</v>
      </c>
      <c r="P867" s="1">
        <f t="shared" si="86"/>
        <v>4.8796545594246865</v>
      </c>
      <c r="R867" s="3">
        <f t="shared" si="81"/>
        <v>0.24973007443233591</v>
      </c>
      <c r="S867" s="3">
        <f t="shared" si="82"/>
        <v>-1.4790655461892215</v>
      </c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</row>
    <row r="868" spans="1:100" x14ac:dyDescent="0.2">
      <c r="A868" s="32"/>
      <c r="F868" s="3"/>
      <c r="G868" s="3"/>
      <c r="H868" s="3"/>
      <c r="M868" s="1">
        <f t="shared" si="83"/>
        <v>25.980000000000228</v>
      </c>
      <c r="N868" s="1">
        <f t="shared" si="84"/>
        <v>-2.7414306704036639</v>
      </c>
      <c r="O868" s="1">
        <f t="shared" si="85"/>
        <v>2.6303118141134947</v>
      </c>
      <c r="P868" s="1">
        <f t="shared" si="86"/>
        <v>4.9585639138480913</v>
      </c>
      <c r="R868" s="3">
        <f t="shared" si="81"/>
        <v>0.36554400586926339</v>
      </c>
      <c r="S868" s="3">
        <f t="shared" si="82"/>
        <v>-1.4547775018101743</v>
      </c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</row>
    <row r="869" spans="1:100" x14ac:dyDescent="0.2">
      <c r="A869" s="32"/>
      <c r="F869" s="3"/>
      <c r="G869" s="3"/>
      <c r="H869" s="3"/>
      <c r="M869" s="1">
        <f t="shared" si="83"/>
        <v>26.010000000000229</v>
      </c>
      <c r="N869" s="1">
        <f t="shared" si="84"/>
        <v>-3.8921681219628486</v>
      </c>
      <c r="O869" s="1">
        <f t="shared" si="85"/>
        <v>2.5135467704546093</v>
      </c>
      <c r="P869" s="1">
        <f t="shared" si="86"/>
        <v>5.0339703169617298</v>
      </c>
      <c r="R869" s="3">
        <f t="shared" si="81"/>
        <v>0.47410084105631389</v>
      </c>
      <c r="S869" s="3">
        <f t="shared" si="82"/>
        <v>-1.423105193761057</v>
      </c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</row>
    <row r="870" spans="1:100" x14ac:dyDescent="0.2">
      <c r="A870" s="32"/>
      <c r="F870" s="3"/>
      <c r="G870" s="3"/>
      <c r="H870" s="3"/>
      <c r="M870" s="1">
        <f t="shared" si="83"/>
        <v>26.04000000000023</v>
      </c>
      <c r="N870" s="1">
        <f t="shared" si="84"/>
        <v>-4.9672276199040537</v>
      </c>
      <c r="O870" s="1">
        <f t="shared" si="85"/>
        <v>2.3645299418574877</v>
      </c>
      <c r="P870" s="1">
        <f t="shared" si="86"/>
        <v>5.1049062152174542</v>
      </c>
      <c r="R870" s="3">
        <f t="shared" si="81"/>
        <v>0.57377313216174342</v>
      </c>
      <c r="S870" s="3">
        <f t="shared" si="82"/>
        <v>-1.3859236605272682</v>
      </c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</row>
    <row r="871" spans="1:100" x14ac:dyDescent="0.2">
      <c r="A871" s="32"/>
      <c r="F871" s="3"/>
      <c r="G871" s="3"/>
      <c r="H871" s="3"/>
      <c r="M871" s="1">
        <f t="shared" si="83"/>
        <v>26.070000000000231</v>
      </c>
      <c r="N871" s="1">
        <f t="shared" si="84"/>
        <v>-5.9505390163846075</v>
      </c>
      <c r="O871" s="1">
        <f t="shared" si="85"/>
        <v>2.1860137713659493</v>
      </c>
      <c r="P871" s="1">
        <f t="shared" si="86"/>
        <v>5.1704866283584323</v>
      </c>
      <c r="R871" s="3">
        <f t="shared" si="81"/>
        <v>0.66336404609716304</v>
      </c>
      <c r="S871" s="3">
        <f t="shared" si="82"/>
        <v>-1.3453431318238485</v>
      </c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</row>
    <row r="872" spans="1:100" x14ac:dyDescent="0.2">
      <c r="A872" s="32"/>
      <c r="F872" s="3"/>
      <c r="G872" s="3"/>
      <c r="H872" s="3"/>
      <c r="M872" s="1">
        <f t="shared" si="83"/>
        <v>26.100000000000232</v>
      </c>
      <c r="N872" s="1">
        <f t="shared" si="84"/>
        <v>-6.8303817003945655</v>
      </c>
      <c r="O872" s="1">
        <f t="shared" si="85"/>
        <v>1.9811023203541123</v>
      </c>
      <c r="P872" s="1">
        <f t="shared" si="86"/>
        <v>5.2299196979690556</v>
      </c>
      <c r="R872" s="3">
        <f t="shared" si="81"/>
        <v>0.74210360183157176</v>
      </c>
      <c r="S872" s="3">
        <f t="shared" si="82"/>
        <v>-1.303565205177174</v>
      </c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</row>
    <row r="873" spans="1:100" x14ac:dyDescent="0.2">
      <c r="A873" s="32"/>
      <c r="F873" s="3"/>
      <c r="G873" s="3"/>
      <c r="H873" s="3"/>
      <c r="M873" s="1">
        <f t="shared" si="83"/>
        <v>26.130000000000233</v>
      </c>
      <c r="N873" s="1">
        <f t="shared" si="84"/>
        <v>-7.5993352271475878</v>
      </c>
      <c r="O873" s="1">
        <f t="shared" si="85"/>
        <v>1.7531222635396846</v>
      </c>
      <c r="P873" s="1">
        <f t="shared" si="86"/>
        <v>5.2825133658752463</v>
      </c>
      <c r="R873" s="3">
        <f t="shared" si="81"/>
        <v>0.8096051472374528</v>
      </c>
      <c r="S873" s="3">
        <f t="shared" si="82"/>
        <v>-1.2627507693787487</v>
      </c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</row>
    <row r="874" spans="1:100" x14ac:dyDescent="0.2">
      <c r="A874" s="32"/>
      <c r="F874" s="3"/>
      <c r="G874" s="3"/>
      <c r="H874" s="3"/>
      <c r="M874" s="1">
        <f t="shared" si="83"/>
        <v>26.160000000000235</v>
      </c>
      <c r="N874" s="1">
        <f t="shared" si="84"/>
        <v>-8.2538324760931001</v>
      </c>
      <c r="O874" s="1">
        <f t="shared" si="85"/>
        <v>1.5055072892568915</v>
      </c>
      <c r="P874" s="1">
        <f t="shared" si="86"/>
        <v>5.3276785845529533</v>
      </c>
      <c r="R874" s="3">
        <f t="shared" si="81"/>
        <v>0.86579255862287785</v>
      </c>
      <c r="S874" s="3">
        <f t="shared" si="82"/>
        <v>-1.2249094845878412</v>
      </c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</row>
    <row r="875" spans="1:100" x14ac:dyDescent="0.2">
      <c r="A875" s="32"/>
      <c r="F875" s="3"/>
      <c r="G875" s="3"/>
      <c r="H875" s="3"/>
      <c r="M875" s="1">
        <f t="shared" si="83"/>
        <v>26.190000000000236</v>
      </c>
      <c r="N875" s="1">
        <f t="shared" si="84"/>
        <v>-8.7934212422618998</v>
      </c>
      <c r="O875" s="1">
        <f t="shared" si="85"/>
        <v>1.2417046519890345</v>
      </c>
      <c r="P875" s="1">
        <f t="shared" si="86"/>
        <v>5.3649297241126241</v>
      </c>
      <c r="R875" s="3">
        <f t="shared" si="81"/>
        <v>0.91081064268794154</v>
      </c>
      <c r="S875" s="3">
        <f t="shared" si="82"/>
        <v>-1.1918154106934424</v>
      </c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</row>
    <row r="876" spans="1:100" x14ac:dyDescent="0.2">
      <c r="A876" s="32"/>
      <c r="F876" s="3"/>
      <c r="G876" s="3"/>
      <c r="H876" s="3"/>
      <c r="M876" s="1">
        <f t="shared" si="83"/>
        <v>26.220000000000237</v>
      </c>
      <c r="N876" s="1">
        <f t="shared" si="84"/>
        <v>-9.2198598455584282</v>
      </c>
      <c r="O876" s="1">
        <f t="shared" si="85"/>
        <v>0.96510885662228163</v>
      </c>
      <c r="P876" s="1">
        <f t="shared" si="86"/>
        <v>5.393882989811293</v>
      </c>
      <c r="R876" s="3">
        <f t="shared" si="81"/>
        <v>0.94493103420739288</v>
      </c>
      <c r="S876" s="3">
        <f t="shared" si="82"/>
        <v>-1.1649486428987963</v>
      </c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</row>
    <row r="877" spans="1:100" x14ac:dyDescent="0.2">
      <c r="A877" s="32"/>
      <c r="F877" s="3"/>
      <c r="G877" s="3"/>
      <c r="H877" s="3"/>
      <c r="M877" s="1">
        <f t="shared" si="83"/>
        <v>26.250000000000238</v>
      </c>
      <c r="N877" s="1">
        <f t="shared" si="84"/>
        <v>-9.5361701391699345</v>
      </c>
      <c r="O877" s="1">
        <f t="shared" si="85"/>
        <v>0.6790237524471836</v>
      </c>
      <c r="P877" s="1">
        <f t="shared" si="86"/>
        <v>5.4142537023847082</v>
      </c>
      <c r="R877" s="3">
        <f t="shared" si="81"/>
        <v>0.9684641766473987</v>
      </c>
      <c r="S877" s="3">
        <f t="shared" si="82"/>
        <v>-1.1454593570051606</v>
      </c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</row>
    <row r="878" spans="1:100" x14ac:dyDescent="0.2">
      <c r="A878" s="32"/>
      <c r="F878" s="3"/>
      <c r="G878" s="3"/>
      <c r="H878" s="3"/>
      <c r="M878" s="1">
        <f t="shared" si="83"/>
        <v>26.280000000000239</v>
      </c>
      <c r="N878" s="1">
        <f t="shared" si="84"/>
        <v>-9.7457539041942347</v>
      </c>
      <c r="O878" s="1">
        <f t="shared" si="85"/>
        <v>0.38665113532135659</v>
      </c>
      <c r="P878" s="1">
        <f t="shared" si="86"/>
        <v>5.4258532364443486</v>
      </c>
      <c r="R878" s="3">
        <f t="shared" si="81"/>
        <v>0.98168552121540809</v>
      </c>
      <c r="S878" s="3">
        <f t="shared" si="82"/>
        <v>-1.1341488162653226</v>
      </c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</row>
    <row r="879" spans="1:100" x14ac:dyDescent="0.2">
      <c r="A879" s="32"/>
      <c r="F879" s="3"/>
      <c r="G879" s="3"/>
      <c r="H879" s="3"/>
      <c r="M879" s="1">
        <f t="shared" si="83"/>
        <v>26.31000000000024</v>
      </c>
      <c r="N879" s="1">
        <f t="shared" si="84"/>
        <v>-9.8516538143330017</v>
      </c>
      <c r="O879" s="1">
        <f t="shared" si="85"/>
        <v>9.1101520891366528E-2</v>
      </c>
      <c r="P879" s="1">
        <f t="shared" si="86"/>
        <v>5.4285862820710893</v>
      </c>
      <c r="R879" s="3">
        <f t="shared" si="81"/>
        <v>0.98478153145234737</v>
      </c>
      <c r="S879" s="3">
        <f t="shared" si="82"/>
        <v>-1.1314615925034175</v>
      </c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</row>
    <row r="880" spans="1:100" x14ac:dyDescent="0.2">
      <c r="A880" s="32"/>
      <c r="F880" s="3"/>
      <c r="G880" s="3"/>
      <c r="H880" s="3"/>
      <c r="M880" s="1">
        <f t="shared" si="83"/>
        <v>26.340000000000241</v>
      </c>
      <c r="N880" s="1">
        <f t="shared" si="84"/>
        <v>-9.8560144514036967</v>
      </c>
      <c r="O880" s="1">
        <f t="shared" si="85"/>
        <v>-0.20457891265074435</v>
      </c>
      <c r="P880" s="1">
        <f t="shared" si="86"/>
        <v>5.4224489146915671</v>
      </c>
      <c r="R880" s="3">
        <f t="shared" si="81"/>
        <v>0.97781883261626423</v>
      </c>
      <c r="S880" s="3">
        <f t="shared" si="82"/>
        <v>-1.1374842111348036</v>
      </c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</row>
    <row r="881" spans="1:100" x14ac:dyDescent="0.2">
      <c r="A881" s="32"/>
      <c r="F881" s="3"/>
      <c r="G881" s="3"/>
      <c r="H881" s="3"/>
      <c r="M881" s="1">
        <f t="shared" si="83"/>
        <v>26.370000000000243</v>
      </c>
      <c r="N881" s="1">
        <f t="shared" si="84"/>
        <v>-9.7597762240240744</v>
      </c>
      <c r="O881" s="1">
        <f t="shared" si="85"/>
        <v>-0.49737219937146659</v>
      </c>
      <c r="P881" s="1">
        <f t="shared" si="86"/>
        <v>5.4075277487104234</v>
      </c>
      <c r="R881" s="3">
        <f t="shared" si="81"/>
        <v>0.96073802233685612</v>
      </c>
      <c r="S881" s="3">
        <f t="shared" si="82"/>
        <v>-1.1519472437730238</v>
      </c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</row>
    <row r="882" spans="1:100" x14ac:dyDescent="0.2">
      <c r="A882" s="32"/>
      <c r="F882" s="3"/>
      <c r="G882" s="3"/>
      <c r="H882" s="3"/>
      <c r="M882" s="1">
        <f t="shared" si="83"/>
        <v>26.400000000000244</v>
      </c>
      <c r="N882" s="1">
        <f t="shared" si="84"/>
        <v>-9.56261672542513</v>
      </c>
      <c r="O882" s="1">
        <f t="shared" si="85"/>
        <v>-0.78425070113422046</v>
      </c>
      <c r="P882" s="1">
        <f t="shared" si="86"/>
        <v>5.3840002276763972</v>
      </c>
      <c r="R882" s="3">
        <f t="shared" si="81"/>
        <v>0.93337216642532295</v>
      </c>
      <c r="S882" s="3">
        <f t="shared" si="82"/>
        <v>-1.1742301303162423</v>
      </c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</row>
    <row r="883" spans="1:100" x14ac:dyDescent="0.2">
      <c r="A883" s="32"/>
      <c r="F883" s="3"/>
      <c r="G883" s="3"/>
      <c r="H883" s="3"/>
      <c r="M883" s="1">
        <f t="shared" si="83"/>
        <v>26.430000000000245</v>
      </c>
      <c r="N883" s="1">
        <f t="shared" si="84"/>
        <v>-9.2631391011511486</v>
      </c>
      <c r="O883" s="1">
        <f t="shared" si="85"/>
        <v>-1.0621448741687549</v>
      </c>
      <c r="P883" s="1">
        <f t="shared" si="86"/>
        <v>5.3521358814513347</v>
      </c>
      <c r="R883" s="3">
        <f t="shared" si="81"/>
        <v>0.89548861898384713</v>
      </c>
      <c r="S883" s="3">
        <f t="shared" si="82"/>
        <v>-1.2033703225817074</v>
      </c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</row>
    <row r="884" spans="1:100" x14ac:dyDescent="0.2">
      <c r="A884" s="32"/>
      <c r="F884" s="3"/>
      <c r="G884" s="3"/>
      <c r="H884" s="3"/>
      <c r="M884" s="1">
        <f t="shared" si="83"/>
        <v>26.460000000000246</v>
      </c>
      <c r="N884" s="1">
        <f t="shared" si="84"/>
        <v>-8.8592931511632838</v>
      </c>
      <c r="O884" s="1">
        <f t="shared" si="85"/>
        <v>-1.3279236687036535</v>
      </c>
      <c r="P884" s="1">
        <f t="shared" si="86"/>
        <v>5.3122981713902249</v>
      </c>
      <c r="R884" s="3">
        <f t="shared" si="81"/>
        <v>0.84685128475463123</v>
      </c>
      <c r="S884" s="3">
        <f t="shared" si="82"/>
        <v>-1.2380803291828162</v>
      </c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</row>
    <row r="885" spans="1:100" x14ac:dyDescent="0.2">
      <c r="A885" s="32"/>
      <c r="F885" s="3"/>
      <c r="G885" s="3"/>
      <c r="H885" s="3"/>
      <c r="M885" s="1">
        <f t="shared" si="83"/>
        <v>26.490000000000247</v>
      </c>
      <c r="N885" s="1">
        <f t="shared" si="84"/>
        <v>-8.3489997173629824</v>
      </c>
      <c r="O885" s="1">
        <f t="shared" si="85"/>
        <v>-1.578393660224543</v>
      </c>
      <c r="P885" s="1">
        <f t="shared" si="86"/>
        <v>5.2649463615834886</v>
      </c>
      <c r="R885" s="3">
        <f t="shared" si="81"/>
        <v>0.78729862125023686</v>
      </c>
      <c r="S885" s="3">
        <f t="shared" si="82"/>
        <v>-1.2767775377791843</v>
      </c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</row>
    <row r="886" spans="1:100" x14ac:dyDescent="0.2">
      <c r="A886" s="32"/>
      <c r="F886" s="3"/>
      <c r="G886" s="3"/>
      <c r="H886" s="3"/>
      <c r="M886" s="1">
        <f t="shared" si="83"/>
        <v>26.520000000000248</v>
      </c>
      <c r="N886" s="1">
        <f t="shared" si="84"/>
        <v>-7.7309307830821599</v>
      </c>
      <c r="O886" s="1">
        <f t="shared" si="85"/>
        <v>-1.8103215837170077</v>
      </c>
      <c r="P886" s="1">
        <f t="shared" si="86"/>
        <v>5.2106367140719785</v>
      </c>
      <c r="R886" s="3">
        <f t="shared" si="81"/>
        <v>0.716830567512732</v>
      </c>
      <c r="S886" s="3">
        <f t="shared" si="82"/>
        <v>-1.3176319431007184</v>
      </c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</row>
    <row r="887" spans="1:100" x14ac:dyDescent="0.2">
      <c r="A887" s="32"/>
      <c r="F887" s="3"/>
      <c r="G887" s="3"/>
      <c r="H887" s="3"/>
      <c r="M887" s="1">
        <f t="shared" si="83"/>
        <v>26.550000000000249</v>
      </c>
      <c r="N887" s="1">
        <f t="shared" si="84"/>
        <v>-7.0053767325927891</v>
      </c>
      <c r="O887" s="1">
        <f t="shared" si="85"/>
        <v>-2.0204828856947912</v>
      </c>
      <c r="P887" s="1">
        <f t="shared" si="86"/>
        <v>5.1500222275011351</v>
      </c>
      <c r="R887" s="3">
        <f t="shared" si="81"/>
        <v>0.63569542575568749</v>
      </c>
      <c r="S887" s="3">
        <f t="shared" si="82"/>
        <v>-1.3586358326178856</v>
      </c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</row>
    <row r="888" spans="1:100" x14ac:dyDescent="0.2">
      <c r="A888" s="32"/>
      <c r="F888" s="3"/>
      <c r="G888" s="3"/>
      <c r="H888" s="3"/>
      <c r="M888" s="1">
        <f t="shared" si="83"/>
        <v>26.580000000000251</v>
      </c>
      <c r="N888" s="1">
        <f t="shared" si="84"/>
        <v>-6.1751107978443445</v>
      </c>
      <c r="O888" s="1">
        <f t="shared" si="85"/>
        <v>-2.2057362096301216</v>
      </c>
      <c r="P888" s="1">
        <f t="shared" si="86"/>
        <v>5.0838501412122312</v>
      </c>
      <c r="R888" s="3">
        <f t="shared" si="81"/>
        <v>0.5444659884799401</v>
      </c>
      <c r="S888" s="3">
        <f t="shared" si="82"/>
        <v>-1.3976969583527616</v>
      </c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</row>
    <row r="889" spans="1:100" x14ac:dyDescent="0.2">
      <c r="A889" s="32"/>
      <c r="F889" s="3"/>
      <c r="G889" s="3"/>
      <c r="H889" s="3"/>
      <c r="M889" s="1">
        <f t="shared" si="83"/>
        <v>26.610000000000252</v>
      </c>
      <c r="N889" s="1">
        <f t="shared" si="84"/>
        <v>-5.2461436259326897</v>
      </c>
      <c r="O889" s="1">
        <f t="shared" si="85"/>
        <v>-2.3631205184081021</v>
      </c>
      <c r="P889" s="1">
        <f t="shared" si="86"/>
        <v>5.0129565256599884</v>
      </c>
      <c r="R889" s="3">
        <f t="shared" si="81"/>
        <v>0.44409353362244797</v>
      </c>
      <c r="S889" s="3">
        <f t="shared" si="82"/>
        <v>-1.4327529212654664</v>
      </c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</row>
    <row r="890" spans="1:100" x14ac:dyDescent="0.2">
      <c r="A890" s="32"/>
      <c r="F890" s="3"/>
      <c r="G890" s="3"/>
      <c r="H890" s="3"/>
      <c r="M890" s="1">
        <f t="shared" si="83"/>
        <v>26.640000000000253</v>
      </c>
      <c r="N890" s="1">
        <f t="shared" si="84"/>
        <v>-4.2282544895677505</v>
      </c>
      <c r="O890" s="1">
        <f t="shared" si="85"/>
        <v>-2.4899681530951345</v>
      </c>
      <c r="P890" s="1">
        <f t="shared" si="86"/>
        <v>4.9382574810671347</v>
      </c>
      <c r="R890" s="3">
        <f t="shared" si="81"/>
        <v>0.33592933084307874</v>
      </c>
      <c r="S890" s="3">
        <f t="shared" si="82"/>
        <v>-1.4618999571377385</v>
      </c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</row>
    <row r="891" spans="1:100" x14ac:dyDescent="0.2">
      <c r="A891" s="32"/>
      <c r="F891" s="3"/>
      <c r="G891" s="3"/>
      <c r="H891" s="3"/>
      <c r="M891" s="1">
        <f t="shared" si="83"/>
        <v>26.670000000000254</v>
      </c>
      <c r="N891" s="1">
        <f t="shared" si="84"/>
        <v>-3.1351961746522257</v>
      </c>
      <c r="O891" s="1">
        <f t="shared" si="85"/>
        <v>-2.5840240383347011</v>
      </c>
      <c r="P891" s="1">
        <f t="shared" si="86"/>
        <v>4.8607367599170939</v>
      </c>
      <c r="R891" s="3">
        <f t="shared" si="81"/>
        <v>0.22170639215047871</v>
      </c>
      <c r="S891" s="3">
        <f t="shared" si="82"/>
        <v>-1.4835249494631422</v>
      </c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</row>
    <row r="892" spans="1:100" x14ac:dyDescent="0.2">
      <c r="A892" s="32"/>
      <c r="F892" s="3"/>
      <c r="G892" s="3"/>
      <c r="H892" s="3"/>
      <c r="M892" s="1">
        <f t="shared" si="83"/>
        <v>26.700000000000255</v>
      </c>
      <c r="N892" s="1">
        <f t="shared" si="84"/>
        <v>-1.984501758054664</v>
      </c>
      <c r="O892" s="1">
        <f t="shared" si="85"/>
        <v>-2.6435590910763409</v>
      </c>
      <c r="P892" s="1">
        <f t="shared" si="86"/>
        <v>4.7814299871848034</v>
      </c>
      <c r="R892" s="3">
        <f t="shared" si="81"/>
        <v>0.10347925604443077</v>
      </c>
      <c r="S892" s="3">
        <f t="shared" si="82"/>
        <v>-1.4964264243752485</v>
      </c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</row>
    <row r="893" spans="1:100" x14ac:dyDescent="0.2">
      <c r="A893" s="32"/>
      <c r="F893" s="3"/>
      <c r="G893" s="3"/>
      <c r="H893" s="3"/>
      <c r="M893" s="1">
        <f t="shared" si="83"/>
        <v>26.730000000000256</v>
      </c>
      <c r="N893" s="1">
        <f t="shared" si="84"/>
        <v>-0.79687224224743713</v>
      </c>
      <c r="O893" s="1">
        <f t="shared" si="85"/>
        <v>-2.6674652583437641</v>
      </c>
      <c r="P893" s="1">
        <f t="shared" si="86"/>
        <v>4.7014060294344908</v>
      </c>
      <c r="R893" s="3">
        <f t="shared" si="81"/>
        <v>-1.6474095222100617E-2</v>
      </c>
      <c r="S893" s="3">
        <f t="shared" si="82"/>
        <v>-1.4999095320007181</v>
      </c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</row>
    <row r="894" spans="1:100" x14ac:dyDescent="0.2">
      <c r="A894" s="32"/>
      <c r="F894" s="3"/>
      <c r="G894" s="3"/>
      <c r="H894" s="3"/>
      <c r="M894" s="1">
        <f t="shared" si="83"/>
        <v>26.760000000000257</v>
      </c>
      <c r="N894" s="1">
        <f t="shared" si="84"/>
        <v>0.40481282547194497</v>
      </c>
      <c r="O894" s="1">
        <f t="shared" si="85"/>
        <v>-2.6553208735796057</v>
      </c>
      <c r="P894" s="1">
        <f t="shared" si="86"/>
        <v>4.6217464032271023</v>
      </c>
      <c r="R894" s="3">
        <f t="shared" si="81"/>
        <v>-0.13577776061185676</v>
      </c>
      <c r="S894" s="3">
        <f t="shared" si="82"/>
        <v>-1.4938421602442573</v>
      </c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</row>
    <row r="895" spans="1:100" x14ac:dyDescent="0.2">
      <c r="A895" s="32"/>
      <c r="F895" s="3"/>
      <c r="G895" s="3"/>
      <c r="H895" s="3"/>
      <c r="M895" s="1">
        <f t="shared" si="83"/>
        <v>26.790000000000258</v>
      </c>
      <c r="N895" s="1">
        <f t="shared" si="84"/>
        <v>1.5967564847407323</v>
      </c>
      <c r="O895" s="1">
        <f t="shared" si="85"/>
        <v>-2.6074181790373836</v>
      </c>
      <c r="P895" s="1">
        <f t="shared" si="86"/>
        <v>4.5435238578559805</v>
      </c>
      <c r="R895" s="3">
        <f t="shared" si="81"/>
        <v>-0.25209558361523188</v>
      </c>
      <c r="S895" s="3">
        <f t="shared" si="82"/>
        <v>-1.4786642001217503</v>
      </c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</row>
    <row r="896" spans="1:100" x14ac:dyDescent="0.2">
      <c r="A896" s="32"/>
      <c r="F896" s="3"/>
      <c r="G896" s="3"/>
      <c r="H896" s="3"/>
      <c r="M896" s="1">
        <f t="shared" si="83"/>
        <v>26.82000000000026</v>
      </c>
      <c r="N896" s="1">
        <f t="shared" si="84"/>
        <v>2.7556234722656834</v>
      </c>
      <c r="O896" s="1">
        <f t="shared" si="85"/>
        <v>-2.524749474869413</v>
      </c>
      <c r="P896" s="1">
        <f t="shared" si="86"/>
        <v>4.4677813736098981</v>
      </c>
      <c r="R896" s="3">
        <f t="shared" si="81"/>
        <v>-0.36326344621650797</v>
      </c>
      <c r="S896" s="3">
        <f t="shared" si="82"/>
        <v>-1.455348641612348</v>
      </c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</row>
    <row r="897" spans="1:100" x14ac:dyDescent="0.2">
      <c r="A897" s="32"/>
      <c r="F897" s="3"/>
      <c r="G897" s="3"/>
      <c r="H897" s="3"/>
      <c r="M897" s="1">
        <f t="shared" si="83"/>
        <v>26.850000000000261</v>
      </c>
      <c r="N897" s="1">
        <f t="shared" si="84"/>
        <v>3.8598619149033264</v>
      </c>
      <c r="O897" s="1">
        <f t="shared" si="85"/>
        <v>-2.4089536174223132</v>
      </c>
      <c r="P897" s="1">
        <f t="shared" si="86"/>
        <v>4.3955127650872283</v>
      </c>
      <c r="R897" s="3">
        <f t="shared" si="81"/>
        <v>-0.4673997353798639</v>
      </c>
      <c r="S897" s="3">
        <f t="shared" si="82"/>
        <v>-1.4253201350457494</v>
      </c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</row>
    <row r="898" spans="1:100" x14ac:dyDescent="0.2">
      <c r="A898" s="32"/>
      <c r="F898" s="3"/>
      <c r="G898" s="3"/>
      <c r="H898" s="3"/>
      <c r="M898" s="1">
        <f t="shared" si="83"/>
        <v>26.880000000000262</v>
      </c>
      <c r="N898" s="1">
        <f t="shared" si="84"/>
        <v>4.8908031793666478</v>
      </c>
      <c r="O898" s="1">
        <f t="shared" si="85"/>
        <v>-2.2622295220413138</v>
      </c>
      <c r="P898" s="1">
        <f t="shared" si="86"/>
        <v>4.3276458794259893</v>
      </c>
      <c r="R898" s="3">
        <f t="shared" ref="R898:R961" si="87">$B$3*COS(P898)</f>
        <v>-0.56298154609256756</v>
      </c>
      <c r="S898" s="3">
        <f t="shared" ref="S898:S961" si="88">$B$3*SIN(P898)</f>
        <v>-1.3903423243069393</v>
      </c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</row>
    <row r="899" spans="1:100" x14ac:dyDescent="0.2">
      <c r="A899" s="32"/>
      <c r="F899" s="3"/>
      <c r="G899" s="3"/>
      <c r="H899" s="3"/>
      <c r="M899" s="1">
        <f t="shared" ref="M899:M962" si="89">M898+B$13</f>
        <v>26.910000000000263</v>
      </c>
      <c r="N899" s="1">
        <f t="shared" ref="N899:N962" si="90">-$B$12*$B$3*COS(P898)-B$10*O898</f>
        <v>5.8334161179093931</v>
      </c>
      <c r="O899" s="1">
        <f t="shared" ref="O899:O962" si="91">N899*$B$13+O898</f>
        <v>-2.0872270385040319</v>
      </c>
      <c r="P899" s="1">
        <f t="shared" ref="P899:P962" si="92">O899*$B$13+P898</f>
        <v>4.2650290682708683</v>
      </c>
      <c r="R899" s="3">
        <f t="shared" si="87"/>
        <v>-0.64888014227675561</v>
      </c>
      <c r="S899" s="3">
        <f t="shared" si="88"/>
        <v>-1.3523884652565243</v>
      </c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</row>
    <row r="900" spans="1:100" x14ac:dyDescent="0.2">
      <c r="A900" s="32"/>
      <c r="F900" s="3"/>
      <c r="G900" s="3"/>
      <c r="H900" s="3"/>
      <c r="M900" s="1">
        <f t="shared" si="89"/>
        <v>26.940000000000264</v>
      </c>
      <c r="N900" s="1">
        <f t="shared" si="90"/>
        <v>6.6766518562329189</v>
      </c>
      <c r="O900" s="1">
        <f t="shared" si="91"/>
        <v>-1.8869274828170444</v>
      </c>
      <c r="P900" s="1">
        <f t="shared" si="92"/>
        <v>4.2084212437863568</v>
      </c>
      <c r="R900" s="3">
        <f t="shared" si="87"/>
        <v>-0.72435565820940373</v>
      </c>
      <c r="S900" s="3">
        <f t="shared" si="88"/>
        <v>-1.3135101371592155</v>
      </c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</row>
    <row r="901" spans="1:100" x14ac:dyDescent="0.2">
      <c r="A901" s="32"/>
      <c r="F901" s="3"/>
      <c r="G901" s="3"/>
      <c r="H901" s="3"/>
      <c r="M901" s="1">
        <f t="shared" si="89"/>
        <v>26.970000000000265</v>
      </c>
      <c r="N901" s="1">
        <f t="shared" si="90"/>
        <v>7.413380055547572</v>
      </c>
      <c r="O901" s="1">
        <f t="shared" si="91"/>
        <v>-1.6645260811506173</v>
      </c>
      <c r="P901" s="1">
        <f t="shared" si="92"/>
        <v>4.1584854613518383</v>
      </c>
      <c r="R901" s="3">
        <f t="shared" si="87"/>
        <v>-0.7890166259537148</v>
      </c>
      <c r="S901" s="3">
        <f t="shared" si="88"/>
        <v>-1.2757165688226424</v>
      </c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</row>
    <row r="902" spans="1:100" x14ac:dyDescent="0.2">
      <c r="A902" s="32"/>
      <c r="F902" s="3"/>
      <c r="G902" s="3"/>
      <c r="H902" s="3"/>
      <c r="M902" s="1">
        <f t="shared" si="89"/>
        <v>27.000000000000266</v>
      </c>
      <c r="N902" s="1">
        <f t="shared" si="90"/>
        <v>8.0399736068407037</v>
      </c>
      <c r="O902" s="1">
        <f t="shared" si="91"/>
        <v>-1.4233268729453963</v>
      </c>
      <c r="P902" s="1">
        <f t="shared" si="92"/>
        <v>4.1157856551634762</v>
      </c>
      <c r="R902" s="3">
        <f t="shared" si="87"/>
        <v>-0.84275373730306091</v>
      </c>
      <c r="S902" s="3">
        <f t="shared" si="88"/>
        <v>-1.2408731354420253</v>
      </c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</row>
    <row r="903" spans="1:100" x14ac:dyDescent="0.2">
      <c r="A903" s="32"/>
      <c r="F903" s="3"/>
      <c r="G903" s="3"/>
      <c r="H903" s="3"/>
      <c r="M903" s="1">
        <f t="shared" si="89"/>
        <v>27.030000000000268</v>
      </c>
      <c r="N903" s="1">
        <f t="shared" si="90"/>
        <v>8.5556367915956955</v>
      </c>
      <c r="O903" s="1">
        <f t="shared" si="91"/>
        <v>-1.1666577691975255</v>
      </c>
      <c r="P903" s="1">
        <f t="shared" si="92"/>
        <v>4.08078592208755</v>
      </c>
      <c r="R903" s="3">
        <f t="shared" si="87"/>
        <v>-0.88565897339740984</v>
      </c>
      <c r="S903" s="3">
        <f t="shared" si="88"/>
        <v>-1.2106230556373219</v>
      </c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</row>
    <row r="904" spans="1:100" x14ac:dyDescent="0.2">
      <c r="A904" s="32"/>
      <c r="F904" s="3"/>
      <c r="G904" s="3"/>
      <c r="H904" s="3"/>
      <c r="M904" s="1">
        <f t="shared" si="89"/>
        <v>27.060000000000269</v>
      </c>
      <c r="N904" s="1">
        <f t="shared" si="90"/>
        <v>8.9615889332018757</v>
      </c>
      <c r="O904" s="1">
        <f t="shared" si="91"/>
        <v>-0.8978101012014692</v>
      </c>
      <c r="P904" s="1">
        <f t="shared" si="92"/>
        <v>4.0538516190515059</v>
      </c>
      <c r="R904" s="3">
        <f t="shared" si="87"/>
        <v>-0.91794108506577765</v>
      </c>
      <c r="S904" s="3">
        <f t="shared" si="88"/>
        <v>-1.1863322318592977</v>
      </c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</row>
    <row r="905" spans="1:100" x14ac:dyDescent="0.2">
      <c r="A905" s="32"/>
      <c r="F905" s="3"/>
      <c r="G905" s="3"/>
      <c r="H905" s="3"/>
      <c r="M905" s="1">
        <f t="shared" si="89"/>
        <v>27.09000000000027</v>
      </c>
      <c r="N905" s="1">
        <f t="shared" si="90"/>
        <v>9.2602137597659091</v>
      </c>
      <c r="O905" s="1">
        <f t="shared" si="91"/>
        <v>-0.62000368840849196</v>
      </c>
      <c r="P905" s="1">
        <f t="shared" si="92"/>
        <v>4.0352515083992513</v>
      </c>
      <c r="R905" s="3">
        <f t="shared" si="87"/>
        <v>-0.93984694077484821</v>
      </c>
      <c r="S905" s="3">
        <f t="shared" si="88"/>
        <v>-1.169054202300372</v>
      </c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</row>
    <row r="906" spans="1:100" x14ac:dyDescent="0.2">
      <c r="A906" s="32"/>
      <c r="F906" s="3"/>
      <c r="G906" s="3"/>
      <c r="H906" s="3"/>
      <c r="M906" s="1">
        <f t="shared" si="89"/>
        <v>27.120000000000271</v>
      </c>
      <c r="N906" s="1">
        <f t="shared" si="90"/>
        <v>9.4542697397052464</v>
      </c>
      <c r="O906" s="1">
        <f t="shared" si="91"/>
        <v>-0.33637559621733459</v>
      </c>
      <c r="P906" s="1">
        <f t="shared" si="92"/>
        <v>4.0251602405127311</v>
      </c>
      <c r="R906" s="3">
        <f t="shared" si="87"/>
        <v>-0.95159612604531774</v>
      </c>
      <c r="S906" s="3">
        <f t="shared" si="88"/>
        <v>-1.1595105919721234</v>
      </c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</row>
    <row r="907" spans="1:100" x14ac:dyDescent="0.2">
      <c r="A907" s="32"/>
      <c r="F907" s="3"/>
      <c r="G907" s="3"/>
      <c r="H907" s="3"/>
      <c r="M907" s="1">
        <f t="shared" si="89"/>
        <v>27.150000000000272</v>
      </c>
      <c r="N907" s="1">
        <f t="shared" si="90"/>
        <v>9.5462350641127376</v>
      </c>
      <c r="O907" s="1">
        <f t="shared" si="91"/>
        <v>-4.9988544293952497E-2</v>
      </c>
      <c r="P907" s="1">
        <f t="shared" si="92"/>
        <v>4.0236605841839124</v>
      </c>
      <c r="R907" s="3">
        <f t="shared" si="87"/>
        <v>-0.95333392273618134</v>
      </c>
      <c r="S907" s="3">
        <f t="shared" si="88"/>
        <v>-1.1580822215026205</v>
      </c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</row>
    <row r="908" spans="1:100" x14ac:dyDescent="0.2">
      <c r="A908" s="32"/>
      <c r="F908" s="3"/>
      <c r="G908" s="3"/>
      <c r="H908" s="3"/>
      <c r="M908" s="1">
        <f t="shared" si="89"/>
        <v>27.180000000000273</v>
      </c>
      <c r="N908" s="1">
        <f t="shared" si="90"/>
        <v>9.5378381963482681</v>
      </c>
      <c r="O908" s="1">
        <f t="shared" si="91"/>
        <v>0.23614660159649553</v>
      </c>
      <c r="P908" s="1">
        <f t="shared" si="92"/>
        <v>4.0307449822318073</v>
      </c>
      <c r="R908" s="3">
        <f t="shared" si="87"/>
        <v>-0.94510575274099096</v>
      </c>
      <c r="S908" s="3">
        <f t="shared" si="88"/>
        <v>-1.1648069007933826</v>
      </c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</row>
    <row r="909" spans="1:100" x14ac:dyDescent="0.2">
      <c r="A909" s="32"/>
      <c r="F909" s="3"/>
      <c r="G909" s="3"/>
      <c r="H909" s="3"/>
      <c r="M909" s="1">
        <f t="shared" si="89"/>
        <v>27.210000000000274</v>
      </c>
      <c r="N909" s="1">
        <f t="shared" si="90"/>
        <v>9.4298043332662242</v>
      </c>
      <c r="O909" s="1">
        <f t="shared" si="91"/>
        <v>0.51904073159448227</v>
      </c>
      <c r="P909" s="1">
        <f t="shared" si="92"/>
        <v>4.0463162041796421</v>
      </c>
      <c r="R909" s="3">
        <f t="shared" si="87"/>
        <v>-0.92685444464664068</v>
      </c>
      <c r="S909" s="3">
        <f t="shared" si="88"/>
        <v>-1.1793815491344466</v>
      </c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</row>
    <row r="910" spans="1:100" x14ac:dyDescent="0.2">
      <c r="A910" s="32"/>
      <c r="F910" s="3"/>
      <c r="G910" s="3"/>
      <c r="H910" s="3"/>
      <c r="M910" s="1">
        <f t="shared" si="89"/>
        <v>27.240000000000276</v>
      </c>
      <c r="N910" s="1">
        <f t="shared" si="90"/>
        <v>9.2218307806229038</v>
      </c>
      <c r="O910" s="1">
        <f t="shared" si="91"/>
        <v>0.7956956550131693</v>
      </c>
      <c r="P910" s="1">
        <f t="shared" si="92"/>
        <v>4.070187073830037</v>
      </c>
      <c r="R910" s="3">
        <f t="shared" si="87"/>
        <v>-0.89844019818543497</v>
      </c>
      <c r="S910" s="3">
        <f t="shared" si="88"/>
        <v>-1.2011682689300929</v>
      </c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</row>
    <row r="911" spans="1:100" x14ac:dyDescent="0.2">
      <c r="A911" s="32"/>
      <c r="F911" s="3"/>
      <c r="G911" s="3"/>
      <c r="H911" s="3"/>
      <c r="M911" s="1">
        <f t="shared" si="89"/>
        <v>27.270000000000277</v>
      </c>
      <c r="N911" s="1">
        <f t="shared" si="90"/>
        <v>8.9127893729031644</v>
      </c>
      <c r="O911" s="1">
        <f t="shared" si="91"/>
        <v>1.0630793362002642</v>
      </c>
      <c r="P911" s="1">
        <f t="shared" si="92"/>
        <v>4.102079453916045</v>
      </c>
      <c r="R911" s="3">
        <f t="shared" si="87"/>
        <v>-0.85968170311601111</v>
      </c>
      <c r="S911" s="3">
        <f t="shared" si="88"/>
        <v>-1.2292059914137885</v>
      </c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</row>
    <row r="912" spans="1:100" x14ac:dyDescent="0.2">
      <c r="A912" s="32"/>
      <c r="F912" s="3"/>
      <c r="G912" s="3"/>
      <c r="H912" s="3"/>
      <c r="M912" s="1">
        <f t="shared" si="89"/>
        <v>27.300000000000278</v>
      </c>
      <c r="N912" s="1">
        <f t="shared" si="90"/>
        <v>8.5011398909020883</v>
      </c>
      <c r="O912" s="1">
        <f t="shared" si="91"/>
        <v>1.3181135329273268</v>
      </c>
      <c r="P912" s="1">
        <f t="shared" si="92"/>
        <v>4.1416228599038645</v>
      </c>
      <c r="R912" s="3">
        <f t="shared" si="87"/>
        <v>-0.81041533182720449</v>
      </c>
      <c r="S912" s="3">
        <f t="shared" si="88"/>
        <v>-1.2622309574477257</v>
      </c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</row>
    <row r="913" spans="1:100" x14ac:dyDescent="0.2">
      <c r="A913" s="32"/>
      <c r="F913" s="3"/>
      <c r="G913" s="3"/>
      <c r="H913" s="3"/>
      <c r="M913" s="1">
        <f t="shared" si="89"/>
        <v>27.330000000000279</v>
      </c>
      <c r="N913" s="1">
        <f t="shared" si="90"/>
        <v>7.985523100308586</v>
      </c>
      <c r="O913" s="1">
        <f t="shared" si="91"/>
        <v>1.5576792259365844</v>
      </c>
      <c r="P913" s="1">
        <f t="shared" si="92"/>
        <v>4.1883532366819622</v>
      </c>
      <c r="R913" s="3">
        <f t="shared" si="87"/>
        <v>-0.75056756659763346</v>
      </c>
      <c r="S913" s="3">
        <f t="shared" si="88"/>
        <v>-1.2987102555888697</v>
      </c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</row>
    <row r="914" spans="1:100" x14ac:dyDescent="0.2">
      <c r="A914" s="32"/>
      <c r="F914" s="3"/>
      <c r="G914" s="3"/>
      <c r="H914" s="3"/>
      <c r="M914" s="1">
        <f t="shared" si="89"/>
        <v>27.36000000000028</v>
      </c>
      <c r="N914" s="1">
        <f t="shared" si="90"/>
        <v>7.3654845356420422</v>
      </c>
      <c r="O914" s="1">
        <f t="shared" si="91"/>
        <v>1.7786437620058457</v>
      </c>
      <c r="P914" s="1">
        <f t="shared" si="92"/>
        <v>4.2417125495421377</v>
      </c>
      <c r="R914" s="3">
        <f t="shared" si="87"/>
        <v>-0.68023389901564713</v>
      </c>
      <c r="S914" s="3">
        <f t="shared" si="88"/>
        <v>-1.336892606992039</v>
      </c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</row>
    <row r="915" spans="1:100" x14ac:dyDescent="0.2">
      <c r="A915" s="32"/>
      <c r="F915" s="3"/>
      <c r="G915" s="3"/>
      <c r="H915" s="3"/>
      <c r="M915" s="1">
        <f t="shared" si="89"/>
        <v>27.390000000000281</v>
      </c>
      <c r="N915" s="1">
        <f t="shared" si="90"/>
        <v>6.6422610515759439</v>
      </c>
      <c r="O915" s="1">
        <f t="shared" si="91"/>
        <v>1.977911593553124</v>
      </c>
      <c r="P915" s="1">
        <f t="shared" si="92"/>
        <v>4.3010498973487312</v>
      </c>
      <c r="R915" s="3">
        <f t="shared" si="87"/>
        <v>-0.59975560675705397</v>
      </c>
      <c r="S915" s="3">
        <f t="shared" si="88"/>
        <v>-1.3748793445839085</v>
      </c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</row>
    <row r="916" spans="1:100" x14ac:dyDescent="0.2">
      <c r="A916" s="32"/>
      <c r="F916" s="3"/>
      <c r="G916" s="3"/>
      <c r="H916" s="3"/>
      <c r="M916" s="1">
        <f t="shared" si="89"/>
        <v>27.420000000000282</v>
      </c>
      <c r="N916" s="1">
        <f t="shared" si="90"/>
        <v>5.8195440241507592</v>
      </c>
      <c r="O916" s="1">
        <f t="shared" si="91"/>
        <v>2.1524979142776468</v>
      </c>
      <c r="P916" s="1">
        <f t="shared" si="92"/>
        <v>4.3656248347770603</v>
      </c>
      <c r="R916" s="3">
        <f t="shared" si="87"/>
        <v>-0.50978451636517852</v>
      </c>
      <c r="S916" s="3">
        <f t="shared" si="88"/>
        <v>-1.4107160404823933</v>
      </c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</row>
    <row r="917" spans="1:100" x14ac:dyDescent="0.2">
      <c r="A917" s="32"/>
      <c r="F917" s="3"/>
      <c r="G917" s="3"/>
      <c r="H917" s="3"/>
      <c r="M917" s="1">
        <f t="shared" si="89"/>
        <v>27.450000000000284</v>
      </c>
      <c r="N917" s="1">
        <f t="shared" si="90"/>
        <v>4.9041203513667968</v>
      </c>
      <c r="O917" s="1">
        <f t="shared" si="91"/>
        <v>2.2996215248186509</v>
      </c>
      <c r="P917" s="1">
        <f t="shared" si="92"/>
        <v>4.4346134805216195</v>
      </c>
      <c r="R917" s="3">
        <f t="shared" si="87"/>
        <v>-0.41132564792127424</v>
      </c>
      <c r="S917" s="3">
        <f t="shared" si="88"/>
        <v>-1.4425017197085568</v>
      </c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</row>
    <row r="918" spans="1:100" x14ac:dyDescent="0.2">
      <c r="A918" s="32"/>
      <c r="F918" s="3"/>
      <c r="G918" s="3"/>
      <c r="H918" s="3"/>
      <c r="M918" s="1">
        <f t="shared" si="89"/>
        <v>27.480000000000285</v>
      </c>
      <c r="N918" s="1">
        <f t="shared" si="90"/>
        <v>3.9062905419790637</v>
      </c>
      <c r="O918" s="1">
        <f t="shared" si="91"/>
        <v>2.4168102410780228</v>
      </c>
      <c r="P918" s="1">
        <f t="shared" si="92"/>
        <v>4.5071177877539599</v>
      </c>
      <c r="R918" s="3">
        <f t="shared" si="87"/>
        <v>-0.30574899980976289</v>
      </c>
      <c r="S918" s="3">
        <f t="shared" si="88"/>
        <v>-1.4685086139057304</v>
      </c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</row>
    <row r="919" spans="1:100" x14ac:dyDescent="0.2">
      <c r="A919" s="32"/>
      <c r="F919" s="3"/>
      <c r="G919" s="3"/>
      <c r="H919" s="3"/>
      <c r="M919" s="1">
        <f t="shared" si="89"/>
        <v>27.510000000000286</v>
      </c>
      <c r="N919" s="1">
        <f t="shared" si="90"/>
        <v>2.8399770764006069</v>
      </c>
      <c r="O919" s="1">
        <f t="shared" si="91"/>
        <v>2.5020095533700411</v>
      </c>
      <c r="P919" s="1">
        <f t="shared" si="92"/>
        <v>4.5821780743550615</v>
      </c>
      <c r="R919" s="3">
        <f t="shared" si="87"/>
        <v>-0.1947648991756914</v>
      </c>
      <c r="S919" s="3">
        <f t="shared" si="88"/>
        <v>-1.4873017965594888</v>
      </c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</row>
    <row r="920" spans="1:100" x14ac:dyDescent="0.2">
      <c r="A920" s="32"/>
      <c r="F920" s="3"/>
      <c r="G920" s="3"/>
      <c r="H920" s="3"/>
      <c r="M920" s="1">
        <f t="shared" si="89"/>
        <v>27.540000000000287</v>
      </c>
      <c r="N920" s="1">
        <f t="shared" si="90"/>
        <v>1.7224681319536104</v>
      </c>
      <c r="O920" s="1">
        <f t="shared" si="91"/>
        <v>2.5536835973286491</v>
      </c>
      <c r="P920" s="1">
        <f t="shared" si="92"/>
        <v>4.6587885822749211</v>
      </c>
      <c r="R920" s="3">
        <f t="shared" si="87"/>
        <v>-8.0362104172771218E-2</v>
      </c>
      <c r="S920" s="3">
        <f t="shared" si="88"/>
        <v>-1.4978457638264777</v>
      </c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</row>
    <row r="921" spans="1:100" x14ac:dyDescent="0.2">
      <c r="A921" s="32"/>
      <c r="F921" s="3"/>
      <c r="G921" s="3"/>
      <c r="H921" s="3"/>
      <c r="M921" s="1">
        <f t="shared" si="89"/>
        <v>27.570000000000288</v>
      </c>
      <c r="N921" s="1">
        <f t="shared" si="90"/>
        <v>0.57378951796813382</v>
      </c>
      <c r="O921" s="1">
        <f t="shared" si="91"/>
        <v>2.5708972828676933</v>
      </c>
      <c r="P921" s="1">
        <f t="shared" si="92"/>
        <v>4.7359155007609521</v>
      </c>
      <c r="R921" s="3">
        <f t="shared" si="87"/>
        <v>3.5286525188927567E-2</v>
      </c>
      <c r="S921" s="3">
        <f t="shared" si="88"/>
        <v>-1.4995848962763301</v>
      </c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</row>
    <row r="922" spans="1:100" x14ac:dyDescent="0.2">
      <c r="A922" s="32"/>
      <c r="F922" s="3"/>
      <c r="G922" s="3"/>
      <c r="H922" s="3"/>
      <c r="M922" s="1">
        <f t="shared" si="89"/>
        <v>27.600000000000289</v>
      </c>
      <c r="N922" s="1">
        <f t="shared" si="90"/>
        <v>-0.58424600734736809</v>
      </c>
      <c r="O922" s="1">
        <f t="shared" si="91"/>
        <v>2.553369902647272</v>
      </c>
      <c r="P922" s="1">
        <f t="shared" si="92"/>
        <v>4.8125165978403706</v>
      </c>
      <c r="R922" s="3">
        <f t="shared" si="87"/>
        <v>0.14994059360024059</v>
      </c>
      <c r="S922" s="3">
        <f t="shared" si="88"/>
        <v>-1.4924871250335152</v>
      </c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</row>
    <row r="923" spans="1:100" x14ac:dyDescent="0.2">
      <c r="A923" s="32"/>
      <c r="F923" s="3"/>
      <c r="G923" s="3"/>
      <c r="H923" s="3"/>
      <c r="M923" s="1">
        <f t="shared" si="89"/>
        <v>27.63000000000029</v>
      </c>
      <c r="N923" s="1">
        <f t="shared" si="90"/>
        <v>-1.7292092272406601</v>
      </c>
      <c r="O923" s="1">
        <f t="shared" si="91"/>
        <v>2.5014936258300522</v>
      </c>
      <c r="P923" s="1">
        <f t="shared" si="92"/>
        <v>4.8875614066152719</v>
      </c>
      <c r="R923" s="3">
        <f t="shared" si="87"/>
        <v>0.26141689153473691</v>
      </c>
      <c r="S923" s="3">
        <f t="shared" si="88"/>
        <v>-1.4770447551852706</v>
      </c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</row>
    <row r="924" spans="1:100" x14ac:dyDescent="0.2">
      <c r="A924" s="32"/>
      <c r="F924" s="3"/>
      <c r="G924" s="3"/>
      <c r="H924" s="3"/>
      <c r="M924" s="1">
        <f t="shared" si="89"/>
        <v>27.660000000000291</v>
      </c>
      <c r="N924" s="1">
        <f t="shared" si="90"/>
        <v>-2.8393033416720734</v>
      </c>
      <c r="O924" s="1">
        <f t="shared" si="91"/>
        <v>2.4163145255798901</v>
      </c>
      <c r="P924" s="1">
        <f t="shared" si="92"/>
        <v>4.9600508423826684</v>
      </c>
      <c r="R924" s="3">
        <f t="shared" si="87"/>
        <v>0.36770675115019325</v>
      </c>
      <c r="S924" s="3">
        <f t="shared" si="88"/>
        <v>-1.4542323559729269</v>
      </c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</row>
    <row r="925" spans="1:100" x14ac:dyDescent="0.2">
      <c r="A925" s="32"/>
      <c r="F925" s="3"/>
      <c r="G925" s="3"/>
      <c r="H925" s="3"/>
      <c r="M925" s="1">
        <f t="shared" si="89"/>
        <v>27.690000000000293</v>
      </c>
      <c r="N925" s="1">
        <f t="shared" si="90"/>
        <v>-3.894535818804123</v>
      </c>
      <c r="O925" s="1">
        <f t="shared" si="91"/>
        <v>2.2994784510157666</v>
      </c>
      <c r="P925" s="1">
        <f t="shared" si="92"/>
        <v>5.0290351959131412</v>
      </c>
      <c r="R925" s="3">
        <f t="shared" si="87"/>
        <v>0.46707189971822993</v>
      </c>
      <c r="S925" s="3">
        <f t="shared" si="88"/>
        <v>-1.4254275991763328</v>
      </c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</row>
    <row r="926" spans="1:100" x14ac:dyDescent="0.2">
      <c r="A926" s="32"/>
      <c r="F926" s="3"/>
      <c r="G926" s="3"/>
      <c r="H926" s="3"/>
      <c r="M926" s="1">
        <f t="shared" si="89"/>
        <v>27.720000000000294</v>
      </c>
      <c r="N926" s="1">
        <f t="shared" si="90"/>
        <v>-4.8776720577737187</v>
      </c>
      <c r="O926" s="1">
        <f t="shared" si="91"/>
        <v>2.1531482892825551</v>
      </c>
      <c r="P926" s="1">
        <f t="shared" si="92"/>
        <v>5.0936296445916183</v>
      </c>
      <c r="R926" s="3">
        <f t="shared" si="87"/>
        <v>0.55810851693271124</v>
      </c>
      <c r="S926" s="3">
        <f t="shared" si="88"/>
        <v>-1.3923055998333016</v>
      </c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</row>
    <row r="927" spans="1:100" x14ac:dyDescent="0.2">
      <c r="A927" s="32"/>
      <c r="F927" s="3"/>
      <c r="G927" s="3"/>
      <c r="H927" s="3"/>
      <c r="M927" s="1">
        <f t="shared" si="89"/>
        <v>27.750000000000295</v>
      </c>
      <c r="N927" s="1">
        <f t="shared" si="90"/>
        <v>-5.7748685153625425</v>
      </c>
      <c r="O927" s="1">
        <f t="shared" si="91"/>
        <v>1.9799022338216787</v>
      </c>
      <c r="P927" s="1">
        <f t="shared" si="92"/>
        <v>5.1530267116062687</v>
      </c>
      <c r="R927" s="3">
        <f t="shared" si="87"/>
        <v>0.63977455019291418</v>
      </c>
      <c r="S927" s="3">
        <f t="shared" si="88"/>
        <v>-1.3567197665418802</v>
      </c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</row>
    <row r="928" spans="1:100" x14ac:dyDescent="0.2">
      <c r="A928" s="32"/>
      <c r="F928" s="3"/>
      <c r="G928" s="3"/>
      <c r="H928" s="3"/>
      <c r="M928" s="1">
        <f t="shared" si="89"/>
        <v>27.780000000000296</v>
      </c>
      <c r="N928" s="1">
        <f t="shared" si="90"/>
        <v>-6.5759367029730935</v>
      </c>
      <c r="O928" s="1">
        <f t="shared" si="91"/>
        <v>1.7826241327324859</v>
      </c>
      <c r="P928" s="1">
        <f t="shared" si="92"/>
        <v>5.2065054355882436</v>
      </c>
      <c r="R928" s="3">
        <f t="shared" si="87"/>
        <v>0.71138096127066963</v>
      </c>
      <c r="S928" s="3">
        <f t="shared" si="88"/>
        <v>-1.3205821170762604</v>
      </c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</row>
    <row r="929" spans="1:100" x14ac:dyDescent="0.2">
      <c r="A929" s="32"/>
      <c r="F929" s="3"/>
      <c r="G929" s="3"/>
      <c r="H929" s="3"/>
      <c r="M929" s="1">
        <f t="shared" si="89"/>
        <v>27.810000000000297</v>
      </c>
      <c r="N929" s="1">
        <f t="shared" si="90"/>
        <v>-7.2742457846526198</v>
      </c>
      <c r="O929" s="1">
        <f t="shared" si="91"/>
        <v>1.5643967591929073</v>
      </c>
      <c r="P929" s="1">
        <f t="shared" si="92"/>
        <v>5.2534373383640309</v>
      </c>
      <c r="R929" s="3">
        <f t="shared" si="87"/>
        <v>0.77255234204514345</v>
      </c>
      <c r="S929" s="3">
        <f t="shared" si="88"/>
        <v>-1.285753817338515</v>
      </c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</row>
    <row r="930" spans="1:100" x14ac:dyDescent="0.2">
      <c r="A930" s="32"/>
      <c r="F930" s="3"/>
      <c r="G930" s="3"/>
      <c r="H930" s="3"/>
      <c r="M930" s="1">
        <f t="shared" si="89"/>
        <v>27.840000000000298</v>
      </c>
      <c r="N930" s="1">
        <f t="shared" si="90"/>
        <v>-7.8663191287787972</v>
      </c>
      <c r="O930" s="1">
        <f t="shared" si="91"/>
        <v>1.3284071853295434</v>
      </c>
      <c r="P930" s="1">
        <f t="shared" si="92"/>
        <v>5.2932895539239171</v>
      </c>
      <c r="R930" s="3">
        <f t="shared" si="87"/>
        <v>0.82316551587969444</v>
      </c>
      <c r="S930" s="3">
        <f t="shared" si="88"/>
        <v>-1.2539531623894555</v>
      </c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</row>
    <row r="931" spans="1:100" x14ac:dyDescent="0.2">
      <c r="A931" s="32"/>
      <c r="F931" s="3"/>
      <c r="G931" s="3"/>
      <c r="H931" s="3"/>
      <c r="M931" s="1">
        <f t="shared" si="89"/>
        <v>27.870000000000299</v>
      </c>
      <c r="N931" s="1">
        <f t="shared" si="90"/>
        <v>-8.3512118054766038</v>
      </c>
      <c r="O931" s="1">
        <f t="shared" si="91"/>
        <v>1.0778708311652454</v>
      </c>
      <c r="P931" s="1">
        <f t="shared" si="92"/>
        <v>5.3256256788588745</v>
      </c>
      <c r="R931" s="3">
        <f t="shared" si="87"/>
        <v>0.86327611232664569</v>
      </c>
      <c r="S931" s="3">
        <f t="shared" si="88"/>
        <v>-1.2266842926711798</v>
      </c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</row>
    <row r="932" spans="1:100" x14ac:dyDescent="0.2">
      <c r="A932" s="32"/>
      <c r="F932" s="3"/>
      <c r="G932" s="3"/>
      <c r="H932" s="3"/>
      <c r="M932" s="1">
        <f t="shared" si="89"/>
        <v>27.900000000000301</v>
      </c>
      <c r="N932" s="1">
        <f t="shared" si="90"/>
        <v>-8.7297694980713292</v>
      </c>
      <c r="O932" s="1">
        <f t="shared" si="91"/>
        <v>0.81597774622310548</v>
      </c>
      <c r="P932" s="1">
        <f t="shared" si="92"/>
        <v>5.3501050112455673</v>
      </c>
      <c r="R932" s="3">
        <f t="shared" si="87"/>
        <v>0.89304288503802798</v>
      </c>
      <c r="S932" s="3">
        <f t="shared" si="88"/>
        <v>-1.2051864608777163</v>
      </c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</row>
    <row r="933" spans="1:100" x14ac:dyDescent="0.2">
      <c r="A933" s="32"/>
      <c r="F933" s="3"/>
      <c r="G933" s="3"/>
      <c r="H933" s="3"/>
      <c r="M933" s="1">
        <f t="shared" si="89"/>
        <v>27.930000000000302</v>
      </c>
      <c r="N933" s="1">
        <f t="shared" si="90"/>
        <v>-9.0038668475403583</v>
      </c>
      <c r="O933" s="1">
        <f t="shared" si="91"/>
        <v>0.54586174079689476</v>
      </c>
      <c r="P933" s="1">
        <f t="shared" si="92"/>
        <v>5.3664808634694738</v>
      </c>
      <c r="R933" s="3">
        <f t="shared" si="87"/>
        <v>0.91265821801609004</v>
      </c>
      <c r="S933" s="3">
        <f t="shared" si="88"/>
        <v>-1.1904011832519721</v>
      </c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</row>
    <row r="934" spans="1:100" x14ac:dyDescent="0.2">
      <c r="A934" s="32"/>
      <c r="F934" s="3"/>
      <c r="G934" s="3"/>
      <c r="H934" s="3"/>
      <c r="M934" s="1">
        <f t="shared" si="89"/>
        <v>27.960000000000303</v>
      </c>
      <c r="N934" s="1">
        <f t="shared" si="90"/>
        <v>-9.175709736832621</v>
      </c>
      <c r="O934" s="1">
        <f t="shared" si="91"/>
        <v>0.27059044869191612</v>
      </c>
      <c r="P934" s="1">
        <f t="shared" si="92"/>
        <v>5.3745985769302314</v>
      </c>
      <c r="R934" s="3">
        <f t="shared" si="87"/>
        <v>0.92229137691597385</v>
      </c>
      <c r="S934" s="3">
        <f t="shared" si="88"/>
        <v>-1.1829533448392784</v>
      </c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</row>
    <row r="935" spans="1:100" x14ac:dyDescent="0.2">
      <c r="A935" s="32"/>
      <c r="F935" s="3"/>
      <c r="G935" s="3"/>
      <c r="H935" s="3"/>
      <c r="M935" s="1">
        <f t="shared" si="89"/>
        <v>27.990000000000304</v>
      </c>
      <c r="N935" s="1">
        <f t="shared" si="90"/>
        <v>-9.2472669095420112</v>
      </c>
      <c r="O935" s="1">
        <f t="shared" si="91"/>
        <v>-6.8275585943441963E-3</v>
      </c>
      <c r="P935" s="1">
        <f t="shared" si="92"/>
        <v>5.3743937501724011</v>
      </c>
      <c r="R935" s="3">
        <f t="shared" si="87"/>
        <v>0.92204905707247364</v>
      </c>
      <c r="S935" s="3">
        <f t="shared" si="88"/>
        <v>-1.1831422299756535</v>
      </c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</row>
    <row r="936" spans="1:100" x14ac:dyDescent="0.2">
      <c r="A936" s="32"/>
      <c r="F936" s="3"/>
      <c r="G936" s="3"/>
      <c r="H936" s="3"/>
      <c r="M936" s="1">
        <f t="shared" si="89"/>
        <v>28.020000000000305</v>
      </c>
      <c r="N936" s="1">
        <f t="shared" si="90"/>
        <v>-9.2198760904512458</v>
      </c>
      <c r="O936" s="1">
        <f t="shared" si="91"/>
        <v>-0.28342384130788156</v>
      </c>
      <c r="P936" s="1">
        <f t="shared" si="92"/>
        <v>5.3658910349331643</v>
      </c>
      <c r="R936" s="3">
        <f t="shared" si="87"/>
        <v>0.91195592671341941</v>
      </c>
      <c r="S936" s="3">
        <f t="shared" si="88"/>
        <v>-1.1909392880127303</v>
      </c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</row>
    <row r="937" spans="1:100" x14ac:dyDescent="0.2">
      <c r="A937" s="32"/>
      <c r="F937" s="3"/>
      <c r="G937" s="3"/>
      <c r="H937" s="3"/>
      <c r="M937" s="1">
        <f t="shared" si="89"/>
        <v>28.050000000000306</v>
      </c>
      <c r="N937" s="1">
        <f t="shared" si="90"/>
        <v>-9.0940511214164825</v>
      </c>
      <c r="O937" s="1">
        <f t="shared" si="91"/>
        <v>-0.55624537495037596</v>
      </c>
      <c r="P937" s="1">
        <f t="shared" si="92"/>
        <v>5.3492036736846531</v>
      </c>
      <c r="R937" s="3">
        <f t="shared" si="87"/>
        <v>0.89195624260182571</v>
      </c>
      <c r="S937" s="3">
        <f t="shared" si="88"/>
        <v>-1.2059909043121484</v>
      </c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</row>
    <row r="938" spans="1:100" x14ac:dyDescent="0.2">
      <c r="A938" s="32"/>
      <c r="F938" s="3"/>
      <c r="G938" s="3"/>
      <c r="H938" s="3"/>
      <c r="M938" s="1">
        <f t="shared" si="89"/>
        <v>28.080000000000307</v>
      </c>
      <c r="N938" s="1">
        <f t="shared" si="90"/>
        <v>-8.8695003422727225</v>
      </c>
      <c r="O938" s="1">
        <f t="shared" si="91"/>
        <v>-0.82233038521855761</v>
      </c>
      <c r="P938" s="1">
        <f t="shared" si="92"/>
        <v>5.3245337621280964</v>
      </c>
      <c r="R938" s="3">
        <f t="shared" si="87"/>
        <v>0.86193616085596259</v>
      </c>
      <c r="S938" s="3">
        <f t="shared" si="88"/>
        <v>-1.2276261868373795</v>
      </c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</row>
    <row r="939" spans="1:100" x14ac:dyDescent="0.2">
      <c r="A939" s="32"/>
      <c r="F939" s="3"/>
      <c r="G939" s="3"/>
      <c r="H939" s="3"/>
      <c r="M939" s="1">
        <f t="shared" si="89"/>
        <v>28.110000000000309</v>
      </c>
      <c r="N939" s="1">
        <f t="shared" si="90"/>
        <v>-8.5453518738899561</v>
      </c>
      <c r="O939" s="1">
        <f t="shared" si="91"/>
        <v>-1.0786909414352563</v>
      </c>
      <c r="P939" s="1">
        <f t="shared" si="92"/>
        <v>5.2921730338850388</v>
      </c>
      <c r="R939" s="3">
        <f t="shared" si="87"/>
        <v>0.82176493925095384</v>
      </c>
      <c r="S939" s="3">
        <f t="shared" si="88"/>
        <v>-1.2548714613927101</v>
      </c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</row>
    <row r="940" spans="1:100" x14ac:dyDescent="0.2">
      <c r="A940" s="32"/>
      <c r="F940" s="3"/>
      <c r="G940" s="3"/>
      <c r="H940" s="3"/>
      <c r="M940" s="1">
        <f t="shared" si="89"/>
        <v>28.14000000000031</v>
      </c>
      <c r="N940" s="1">
        <f t="shared" si="90"/>
        <v>-8.1205672077803666</v>
      </c>
      <c r="O940" s="1">
        <f t="shared" si="91"/>
        <v>-1.3223079576686674</v>
      </c>
      <c r="P940" s="1">
        <f t="shared" si="92"/>
        <v>5.2525037951549791</v>
      </c>
      <c r="R940" s="3">
        <f t="shared" si="87"/>
        <v>0.77135169883401211</v>
      </c>
      <c r="S940" s="3">
        <f t="shared" si="88"/>
        <v>-1.2864744679572477</v>
      </c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</row>
    <row r="941" spans="1:100" x14ac:dyDescent="0.2">
      <c r="A941" s="32"/>
      <c r="F941" s="3"/>
      <c r="G941" s="3"/>
      <c r="H941" s="3"/>
      <c r="M941" s="1">
        <f t="shared" si="89"/>
        <v>28.170000000000311</v>
      </c>
      <c r="N941" s="1">
        <f t="shared" si="90"/>
        <v>-7.5945092721499412</v>
      </c>
      <c r="O941" s="1">
        <f t="shared" si="91"/>
        <v>-1.5501432358331657</v>
      </c>
      <c r="P941" s="1">
        <f t="shared" si="92"/>
        <v>5.2059994980799837</v>
      </c>
      <c r="R941" s="3">
        <f t="shared" si="87"/>
        <v>0.71071273822633452</v>
      </c>
      <c r="S941" s="3">
        <f t="shared" si="88"/>
        <v>-1.3209418623553522</v>
      </c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</row>
    <row r="942" spans="1:100" x14ac:dyDescent="0.2">
      <c r="A942" s="32"/>
      <c r="F942" s="3"/>
      <c r="G942" s="3"/>
      <c r="H942" s="3"/>
      <c r="M942" s="1">
        <f t="shared" si="89"/>
        <v>28.200000000000312</v>
      </c>
      <c r="N942" s="1">
        <f t="shared" si="90"/>
        <v>-6.9676144910383595</v>
      </c>
      <c r="O942" s="1">
        <f t="shared" si="91"/>
        <v>-1.7591716705643166</v>
      </c>
      <c r="P942" s="1">
        <f t="shared" si="92"/>
        <v>5.1532243479630546</v>
      </c>
      <c r="R942" s="3">
        <f t="shared" si="87"/>
        <v>0.64004267484816912</v>
      </c>
      <c r="S942" s="3">
        <f t="shared" si="88"/>
        <v>-1.356593297334614</v>
      </c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</row>
    <row r="943" spans="1:100" x14ac:dyDescent="0.2">
      <c r="A943" s="32"/>
      <c r="F943" s="3"/>
      <c r="G943" s="3"/>
      <c r="H943" s="3"/>
      <c r="M943" s="1">
        <f t="shared" si="89"/>
        <v>28.230000000000313</v>
      </c>
      <c r="N943" s="1">
        <f t="shared" si="90"/>
        <v>-6.242101298130903</v>
      </c>
      <c r="O943" s="1">
        <f t="shared" si="91"/>
        <v>-1.9464347095082437</v>
      </c>
      <c r="P943" s="1">
        <f t="shared" si="92"/>
        <v>5.0948313066778077</v>
      </c>
      <c r="R943" s="3">
        <f t="shared" si="87"/>
        <v>0.55978119442976371</v>
      </c>
      <c r="S943" s="3">
        <f t="shared" si="88"/>
        <v>-1.3916339369111357</v>
      </c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</row>
    <row r="944" spans="1:100" x14ac:dyDescent="0.2">
      <c r="A944" s="32"/>
      <c r="F944" s="3"/>
      <c r="G944" s="3"/>
      <c r="H944" s="3"/>
      <c r="M944" s="1">
        <f t="shared" si="89"/>
        <v>28.260000000000314</v>
      </c>
      <c r="N944" s="1">
        <f t="shared" si="90"/>
        <v>-5.4226328204418959</v>
      </c>
      <c r="O944" s="1">
        <f t="shared" si="91"/>
        <v>-2.1091136941215005</v>
      </c>
      <c r="P944" s="1">
        <f t="shared" si="92"/>
        <v>5.0315578958541627</v>
      </c>
      <c r="R944" s="3">
        <f t="shared" si="87"/>
        <v>0.47066633579901779</v>
      </c>
      <c r="S944" s="3">
        <f t="shared" si="88"/>
        <v>-1.4242447824533275</v>
      </c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</row>
    <row r="945" spans="1:100" x14ac:dyDescent="0.2">
      <c r="A945" s="32"/>
      <c r="F945" s="3"/>
      <c r="G945" s="3"/>
      <c r="H945" s="3"/>
      <c r="M945" s="1">
        <f t="shared" si="89"/>
        <v>28.290000000000315</v>
      </c>
      <c r="N945" s="1">
        <f t="shared" si="90"/>
        <v>-4.5168431255192427</v>
      </c>
      <c r="O945" s="1">
        <f t="shared" si="91"/>
        <v>-2.2446189878870779</v>
      </c>
      <c r="P945" s="1">
        <f t="shared" si="92"/>
        <v>4.9642193262175507</v>
      </c>
      <c r="R945" s="3">
        <f t="shared" si="87"/>
        <v>0.3737654829836275</v>
      </c>
      <c r="S945" s="3">
        <f t="shared" si="88"/>
        <v>-1.4526869462241394</v>
      </c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</row>
    <row r="946" spans="1:100" x14ac:dyDescent="0.2">
      <c r="A946" s="32"/>
      <c r="F946" s="3"/>
      <c r="G946" s="3"/>
      <c r="H946" s="3"/>
      <c r="M946" s="1">
        <f t="shared" si="89"/>
        <v>28.320000000000316</v>
      </c>
      <c r="N946" s="1">
        <f t="shared" si="90"/>
        <v>-3.535639120926438</v>
      </c>
      <c r="O946" s="1">
        <f t="shared" si="91"/>
        <v>-2.3506881615148711</v>
      </c>
      <c r="P946" s="1">
        <f t="shared" si="92"/>
        <v>4.8936986813721042</v>
      </c>
      <c r="R946" s="3">
        <f t="shared" si="87"/>
        <v>0.27047694085075452</v>
      </c>
      <c r="S946" s="3">
        <f t="shared" si="88"/>
        <v>-1.4754125607666546</v>
      </c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</row>
    <row r="947" spans="1:100" x14ac:dyDescent="0.2">
      <c r="A947" s="32"/>
      <c r="F947" s="3"/>
      <c r="G947" s="3"/>
      <c r="H947" s="3"/>
      <c r="M947" s="1">
        <f t="shared" si="89"/>
        <v>28.350000000000318</v>
      </c>
      <c r="N947" s="1">
        <f t="shared" si="90"/>
        <v>-2.4932074739712067</v>
      </c>
      <c r="O947" s="1">
        <f t="shared" si="91"/>
        <v>-2.4254843857340074</v>
      </c>
      <c r="P947" s="1">
        <f t="shared" si="92"/>
        <v>4.8209341498000837</v>
      </c>
      <c r="R947" s="3">
        <f t="shared" si="87"/>
        <v>0.16249822116237697</v>
      </c>
      <c r="S947" s="3">
        <f t="shared" si="88"/>
        <v>-1.491172132290254</v>
      </c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</row>
    <row r="948" spans="1:100" x14ac:dyDescent="0.2">
      <c r="A948" s="32"/>
      <c r="F948" s="3"/>
      <c r="G948" s="3"/>
      <c r="H948" s="3"/>
      <c r="M948" s="1">
        <f t="shared" si="89"/>
        <v>28.380000000000319</v>
      </c>
      <c r="N948" s="1">
        <f t="shared" si="90"/>
        <v>-1.4066886169077091</v>
      </c>
      <c r="O948" s="1">
        <f t="shared" si="91"/>
        <v>-2.4676850442412386</v>
      </c>
      <c r="P948" s="1">
        <f t="shared" si="92"/>
        <v>4.7469035984728469</v>
      </c>
      <c r="R948" s="3">
        <f t="shared" si="87"/>
        <v>5.1761648783298878E-2</v>
      </c>
      <c r="S948" s="3">
        <f t="shared" si="88"/>
        <v>-1.4991066445437544</v>
      </c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</row>
    <row r="949" spans="1:100" x14ac:dyDescent="0.2">
      <c r="A949" s="32"/>
      <c r="F949" s="3"/>
      <c r="G949" s="3"/>
      <c r="H949" s="3"/>
      <c r="M949" s="1">
        <f t="shared" si="89"/>
        <v>28.41000000000032</v>
      </c>
      <c r="N949" s="1">
        <f t="shared" si="90"/>
        <v>-0.29552483385127726</v>
      </c>
      <c r="O949" s="1">
        <f t="shared" si="91"/>
        <v>-2.4765507892567769</v>
      </c>
      <c r="P949" s="1">
        <f t="shared" si="92"/>
        <v>4.6726070747951436</v>
      </c>
      <c r="R949" s="3">
        <f t="shared" si="87"/>
        <v>-5.9657119918686635E-2</v>
      </c>
      <c r="S949" s="3">
        <f t="shared" si="88"/>
        <v>-1.4988132065214157</v>
      </c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</row>
    <row r="950" spans="1:100" x14ac:dyDescent="0.2">
      <c r="A950" s="32"/>
      <c r="F950" s="3"/>
      <c r="G950" s="3"/>
      <c r="H950" s="3"/>
      <c r="M950" s="1">
        <f t="shared" si="89"/>
        <v>28.440000000000321</v>
      </c>
      <c r="N950" s="1">
        <f t="shared" si="90"/>
        <v>0.81946077021997621</v>
      </c>
      <c r="O950" s="1">
        <f t="shared" si="91"/>
        <v>-2.4519669661501777</v>
      </c>
      <c r="P950" s="1">
        <f t="shared" si="92"/>
        <v>4.5990480658106385</v>
      </c>
      <c r="R950" s="3">
        <f t="shared" si="87"/>
        <v>-0.16964760662564854</v>
      </c>
      <c r="S950" s="3">
        <f t="shared" si="88"/>
        <v>-1.4903756873909979</v>
      </c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</row>
    <row r="951" spans="1:100" x14ac:dyDescent="0.2">
      <c r="A951" s="32"/>
      <c r="F951" s="3"/>
      <c r="G951" s="3"/>
      <c r="H951" s="3"/>
      <c r="M951" s="1">
        <f t="shared" si="89"/>
        <v>28.470000000000322</v>
      </c>
      <c r="N951" s="1">
        <f t="shared" si="90"/>
        <v>1.9171530932100014</v>
      </c>
      <c r="O951" s="1">
        <f t="shared" si="91"/>
        <v>-2.3944523733538778</v>
      </c>
      <c r="P951" s="1">
        <f t="shared" si="92"/>
        <v>4.5272144946100221</v>
      </c>
      <c r="R951" s="3">
        <f t="shared" si="87"/>
        <v>-0.27617705868023817</v>
      </c>
      <c r="S951" s="3">
        <f t="shared" si="88"/>
        <v>-1.4743562094211602</v>
      </c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</row>
    <row r="952" spans="1:100" x14ac:dyDescent="0.2">
      <c r="A952" s="32"/>
      <c r="F952" s="3"/>
      <c r="G952" s="3"/>
      <c r="H952" s="3"/>
      <c r="M952" s="1">
        <f t="shared" si="89"/>
        <v>28.500000000000323</v>
      </c>
      <c r="N952" s="1">
        <f t="shared" si="90"/>
        <v>2.9772713004042308</v>
      </c>
      <c r="O952" s="1">
        <f t="shared" si="91"/>
        <v>-2.3051342343417511</v>
      </c>
      <c r="P952" s="1">
        <f t="shared" si="92"/>
        <v>4.4580604675797693</v>
      </c>
      <c r="R952" s="3">
        <f t="shared" si="87"/>
        <v>-0.3773933674543552</v>
      </c>
      <c r="S952" s="3">
        <f t="shared" si="88"/>
        <v>-1.4517486856207111</v>
      </c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</row>
    <row r="953" spans="1:100" x14ac:dyDescent="0.2">
      <c r="A953" s="32"/>
      <c r="F953" s="3"/>
      <c r="G953" s="3"/>
      <c r="H953" s="3"/>
      <c r="M953" s="1">
        <f t="shared" si="89"/>
        <v>28.530000000000324</v>
      </c>
      <c r="N953" s="1">
        <f t="shared" si="90"/>
        <v>3.9813957556343098</v>
      </c>
      <c r="O953" s="1">
        <f t="shared" si="91"/>
        <v>-2.185692361672722</v>
      </c>
      <c r="P953" s="1">
        <f t="shared" si="92"/>
        <v>4.3924896967295872</v>
      </c>
      <c r="R953" s="3">
        <f t="shared" si="87"/>
        <v>-0.4717064332486135</v>
      </c>
      <c r="S953" s="3">
        <f t="shared" si="88"/>
        <v>-1.4239006428932712</v>
      </c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</row>
    <row r="954" spans="1:100" x14ac:dyDescent="0.2">
      <c r="A954" s="32"/>
      <c r="F954" s="3"/>
      <c r="G954" s="3"/>
      <c r="H954" s="3"/>
      <c r="M954" s="1">
        <f t="shared" si="89"/>
        <v>28.560000000000326</v>
      </c>
      <c r="N954" s="1">
        <f t="shared" si="90"/>
        <v>4.9137766450366804</v>
      </c>
      <c r="O954" s="1">
        <f t="shared" si="91"/>
        <v>-2.0382790623216214</v>
      </c>
      <c r="P954" s="1">
        <f t="shared" si="92"/>
        <v>4.3313413248599382</v>
      </c>
      <c r="R954" s="3">
        <f t="shared" si="87"/>
        <v>-0.55783977946994134</v>
      </c>
      <c r="S954" s="3">
        <f t="shared" si="88"/>
        <v>-1.3924132936886688</v>
      </c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</row>
    <row r="955" spans="1:100" x14ac:dyDescent="0.2">
      <c r="A955" s="32"/>
      <c r="F955" s="3"/>
      <c r="G955" s="3"/>
      <c r="H955" s="3"/>
      <c r="M955" s="1">
        <f t="shared" si="89"/>
        <v>28.590000000000327</v>
      </c>
      <c r="N955" s="1">
        <f t="shared" si="90"/>
        <v>5.761842910308359</v>
      </c>
      <c r="O955" s="1">
        <f t="shared" si="91"/>
        <v>-1.8654237750123706</v>
      </c>
      <c r="P955" s="1">
        <f t="shared" si="92"/>
        <v>4.2753786116095673</v>
      </c>
      <c r="R955" s="3">
        <f t="shared" si="87"/>
        <v>-0.63484903765879264</v>
      </c>
      <c r="S955" s="3">
        <f t="shared" si="88"/>
        <v>-1.3590315299446531</v>
      </c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</row>
    <row r="956" spans="1:100" x14ac:dyDescent="0.2">
      <c r="A956" s="32"/>
      <c r="F956" s="3"/>
      <c r="G956" s="3"/>
      <c r="H956" s="3"/>
      <c r="M956" s="1">
        <f t="shared" si="89"/>
        <v>28.620000000000328</v>
      </c>
      <c r="N956" s="1">
        <f t="shared" si="90"/>
        <v>6.5163785163390395</v>
      </c>
      <c r="O956" s="1">
        <f t="shared" si="91"/>
        <v>-1.6699324195221994</v>
      </c>
      <c r="P956" s="1">
        <f t="shared" si="92"/>
        <v>4.2252806390239011</v>
      </c>
      <c r="R956" s="3">
        <f t="shared" si="87"/>
        <v>-0.70210877802169047</v>
      </c>
      <c r="S956" s="3">
        <f t="shared" si="88"/>
        <v>-1.3255350858520827</v>
      </c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</row>
    <row r="957" spans="1:100" x14ac:dyDescent="0.2">
      <c r="A957" s="32"/>
      <c r="F957" s="3"/>
      <c r="G957" s="3"/>
      <c r="H957" s="3"/>
      <c r="M957" s="1">
        <f t="shared" si="89"/>
        <v>28.650000000000329</v>
      </c>
      <c r="N957" s="1">
        <f t="shared" si="90"/>
        <v>7.1713816979739029</v>
      </c>
      <c r="O957" s="1">
        <f t="shared" si="91"/>
        <v>-1.4547909685829823</v>
      </c>
      <c r="P957" s="1">
        <f t="shared" si="92"/>
        <v>4.1816369099664117</v>
      </c>
      <c r="R957" s="3">
        <f t="shared" si="87"/>
        <v>-0.75927313477614644</v>
      </c>
      <c r="S957" s="3">
        <f t="shared" si="88"/>
        <v>-1.2936399448096845</v>
      </c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</row>
    <row r="958" spans="1:100" x14ac:dyDescent="0.2">
      <c r="A958" s="32"/>
      <c r="F958" s="3"/>
      <c r="G958" s="3"/>
      <c r="H958" s="3"/>
      <c r="M958" s="1">
        <f t="shared" si="89"/>
        <v>28.68000000000033</v>
      </c>
      <c r="N958" s="1">
        <f t="shared" si="90"/>
        <v>7.7236625349339327</v>
      </c>
      <c r="O958" s="1">
        <f t="shared" si="91"/>
        <v>-1.2230810925349642</v>
      </c>
      <c r="P958" s="1">
        <f t="shared" si="92"/>
        <v>4.1449444771903625</v>
      </c>
      <c r="R958" s="3">
        <f t="shared" si="87"/>
        <v>-0.80621822065970583</v>
      </c>
      <c r="S958" s="3">
        <f t="shared" si="88"/>
        <v>-1.2649158788932557</v>
      </c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</row>
    <row r="959" spans="1:100" x14ac:dyDescent="0.2">
      <c r="A959" s="32"/>
      <c r="F959" s="3"/>
      <c r="G959" s="3"/>
      <c r="H959" s="3"/>
      <c r="M959" s="1">
        <f t="shared" si="89"/>
        <v>28.710000000000331</v>
      </c>
      <c r="N959" s="1">
        <f t="shared" si="90"/>
        <v>8.1722595049252043</v>
      </c>
      <c r="O959" s="1">
        <f t="shared" si="91"/>
        <v>-0.97791330738720816</v>
      </c>
      <c r="P959" s="1">
        <f t="shared" si="92"/>
        <v>4.1156070779687459</v>
      </c>
      <c r="R959" s="3">
        <f t="shared" si="87"/>
        <v>-0.84297531550779647</v>
      </c>
      <c r="S959" s="3">
        <f t="shared" si="88"/>
        <v>-1.2407226190589622</v>
      </c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</row>
    <row r="960" spans="1:100" x14ac:dyDescent="0.2">
      <c r="A960" s="32"/>
      <c r="F960" s="3"/>
      <c r="G960" s="3"/>
      <c r="H960" s="3"/>
      <c r="M960" s="1">
        <f t="shared" si="89"/>
        <v>28.740000000000332</v>
      </c>
      <c r="N960" s="1">
        <f t="shared" si="90"/>
        <v>8.5177653527428134</v>
      </c>
      <c r="O960" s="1">
        <f t="shared" si="91"/>
        <v>-0.72238034680492369</v>
      </c>
      <c r="P960" s="1">
        <f t="shared" si="92"/>
        <v>4.0939356675645984</v>
      </c>
      <c r="R960" s="3">
        <f t="shared" si="87"/>
        <v>-0.86966347601442595</v>
      </c>
      <c r="S960" s="3">
        <f t="shared" si="88"/>
        <v>-1.2221642436622444</v>
      </c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</row>
    <row r="961" spans="1:100" x14ac:dyDescent="0.2">
      <c r="A961" s="32"/>
      <c r="F961" s="3"/>
      <c r="G961" s="3"/>
      <c r="H961" s="3"/>
      <c r="M961" s="1">
        <f t="shared" si="89"/>
        <v>28.770000000000334</v>
      </c>
      <c r="N961" s="1">
        <f t="shared" si="90"/>
        <v>8.7616489913567026</v>
      </c>
      <c r="O961" s="1">
        <f t="shared" si="91"/>
        <v>-0.45953087706422263</v>
      </c>
      <c r="P961" s="1">
        <f t="shared" si="92"/>
        <v>4.0801497412526713</v>
      </c>
      <c r="R961" s="3">
        <f t="shared" si="87"/>
        <v>-0.88642896930709192</v>
      </c>
      <c r="S961" s="3">
        <f t="shared" si="88"/>
        <v>-1.2100593714248762</v>
      </c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</row>
    <row r="962" spans="1:100" x14ac:dyDescent="0.2">
      <c r="A962" s="32"/>
      <c r="F962" s="3"/>
      <c r="G962" s="3"/>
      <c r="H962" s="3"/>
      <c r="M962" s="1">
        <f t="shared" si="89"/>
        <v>28.800000000000335</v>
      </c>
      <c r="N962" s="1">
        <f t="shared" si="90"/>
        <v>8.9056474720066987</v>
      </c>
      <c r="O962" s="1">
        <f t="shared" si="91"/>
        <v>-0.19236145290402168</v>
      </c>
      <c r="P962" s="1">
        <f t="shared" si="92"/>
        <v>4.0743788976655511</v>
      </c>
      <c r="R962" s="3">
        <f t="shared" ref="R962:R1025" si="93">$B$3*COS(P962)</f>
        <v>-0.89339723374214963</v>
      </c>
      <c r="S962" s="3">
        <f t="shared" ref="S962:S1025" si="94">$B$3*SIN(P962)</f>
        <v>-1.2049238078575237</v>
      </c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</row>
    <row r="963" spans="1:100" x14ac:dyDescent="0.2">
      <c r="A963" s="32"/>
      <c r="F963" s="3"/>
      <c r="G963" s="3"/>
      <c r="H963" s="3"/>
      <c r="M963" s="1">
        <f t="shared" ref="M963:M1026" si="95">M962+B$13</f>
        <v>28.830000000000336</v>
      </c>
      <c r="N963" s="1">
        <f t="shared" ref="N963:N1026" si="96">-$B$12*$B$3*COS(P962)-B$10*O962</f>
        <v>8.9512848681828583</v>
      </c>
      <c r="O963" s="1">
        <f t="shared" ref="O963:O1026" si="97">N963*$B$13+O962</f>
        <v>7.6177093141464036E-2</v>
      </c>
      <c r="P963" s="1">
        <f t="shared" ref="P963:P1026" si="98">O963*$B$13+P962</f>
        <v>4.0766642104597945</v>
      </c>
      <c r="R963" s="3">
        <f t="shared" si="93"/>
        <v>-0.89064127539328153</v>
      </c>
      <c r="S963" s="3">
        <f t="shared" si="94"/>
        <v>-1.2069623517599166</v>
      </c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</row>
    <row r="964" spans="1:100" x14ac:dyDescent="0.2">
      <c r="A964" s="32"/>
      <c r="F964" s="3"/>
      <c r="G964" s="3"/>
      <c r="H964" s="3"/>
      <c r="M964" s="1">
        <f t="shared" si="95"/>
        <v>28.860000000000337</v>
      </c>
      <c r="N964" s="1">
        <f t="shared" si="96"/>
        <v>8.8995568155500848</v>
      </c>
      <c r="O964" s="1">
        <f t="shared" si="97"/>
        <v>0.34316379760796656</v>
      </c>
      <c r="P964" s="1">
        <f t="shared" si="98"/>
        <v>4.0869591243880334</v>
      </c>
      <c r="R964" s="3">
        <f t="shared" si="93"/>
        <v>-0.87816872435054272</v>
      </c>
      <c r="S964" s="3">
        <f t="shared" si="94"/>
        <v>-1.2160673055273463</v>
      </c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</row>
    <row r="965" spans="1:100" x14ac:dyDescent="0.2">
      <c r="A965" s="32"/>
      <c r="F965" s="3"/>
      <c r="G965" s="3"/>
      <c r="H965" s="3"/>
      <c r="M965" s="1">
        <f t="shared" si="95"/>
        <v>28.890000000000338</v>
      </c>
      <c r="N965" s="1">
        <f t="shared" si="96"/>
        <v>8.7508025017207096</v>
      </c>
      <c r="O965" s="1">
        <f t="shared" si="97"/>
        <v>0.60568787265958779</v>
      </c>
      <c r="P965" s="1">
        <f t="shared" si="98"/>
        <v>4.105129760567821</v>
      </c>
      <c r="R965" s="3">
        <f t="shared" si="93"/>
        <v>-0.85592825432287201</v>
      </c>
      <c r="S965" s="3">
        <f t="shared" si="94"/>
        <v>-1.2318225616750982</v>
      </c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</row>
    <row r="966" spans="1:100" x14ac:dyDescent="0.2">
      <c r="A966" s="32"/>
      <c r="F966" s="3"/>
      <c r="G966" s="3"/>
      <c r="H966" s="3"/>
      <c r="M966" s="1">
        <f t="shared" si="95"/>
        <v>28.920000000000339</v>
      </c>
      <c r="N966" s="1">
        <f t="shared" si="96"/>
        <v>8.5047706346893577</v>
      </c>
      <c r="O966" s="1">
        <f t="shared" si="97"/>
        <v>0.86083099170026856</v>
      </c>
      <c r="P966" s="1">
        <f t="shared" si="98"/>
        <v>4.1309546903188288</v>
      </c>
      <c r="R966" s="3">
        <f t="shared" si="93"/>
        <v>-0.82383465413359658</v>
      </c>
      <c r="S966" s="3">
        <f t="shared" si="94"/>
        <v>-1.25351364677397</v>
      </c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</row>
    <row r="967" spans="1:100" x14ac:dyDescent="0.2">
      <c r="A967" s="32"/>
      <c r="F967" s="3"/>
      <c r="G967" s="3"/>
      <c r="H967" s="3"/>
      <c r="M967" s="1">
        <f t="shared" si="95"/>
        <v>28.95000000000034</v>
      </c>
      <c r="N967" s="1">
        <f t="shared" si="96"/>
        <v>8.1608717520829419</v>
      </c>
      <c r="O967" s="1">
        <f t="shared" si="97"/>
        <v>1.1056571442627567</v>
      </c>
      <c r="P967" s="1">
        <f t="shared" si="98"/>
        <v>4.1641244046467119</v>
      </c>
      <c r="R967" s="3">
        <f t="shared" si="93"/>
        <v>-0.78181042626908992</v>
      </c>
      <c r="S967" s="3">
        <f t="shared" si="94"/>
        <v>-1.2801454828951839</v>
      </c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</row>
    <row r="968" spans="1:100" x14ac:dyDescent="0.2">
      <c r="A968" s="32"/>
      <c r="F968" s="3"/>
      <c r="G968" s="3"/>
      <c r="H968" s="3"/>
      <c r="M968" s="1">
        <f t="shared" si="95"/>
        <v>28.980000000000341</v>
      </c>
      <c r="N968" s="1">
        <f t="shared" si="96"/>
        <v>7.7185951197072509</v>
      </c>
      <c r="O968" s="1">
        <f t="shared" si="97"/>
        <v>1.3372149978539742</v>
      </c>
      <c r="P968" s="1">
        <f t="shared" si="98"/>
        <v>4.2042408545823307</v>
      </c>
      <c r="R968" s="3">
        <f t="shared" si="93"/>
        <v>-0.7298402965279156</v>
      </c>
      <c r="S968" s="3">
        <f t="shared" si="94"/>
        <v>-1.3104705801978327</v>
      </c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</row>
    <row r="969" spans="1:100" x14ac:dyDescent="0.2">
      <c r="A969" s="32"/>
      <c r="F969" s="3"/>
      <c r="G969" s="3"/>
      <c r="H969" s="3"/>
      <c r="M969" s="1">
        <f t="shared" si="95"/>
        <v>29.010000000000343</v>
      </c>
      <c r="N969" s="1">
        <f t="shared" si="96"/>
        <v>7.1780536154722991</v>
      </c>
      <c r="O969" s="1">
        <f t="shared" si="97"/>
        <v>1.5525566063181433</v>
      </c>
      <c r="P969" s="1">
        <f t="shared" si="98"/>
        <v>4.250817552771875</v>
      </c>
      <c r="R969" s="3">
        <f t="shared" si="93"/>
        <v>-0.66803345982587881</v>
      </c>
      <c r="S969" s="3">
        <f t="shared" si="94"/>
        <v>-1.3430306387246218</v>
      </c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</row>
    <row r="970" spans="1:100" x14ac:dyDescent="0.2">
      <c r="A970" s="32"/>
      <c r="F970" s="3"/>
      <c r="G970" s="3"/>
      <c r="H970" s="3"/>
      <c r="M970" s="1">
        <f t="shared" si="95"/>
        <v>29.040000000000344</v>
      </c>
      <c r="N970" s="1">
        <f t="shared" si="96"/>
        <v>6.5406045036901546</v>
      </c>
      <c r="O970" s="1">
        <f t="shared" si="97"/>
        <v>1.7487747414288479</v>
      </c>
      <c r="P970" s="1">
        <f t="shared" si="98"/>
        <v>4.3032807950147403</v>
      </c>
      <c r="R970" s="3">
        <f t="shared" si="93"/>
        <v>-0.59668690171784422</v>
      </c>
      <c r="S970" s="3">
        <f t="shared" si="94"/>
        <v>-1.3762139155372466</v>
      </c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</row>
    <row r="971" spans="1:100" x14ac:dyDescent="0.2">
      <c r="A971" s="32"/>
      <c r="F971" s="3"/>
      <c r="G971" s="3"/>
      <c r="H971" s="3"/>
      <c r="M971" s="1">
        <f t="shared" si="95"/>
        <v>29.070000000000345</v>
      </c>
      <c r="N971" s="1">
        <f t="shared" si="96"/>
        <v>5.809479290449846</v>
      </c>
      <c r="O971" s="1">
        <f t="shared" si="97"/>
        <v>1.9230591201423433</v>
      </c>
      <c r="P971" s="1">
        <f t="shared" si="98"/>
        <v>4.3609725686190108</v>
      </c>
      <c r="R971" s="3">
        <f t="shared" si="93"/>
        <v>-0.51634200241325823</v>
      </c>
      <c r="S971" s="3">
        <f t="shared" si="94"/>
        <v>-1.4083291293386879</v>
      </c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</row>
    <row r="972" spans="1:100" x14ac:dyDescent="0.2">
      <c r="A972" s="32"/>
      <c r="F972" s="3"/>
      <c r="G972" s="3"/>
      <c r="H972" s="3"/>
      <c r="M972" s="1">
        <f t="shared" si="95"/>
        <v>29.100000000000346</v>
      </c>
      <c r="N972" s="1">
        <f t="shared" si="96"/>
        <v>4.9903447033197716</v>
      </c>
      <c r="O972" s="1">
        <f t="shared" si="97"/>
        <v>2.0727694612419363</v>
      </c>
      <c r="P972" s="1">
        <f t="shared" si="98"/>
        <v>4.423155652456269</v>
      </c>
      <c r="R972" s="3">
        <f t="shared" si="93"/>
        <v>-0.4278262234804891</v>
      </c>
      <c r="S972" s="3">
        <f t="shared" si="94"/>
        <v>-1.437694238182244</v>
      </c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</row>
    <row r="973" spans="1:100" x14ac:dyDescent="0.2">
      <c r="A973" s="32"/>
      <c r="F973" s="3"/>
      <c r="G973" s="3"/>
      <c r="H973" s="3"/>
      <c r="M973" s="1">
        <f t="shared" si="95"/>
        <v>29.130000000000347</v>
      </c>
      <c r="N973" s="1">
        <f t="shared" si="96"/>
        <v>4.0917129832931165</v>
      </c>
      <c r="O973" s="1">
        <f t="shared" si="97"/>
        <v>2.1955208507407296</v>
      </c>
      <c r="P973" s="1">
        <f t="shared" si="98"/>
        <v>4.489021277978491</v>
      </c>
      <c r="R973" s="3">
        <f t="shared" si="93"/>
        <v>-0.33227236731177306</v>
      </c>
      <c r="S973" s="3">
        <f t="shared" si="94"/>
        <v>-1.4627354764006477</v>
      </c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</row>
    <row r="974" spans="1:100" x14ac:dyDescent="0.2">
      <c r="A974" s="32"/>
      <c r="F974" s="3"/>
      <c r="G974" s="3"/>
      <c r="H974" s="3"/>
      <c r="M974" s="1">
        <f t="shared" si="95"/>
        <v>29.160000000000348</v>
      </c>
      <c r="N974" s="1">
        <f t="shared" si="96"/>
        <v>3.125126796551065</v>
      </c>
      <c r="O974" s="1">
        <f t="shared" si="97"/>
        <v>2.2892746546372615</v>
      </c>
      <c r="P974" s="1">
        <f t="shared" si="98"/>
        <v>4.5576995176176087</v>
      </c>
      <c r="R974" s="3">
        <f t="shared" si="93"/>
        <v>-0.23110991622827887</v>
      </c>
      <c r="S974" s="3">
        <f t="shared" si="94"/>
        <v>-1.4820891358555186</v>
      </c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</row>
    <row r="975" spans="1:100" x14ac:dyDescent="0.2">
      <c r="A975" s="32"/>
      <c r="F975" s="3"/>
      <c r="G975" s="3"/>
      <c r="H975" s="3"/>
      <c r="M975" s="1">
        <f t="shared" si="95"/>
        <v>29.190000000000349</v>
      </c>
      <c r="N975" s="1">
        <f t="shared" si="96"/>
        <v>2.1050644433654351</v>
      </c>
      <c r="O975" s="1">
        <f t="shared" si="97"/>
        <v>2.3524265879382247</v>
      </c>
      <c r="P975" s="1">
        <f t="shared" si="98"/>
        <v>4.6282723152557557</v>
      </c>
      <c r="R975" s="3">
        <f t="shared" si="93"/>
        <v>-0.1260262560753263</v>
      </c>
      <c r="S975" s="3">
        <f t="shared" si="94"/>
        <v>-1.4946964182668119</v>
      </c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</row>
    <row r="976" spans="1:100" x14ac:dyDescent="0.2">
      <c r="A976" s="32"/>
      <c r="F976" s="3"/>
      <c r="G976" s="3"/>
      <c r="H976" s="3"/>
      <c r="M976" s="1">
        <f t="shared" si="95"/>
        <v>29.220000000000351</v>
      </c>
      <c r="N976" s="1">
        <f t="shared" si="96"/>
        <v>1.0485441678388228</v>
      </c>
      <c r="O976" s="1">
        <f t="shared" si="97"/>
        <v>2.3838829129733892</v>
      </c>
      <c r="P976" s="1">
        <f t="shared" si="98"/>
        <v>4.6997888026449575</v>
      </c>
      <c r="R976" s="3">
        <f t="shared" si="93"/>
        <v>-1.8899766498404833E-2</v>
      </c>
      <c r="S976" s="3">
        <f t="shared" si="94"/>
        <v>-1.4998809282160721</v>
      </c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</row>
    <row r="977" spans="1:100" x14ac:dyDescent="0.2">
      <c r="A977" s="32"/>
      <c r="F977" s="3"/>
      <c r="G977" s="3"/>
      <c r="H977" s="3"/>
      <c r="M977" s="1">
        <f t="shared" si="95"/>
        <v>29.250000000000352</v>
      </c>
      <c r="N977" s="1">
        <f t="shared" si="96"/>
        <v>-2.5551797183556657E-2</v>
      </c>
      <c r="O977" s="1">
        <f t="shared" si="97"/>
        <v>2.3831163590578823</v>
      </c>
      <c r="P977" s="1">
        <f t="shared" si="98"/>
        <v>4.7712822934166939</v>
      </c>
      <c r="R977" s="3">
        <f t="shared" si="93"/>
        <v>8.8288911682969262E-2</v>
      </c>
      <c r="S977" s="3">
        <f t="shared" si="94"/>
        <v>-1.4973994350452511</v>
      </c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</row>
    <row r="978" spans="1:100" x14ac:dyDescent="0.2">
      <c r="A978" s="32"/>
      <c r="F978" s="3"/>
      <c r="G978" s="3"/>
      <c r="H978" s="3"/>
      <c r="M978" s="1">
        <f t="shared" si="95"/>
        <v>29.280000000000353</v>
      </c>
      <c r="N978" s="1">
        <f t="shared" si="96"/>
        <v>-1.0973695891449022</v>
      </c>
      <c r="O978" s="1">
        <f t="shared" si="97"/>
        <v>2.3501952713835355</v>
      </c>
      <c r="P978" s="1">
        <f t="shared" si="98"/>
        <v>4.8417881515582</v>
      </c>
      <c r="R978" s="3">
        <f t="shared" si="93"/>
        <v>0.19355754043183568</v>
      </c>
      <c r="S978" s="3">
        <f t="shared" si="94"/>
        <v>-1.4874594039979641</v>
      </c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</row>
    <row r="979" spans="1:100" x14ac:dyDescent="0.2">
      <c r="A979" s="32"/>
      <c r="F979" s="3"/>
      <c r="G979" s="3"/>
      <c r="H979" s="3"/>
      <c r="M979" s="1">
        <f t="shared" si="95"/>
        <v>29.310000000000354</v>
      </c>
      <c r="N979" s="1">
        <f t="shared" si="96"/>
        <v>-2.147092978742875</v>
      </c>
      <c r="O979" s="1">
        <f t="shared" si="97"/>
        <v>2.2857824820212493</v>
      </c>
      <c r="P979" s="1">
        <f t="shared" si="98"/>
        <v>4.9103616260188376</v>
      </c>
      <c r="R979" s="3">
        <f t="shared" si="93"/>
        <v>0.29502297242844272</v>
      </c>
      <c r="S979" s="3">
        <f t="shared" si="94"/>
        <v>-1.4707010048747116</v>
      </c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</row>
    <row r="980" spans="1:100" x14ac:dyDescent="0.2">
      <c r="A980" s="32"/>
      <c r="F980" s="3"/>
      <c r="G980" s="3"/>
      <c r="H980" s="3"/>
      <c r="M980" s="1">
        <f t="shared" si="95"/>
        <v>29.340000000000355</v>
      </c>
      <c r="N980" s="1">
        <f t="shared" si="96"/>
        <v>-3.1559501476663394</v>
      </c>
      <c r="O980" s="1">
        <f t="shared" si="97"/>
        <v>2.1911039775912591</v>
      </c>
      <c r="P980" s="1">
        <f t="shared" si="98"/>
        <v>4.9760947453465754</v>
      </c>
      <c r="R980" s="3">
        <f t="shared" si="93"/>
        <v>0.39098998892066888</v>
      </c>
      <c r="S980" s="3">
        <f t="shared" si="94"/>
        <v>-1.4481459969781414</v>
      </c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</row>
    <row r="981" spans="1:100" x14ac:dyDescent="0.2">
      <c r="A981" s="32"/>
      <c r="F981" s="3"/>
      <c r="G981" s="3"/>
      <c r="H981" s="3"/>
      <c r="M981" s="1">
        <f t="shared" si="95"/>
        <v>29.370000000000356</v>
      </c>
      <c r="N981" s="1">
        <f t="shared" si="96"/>
        <v>-4.1070992471899022</v>
      </c>
      <c r="O981" s="1">
        <f t="shared" si="97"/>
        <v>2.0678910001755622</v>
      </c>
      <c r="P981" s="1">
        <f t="shared" si="98"/>
        <v>5.0381314753518422</v>
      </c>
      <c r="R981" s="3">
        <f t="shared" si="93"/>
        <v>0.48001848550509524</v>
      </c>
      <c r="S981" s="3">
        <f t="shared" si="94"/>
        <v>-1.4211200700762039</v>
      </c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</row>
    <row r="982" spans="1:100" x14ac:dyDescent="0.2">
      <c r="A982" s="32"/>
      <c r="F982" s="3"/>
      <c r="G982" s="3"/>
      <c r="H982" s="3"/>
      <c r="M982" s="1">
        <f t="shared" si="95"/>
        <v>29.400000000000357</v>
      </c>
      <c r="N982" s="1">
        <f t="shared" si="96"/>
        <v>-4.9862950450667531</v>
      </c>
      <c r="O982" s="1">
        <f t="shared" si="97"/>
        <v>1.9183021488235596</v>
      </c>
      <c r="P982" s="1">
        <f t="shared" si="98"/>
        <v>5.0956805398165494</v>
      </c>
      <c r="R982" s="3">
        <f t="shared" si="93"/>
        <v>0.56096281408770632</v>
      </c>
      <c r="S982" s="3">
        <f t="shared" si="94"/>
        <v>-1.3911580504064953</v>
      </c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</row>
    <row r="983" spans="1:100" x14ac:dyDescent="0.2">
      <c r="A983" s="32"/>
      <c r="F983" s="3"/>
      <c r="G983" s="3"/>
      <c r="H983" s="3"/>
      <c r="M983" s="1">
        <f t="shared" si="95"/>
        <v>29.430000000000359</v>
      </c>
      <c r="N983" s="1">
        <f t="shared" si="96"/>
        <v>-5.7822753342711843</v>
      </c>
      <c r="O983" s="1">
        <f t="shared" si="97"/>
        <v>1.7448338887954242</v>
      </c>
      <c r="P983" s="1">
        <f t="shared" si="98"/>
        <v>5.1480255564804125</v>
      </c>
      <c r="R983" s="3">
        <f t="shared" si="93"/>
        <v>0.63298141160194832</v>
      </c>
      <c r="S983" s="3">
        <f t="shared" si="94"/>
        <v>-1.3599023981765768</v>
      </c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</row>
    <row r="984" spans="1:100" x14ac:dyDescent="0.2">
      <c r="A984" s="32"/>
      <c r="F984" s="3"/>
      <c r="G984" s="3"/>
      <c r="H984" s="3"/>
      <c r="M984" s="1">
        <f t="shared" si="95"/>
        <v>29.46000000000036</v>
      </c>
      <c r="N984" s="1">
        <f t="shared" si="96"/>
        <v>-6.486849166011071</v>
      </c>
      <c r="O984" s="1">
        <f t="shared" si="97"/>
        <v>1.5502284138150921</v>
      </c>
      <c r="P984" s="1">
        <f t="shared" si="98"/>
        <v>5.1945324088948652</v>
      </c>
      <c r="R984" s="3">
        <f t="shared" si="93"/>
        <v>0.69551898527883294</v>
      </c>
      <c r="S984" s="3">
        <f t="shared" si="94"/>
        <v>-1.3290046430004308</v>
      </c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</row>
    <row r="985" spans="1:100" x14ac:dyDescent="0.2">
      <c r="A985" s="32"/>
      <c r="F985" s="3"/>
      <c r="G985" s="3"/>
      <c r="H985" s="3"/>
      <c r="M985" s="1">
        <f t="shared" si="95"/>
        <v>29.490000000000361</v>
      </c>
      <c r="N985" s="1">
        <f t="shared" si="96"/>
        <v>-7.0947104100316878</v>
      </c>
      <c r="O985" s="1">
        <f t="shared" si="97"/>
        <v>1.3373871015141414</v>
      </c>
      <c r="P985" s="1">
        <f t="shared" si="98"/>
        <v>5.2346540219402895</v>
      </c>
      <c r="R985" s="3">
        <f t="shared" si="93"/>
        <v>0.74826676210202114</v>
      </c>
      <c r="S985" s="3">
        <f t="shared" si="94"/>
        <v>-1.3000372505175986</v>
      </c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</row>
    <row r="986" spans="1:100" x14ac:dyDescent="0.2">
      <c r="A986" s="32"/>
      <c r="F986" s="3"/>
      <c r="G986" s="3"/>
      <c r="H986" s="3"/>
      <c r="M986" s="1">
        <f t="shared" si="95"/>
        <v>29.520000000000362</v>
      </c>
      <c r="N986" s="1">
        <f t="shared" si="96"/>
        <v>-7.6030324601564843</v>
      </c>
      <c r="O986" s="1">
        <f t="shared" si="97"/>
        <v>1.1092961277094469</v>
      </c>
      <c r="P986" s="1">
        <f t="shared" si="98"/>
        <v>5.2679329057715725</v>
      </c>
      <c r="R986" s="3">
        <f t="shared" si="93"/>
        <v>0.79110825698540199</v>
      </c>
      <c r="S986" s="3">
        <f t="shared" si="94"/>
        <v>-1.2744205450829482</v>
      </c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</row>
    <row r="987" spans="1:100" x14ac:dyDescent="0.2">
      <c r="A987" s="32"/>
      <c r="F987" s="3"/>
      <c r="G987" s="3"/>
      <c r="H987" s="3"/>
      <c r="M987" s="1">
        <f t="shared" si="95"/>
        <v>29.550000000000363</v>
      </c>
      <c r="N987" s="1">
        <f t="shared" si="96"/>
        <v>-8.010919221347871</v>
      </c>
      <c r="O987" s="1">
        <f t="shared" si="97"/>
        <v>0.86896855106901072</v>
      </c>
      <c r="P987" s="1">
        <f t="shared" si="98"/>
        <v>5.2940019623036427</v>
      </c>
      <c r="R987" s="3">
        <f t="shared" si="93"/>
        <v>0.82405863365598164</v>
      </c>
      <c r="S987" s="3">
        <f t="shared" si="94"/>
        <v>-1.253366414220932</v>
      </c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</row>
    <row r="988" spans="1:100" x14ac:dyDescent="0.2">
      <c r="A988" s="32"/>
      <c r="F988" s="3"/>
      <c r="G988" s="3"/>
      <c r="H988" s="3"/>
      <c r="M988" s="1">
        <f t="shared" si="95"/>
        <v>29.580000000000364</v>
      </c>
      <c r="N988" s="1">
        <f t="shared" si="96"/>
        <v>-8.3187935061560285</v>
      </c>
      <c r="O988" s="1">
        <f t="shared" si="97"/>
        <v>0.61940474588432992</v>
      </c>
      <c r="P988" s="1">
        <f t="shared" si="98"/>
        <v>5.3125841046801723</v>
      </c>
      <c r="R988" s="3">
        <f t="shared" si="93"/>
        <v>0.84720525851318151</v>
      </c>
      <c r="S988" s="3">
        <f t="shared" si="94"/>
        <v>-1.2378381356007793</v>
      </c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</row>
    <row r="989" spans="1:100" x14ac:dyDescent="0.2">
      <c r="A989" s="32"/>
      <c r="F989" s="3"/>
      <c r="G989" s="3"/>
      <c r="H989" s="3"/>
      <c r="M989" s="1">
        <f t="shared" si="95"/>
        <v>29.610000000000365</v>
      </c>
      <c r="N989" s="1">
        <f t="shared" si="96"/>
        <v>-8.5277990122614042</v>
      </c>
      <c r="O989" s="1">
        <f t="shared" si="97"/>
        <v>0.36357077551648781</v>
      </c>
      <c r="P989" s="1">
        <f t="shared" si="98"/>
        <v>5.3234912279456665</v>
      </c>
      <c r="R989" s="3">
        <f t="shared" si="93"/>
        <v>0.86065585041530057</v>
      </c>
      <c r="S989" s="3">
        <f t="shared" si="94"/>
        <v>-1.2285241174457733</v>
      </c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</row>
    <row r="990" spans="1:100" x14ac:dyDescent="0.2">
      <c r="A990" s="32"/>
      <c r="F990" s="3"/>
      <c r="G990" s="3"/>
      <c r="H990" s="3"/>
      <c r="M990" s="1">
        <f t="shared" si="95"/>
        <v>29.640000000000366</v>
      </c>
      <c r="N990" s="1">
        <f t="shared" si="96"/>
        <v>-8.6392798739494889</v>
      </c>
      <c r="O990" s="1">
        <f t="shared" si="97"/>
        <v>0.10439237929800316</v>
      </c>
      <c r="P990" s="1">
        <f t="shared" si="98"/>
        <v>5.3266229993246066</v>
      </c>
      <c r="R990" s="3">
        <f t="shared" si="93"/>
        <v>0.86449908014596866</v>
      </c>
      <c r="S990" s="3">
        <f t="shared" si="94"/>
        <v>-1.2258227198199478</v>
      </c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</row>
    <row r="991" spans="1:100" x14ac:dyDescent="0.2">
      <c r="A991" s="32"/>
      <c r="F991" s="3"/>
      <c r="G991" s="3"/>
      <c r="H991" s="3"/>
      <c r="M991" s="1">
        <f t="shared" si="95"/>
        <v>29.670000000000368</v>
      </c>
      <c r="N991" s="1">
        <f t="shared" si="96"/>
        <v>-8.6543861155965072</v>
      </c>
      <c r="O991" s="1">
        <f t="shared" si="97"/>
        <v>-0.15523920416989206</v>
      </c>
      <c r="P991" s="1">
        <f t="shared" si="98"/>
        <v>5.3219658231995099</v>
      </c>
      <c r="R991" s="3">
        <f t="shared" si="93"/>
        <v>0.8587808533100485</v>
      </c>
      <c r="S991" s="3">
        <f t="shared" si="94"/>
        <v>-1.2298355361543529</v>
      </c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</row>
    <row r="992" spans="1:100" x14ac:dyDescent="0.2">
      <c r="A992" s="32"/>
      <c r="F992" s="3"/>
      <c r="G992" s="3"/>
      <c r="H992" s="3"/>
      <c r="M992" s="1">
        <f t="shared" si="95"/>
        <v>29.700000000000369</v>
      </c>
      <c r="N992" s="1">
        <f t="shared" si="96"/>
        <v>-8.5738370047251955</v>
      </c>
      <c r="O992" s="1">
        <f t="shared" si="97"/>
        <v>-0.41245431431164792</v>
      </c>
      <c r="P992" s="1">
        <f t="shared" si="98"/>
        <v>5.3095921937701602</v>
      </c>
      <c r="R992" s="3">
        <f t="shared" si="93"/>
        <v>0.84349797072658683</v>
      </c>
      <c r="S992" s="3">
        <f t="shared" si="94"/>
        <v>-1.2403673542060554</v>
      </c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</row>
    <row r="993" spans="1:100" x14ac:dyDescent="0.2">
      <c r="A993" s="32"/>
      <c r="F993" s="3"/>
      <c r="G993" s="3"/>
      <c r="H993" s="3"/>
      <c r="M993" s="1">
        <f t="shared" si="95"/>
        <v>29.73000000000037</v>
      </c>
      <c r="N993" s="1">
        <f t="shared" si="96"/>
        <v>-8.3978588189778201</v>
      </c>
      <c r="O993" s="1">
        <f t="shared" si="97"/>
        <v>-0.66439007888098245</v>
      </c>
      <c r="P993" s="1">
        <f t="shared" si="98"/>
        <v>5.2896604914037306</v>
      </c>
      <c r="R993" s="3">
        <f t="shared" si="93"/>
        <v>0.81860943086681237</v>
      </c>
      <c r="S993" s="3">
        <f t="shared" si="94"/>
        <v>-1.2569322176219024</v>
      </c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</row>
    <row r="994" spans="1:100" x14ac:dyDescent="0.2">
      <c r="A994" s="32"/>
      <c r="F994" s="3"/>
      <c r="G994" s="3"/>
      <c r="H994" s="3"/>
      <c r="M994" s="1">
        <f t="shared" si="95"/>
        <v>29.760000000000371</v>
      </c>
      <c r="N994" s="1">
        <f t="shared" si="96"/>
        <v>-8.1262992015688358</v>
      </c>
      <c r="O994" s="1">
        <f t="shared" si="97"/>
        <v>-0.90817905492804751</v>
      </c>
      <c r="P994" s="1">
        <f t="shared" si="98"/>
        <v>5.2624151197558895</v>
      </c>
      <c r="R994" s="3">
        <f t="shared" si="93"/>
        <v>0.78406426981054222</v>
      </c>
      <c r="S994" s="3">
        <f t="shared" si="94"/>
        <v>-1.2787662885791371</v>
      </c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</row>
    <row r="995" spans="1:100" x14ac:dyDescent="0.2">
      <c r="A995" s="32"/>
      <c r="F995" s="3"/>
      <c r="G995" s="3"/>
      <c r="H995" s="3"/>
      <c r="M995" s="1">
        <f t="shared" si="95"/>
        <v>29.790000000000372</v>
      </c>
      <c r="N995" s="1">
        <f t="shared" si="96"/>
        <v>-7.7589065831618989</v>
      </c>
      <c r="O995" s="1">
        <f t="shared" si="97"/>
        <v>-1.1409462524229044</v>
      </c>
      <c r="P995" s="1">
        <f t="shared" si="98"/>
        <v>5.2281867321832021</v>
      </c>
      <c r="R995" s="3">
        <f t="shared" si="93"/>
        <v>0.73984345473056901</v>
      </c>
      <c r="S995" s="3">
        <f t="shared" si="94"/>
        <v>-1.304849287271268</v>
      </c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</row>
    <row r="996" spans="1:100" x14ac:dyDescent="0.2">
      <c r="A996" s="32"/>
      <c r="F996" s="3"/>
      <c r="G996" s="3"/>
      <c r="H996" s="3"/>
      <c r="M996" s="1">
        <f t="shared" si="95"/>
        <v>29.820000000000373</v>
      </c>
      <c r="N996" s="1">
        <f t="shared" si="96"/>
        <v>-7.2957493845876291</v>
      </c>
      <c r="O996" s="1">
        <f t="shared" si="97"/>
        <v>-1.3598187339605332</v>
      </c>
      <c r="P996" s="1">
        <f t="shared" si="98"/>
        <v>5.1873921701643857</v>
      </c>
      <c r="R996" s="3">
        <f t="shared" si="93"/>
        <v>0.68601192573674385</v>
      </c>
      <c r="S996" s="3">
        <f t="shared" si="94"/>
        <v>-1.3339368942146268</v>
      </c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</row>
    <row r="997" spans="1:100" x14ac:dyDescent="0.2">
      <c r="A997" s="32"/>
      <c r="F997" s="3"/>
      <c r="G997" s="3"/>
      <c r="H997" s="3"/>
      <c r="M997" s="1">
        <f t="shared" si="95"/>
        <v>29.850000000000374</v>
      </c>
      <c r="N997" s="1">
        <f t="shared" si="96"/>
        <v>-6.7377355713109903</v>
      </c>
      <c r="O997" s="1">
        <f t="shared" si="97"/>
        <v>-1.5619508010998628</v>
      </c>
      <c r="P997" s="1">
        <f t="shared" si="98"/>
        <v>5.1405336461313897</v>
      </c>
      <c r="R997" s="3">
        <f t="shared" si="93"/>
        <v>0.62277547592485194</v>
      </c>
      <c r="S997" s="3">
        <f t="shared" si="94"/>
        <v>-1.3646064291899602</v>
      </c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</row>
    <row r="998" spans="1:100" x14ac:dyDescent="0.2">
      <c r="A998" s="32"/>
      <c r="F998" s="3"/>
      <c r="G998" s="3"/>
      <c r="H998" s="3"/>
      <c r="M998" s="1">
        <f t="shared" si="95"/>
        <v>29.880000000000376</v>
      </c>
      <c r="N998" s="1">
        <f t="shared" si="96"/>
        <v>-6.0871791871495322</v>
      </c>
      <c r="O998" s="1">
        <f t="shared" si="97"/>
        <v>-1.7445661767143488</v>
      </c>
      <c r="P998" s="1">
        <f t="shared" si="98"/>
        <v>5.0881966608299596</v>
      </c>
      <c r="R998" s="3">
        <f t="shared" si="93"/>
        <v>0.55053594351932023</v>
      </c>
      <c r="S998" s="3">
        <f t="shared" si="94"/>
        <v>-1.3953172309167876</v>
      </c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</row>
    <row r="999" spans="1:100" x14ac:dyDescent="0.2">
      <c r="A999" s="32"/>
      <c r="F999" s="3"/>
      <c r="G999" s="3"/>
      <c r="H999" s="3"/>
      <c r="M999" s="1">
        <f t="shared" si="95"/>
        <v>29.910000000000377</v>
      </c>
      <c r="N999" s="1">
        <f t="shared" si="96"/>
        <v>-5.3483484792889113</v>
      </c>
      <c r="O999" s="1">
        <f t="shared" si="97"/>
        <v>-1.9050166310930161</v>
      </c>
      <c r="P999" s="1">
        <f t="shared" si="98"/>
        <v>5.0310461618971694</v>
      </c>
      <c r="R999" s="3">
        <f t="shared" si="93"/>
        <v>0.46993743978549418</v>
      </c>
      <c r="S999" s="3">
        <f t="shared" si="94"/>
        <v>-1.4244854519046011</v>
      </c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</row>
    <row r="1000" spans="1:100" x14ac:dyDescent="0.2">
      <c r="A1000" s="32"/>
      <c r="F1000" s="3"/>
      <c r="G1000" s="3"/>
      <c r="H1000" s="3"/>
      <c r="M1000" s="1">
        <f t="shared" si="95"/>
        <v>29.940000000000378</v>
      </c>
      <c r="N1000" s="1">
        <f t="shared" si="96"/>
        <v>-4.52792290105657</v>
      </c>
      <c r="O1000" s="1">
        <f t="shared" si="97"/>
        <v>-2.0408543181247132</v>
      </c>
      <c r="P1000" s="1">
        <f t="shared" si="98"/>
        <v>4.9698205323534284</v>
      </c>
      <c r="R1000" s="3">
        <f t="shared" si="93"/>
        <v>0.38189637632147333</v>
      </c>
      <c r="S1000" s="3">
        <f t="shared" si="94"/>
        <v>-1.4505706317696245</v>
      </c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</row>
    <row r="1001" spans="1:100" x14ac:dyDescent="0.2">
      <c r="A1001" s="32"/>
      <c r="F1001" s="3"/>
      <c r="G1001" s="3"/>
      <c r="H1001" s="3"/>
      <c r="M1001" s="1">
        <f t="shared" si="95"/>
        <v>29.970000000000379</v>
      </c>
      <c r="N1001" s="1">
        <f t="shared" si="96"/>
        <v>-3.635286874583509</v>
      </c>
      <c r="O1001" s="1">
        <f t="shared" si="97"/>
        <v>-2.1499129243622184</v>
      </c>
      <c r="P1001" s="1">
        <f t="shared" si="98"/>
        <v>4.905323144622562</v>
      </c>
      <c r="R1001" s="3">
        <f t="shared" si="93"/>
        <v>0.28760915936620313</v>
      </c>
      <c r="S1001" s="3">
        <f t="shared" si="94"/>
        <v>-1.4721687985583265</v>
      </c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</row>
    <row r="1002" spans="1:100" x14ac:dyDescent="0.2">
      <c r="A1002" s="32"/>
      <c r="F1002" s="3"/>
      <c r="G1002" s="3"/>
      <c r="H1002" s="3"/>
      <c r="M1002" s="1">
        <f t="shared" si="95"/>
        <v>30.00000000000038</v>
      </c>
      <c r="N1002" s="1">
        <f t="shared" si="96"/>
        <v>-2.6825994304694314</v>
      </c>
      <c r="O1002" s="1">
        <f t="shared" si="97"/>
        <v>-2.2303909072763015</v>
      </c>
      <c r="P1002" s="1">
        <f t="shared" si="98"/>
        <v>4.8384114174042727</v>
      </c>
      <c r="R1002" s="3">
        <f t="shared" si="93"/>
        <v>0.18853369150218829</v>
      </c>
      <c r="S1002" s="3">
        <f t="shared" si="94"/>
        <v>-1.4881045148673389</v>
      </c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</row>
    <row r="1003" spans="1:100" x14ac:dyDescent="0.2">
      <c r="A1003" s="32"/>
      <c r="F1003" s="3"/>
      <c r="G1003" s="3"/>
      <c r="H1003" s="3"/>
      <c r="M1003" s="1">
        <f t="shared" si="95"/>
        <v>30.030000000000381</v>
      </c>
      <c r="N1003" s="1">
        <f t="shared" si="96"/>
        <v>-1.684601733367016</v>
      </c>
      <c r="O1003" s="1">
        <f t="shared" si="97"/>
        <v>-2.2809289592773121</v>
      </c>
      <c r="P1003" s="1">
        <f t="shared" si="98"/>
        <v>4.7699835486259534</v>
      </c>
      <c r="R1003" s="3">
        <f t="shared" si="93"/>
        <v>8.6344098053635521E-2</v>
      </c>
      <c r="S1003" s="3">
        <f t="shared" si="94"/>
        <v>-1.4975128369170343</v>
      </c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</row>
    <row r="1004" spans="1:100" x14ac:dyDescent="0.2">
      <c r="A1004" s="32"/>
      <c r="F1004" s="3"/>
      <c r="G1004" s="3"/>
      <c r="H1004" s="3"/>
      <c r="M1004" s="1">
        <f t="shared" si="95"/>
        <v>30.060000000000382</v>
      </c>
      <c r="N1004" s="1">
        <f t="shared" si="96"/>
        <v>-0.65815737420139708</v>
      </c>
      <c r="O1004" s="1">
        <f t="shared" si="97"/>
        <v>-2.3006736805033539</v>
      </c>
      <c r="P1004" s="1">
        <f t="shared" si="98"/>
        <v>4.7009633382108529</v>
      </c>
      <c r="R1004" s="3">
        <f t="shared" si="93"/>
        <v>-1.7138090372220711E-2</v>
      </c>
      <c r="S1004" s="3">
        <f t="shared" si="94"/>
        <v>-1.4999020920908115</v>
      </c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</row>
    <row r="1005" spans="1:100" x14ac:dyDescent="0.2">
      <c r="A1005" s="32"/>
      <c r="F1005" s="3"/>
      <c r="G1005" s="3"/>
      <c r="H1005" s="3"/>
      <c r="M1005" s="1">
        <f t="shared" si="95"/>
        <v>30.090000000000384</v>
      </c>
      <c r="N1005" s="1">
        <f t="shared" si="96"/>
        <v>0.37844153496750893</v>
      </c>
      <c r="O1005" s="1">
        <f t="shared" si="97"/>
        <v>-2.2893204344543285</v>
      </c>
      <c r="P1005" s="1">
        <f t="shared" si="98"/>
        <v>4.6322837251772233</v>
      </c>
      <c r="R1005" s="3">
        <f t="shared" si="93"/>
        <v>-0.12002941814505755</v>
      </c>
      <c r="S1005" s="3">
        <f t="shared" si="94"/>
        <v>-1.495189934014993</v>
      </c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</row>
    <row r="1006" spans="1:100" x14ac:dyDescent="0.2">
      <c r="A1006" s="32"/>
      <c r="F1006" s="3"/>
      <c r="G1006" s="3"/>
      <c r="H1006" s="3"/>
      <c r="M1006" s="1">
        <f t="shared" si="95"/>
        <v>30.120000000000385</v>
      </c>
      <c r="N1006" s="1">
        <f t="shared" si="96"/>
        <v>1.4063330205514653</v>
      </c>
      <c r="O1006" s="1">
        <f t="shared" si="97"/>
        <v>-2.2471304438377846</v>
      </c>
      <c r="P1006" s="1">
        <f t="shared" si="98"/>
        <v>4.5648698118620894</v>
      </c>
      <c r="R1006" s="3">
        <f t="shared" si="93"/>
        <v>-0.22047705107332397</v>
      </c>
      <c r="S1006" s="3">
        <f t="shared" si="94"/>
        <v>-1.4837081485083281</v>
      </c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</row>
    <row r="1007" spans="1:100" x14ac:dyDescent="0.2">
      <c r="A1007" s="32"/>
      <c r="F1007" s="3"/>
      <c r="G1007" s="3"/>
      <c r="H1007" s="3"/>
      <c r="M1007" s="1">
        <f t="shared" si="95"/>
        <v>30.150000000000386</v>
      </c>
      <c r="N1007" s="1">
        <f t="shared" si="96"/>
        <v>2.40701225067864</v>
      </c>
      <c r="O1007" s="1">
        <f t="shared" si="97"/>
        <v>-2.1749200763174255</v>
      </c>
      <c r="P1007" s="1">
        <f t="shared" si="98"/>
        <v>4.4996222095725669</v>
      </c>
      <c r="R1007" s="3">
        <f t="shared" si="93"/>
        <v>-0.31674762884999597</v>
      </c>
      <c r="S1007" s="3">
        <f t="shared" si="94"/>
        <v>-1.4661756169088016</v>
      </c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</row>
    <row r="1008" spans="1:100" x14ac:dyDescent="0.2">
      <c r="A1008" s="32"/>
      <c r="F1008" s="3"/>
      <c r="G1008" s="3"/>
      <c r="H1008" s="3"/>
      <c r="M1008" s="1">
        <f t="shared" si="95"/>
        <v>30.180000000000387</v>
      </c>
      <c r="N1008" s="1">
        <f t="shared" si="96"/>
        <v>3.3632190953685286</v>
      </c>
      <c r="O1008" s="1">
        <f t="shared" si="97"/>
        <v>-2.0740235034563694</v>
      </c>
      <c r="P1008" s="1">
        <f t="shared" si="98"/>
        <v>4.4374015044688759</v>
      </c>
      <c r="R1008" s="3">
        <f t="shared" si="93"/>
        <v>-0.40730232516092824</v>
      </c>
      <c r="S1008" s="3">
        <f t="shared" si="94"/>
        <v>-1.443642897644186</v>
      </c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</row>
    <row r="1009" spans="1:100" x14ac:dyDescent="0.2">
      <c r="A1009" s="32"/>
      <c r="F1009" s="3"/>
      <c r="G1009" s="3"/>
      <c r="H1009" s="3"/>
      <c r="M1009" s="1">
        <f t="shared" si="95"/>
        <v>30.210000000000388</v>
      </c>
      <c r="N1009" s="1">
        <f t="shared" si="96"/>
        <v>4.2596853669203547</v>
      </c>
      <c r="O1009" s="1">
        <f t="shared" si="97"/>
        <v>-1.9462329424487588</v>
      </c>
      <c r="P1009" s="1">
        <f t="shared" si="98"/>
        <v>4.3790145161954133</v>
      </c>
      <c r="R1009" s="3">
        <f t="shared" si="93"/>
        <v>-0.49085034511111109</v>
      </c>
      <c r="S1009" s="3">
        <f t="shared" si="94"/>
        <v>-1.4174152315762318</v>
      </c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</row>
    <row r="1010" spans="1:100" x14ac:dyDescent="0.2">
      <c r="A1010" s="32"/>
      <c r="F1010" s="3"/>
      <c r="G1010" s="3"/>
      <c r="H1010" s="3"/>
      <c r="M1010" s="1">
        <f t="shared" si="95"/>
        <v>30.240000000000389</v>
      </c>
      <c r="N1010" s="1">
        <f t="shared" si="96"/>
        <v>5.0836644159314988</v>
      </c>
      <c r="O1010" s="1">
        <f t="shared" si="97"/>
        <v>-1.7937230099708139</v>
      </c>
      <c r="P1010" s="1">
        <f t="shared" si="98"/>
        <v>4.3252028258962891</v>
      </c>
      <c r="R1010" s="3">
        <f t="shared" si="93"/>
        <v>-0.56637654335679133</v>
      </c>
      <c r="S1010" s="3">
        <f t="shared" si="94"/>
        <v>-1.388962782487426</v>
      </c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</row>
    <row r="1011" spans="1:100" x14ac:dyDescent="0.2">
      <c r="A1011" s="32"/>
      <c r="F1011" s="3"/>
      <c r="G1011" s="3"/>
      <c r="H1011" s="3"/>
      <c r="M1011" s="1">
        <f t="shared" si="95"/>
        <v>30.27000000000039</v>
      </c>
      <c r="N1011" s="1">
        <f t="shared" si="96"/>
        <v>5.825200504465287</v>
      </c>
      <c r="O1011" s="1">
        <f t="shared" si="97"/>
        <v>-1.6189669948368552</v>
      </c>
      <c r="P1011" s="1">
        <f t="shared" si="98"/>
        <v>4.2766338160511834</v>
      </c>
      <c r="R1011" s="3">
        <f t="shared" si="93"/>
        <v>-0.63314267557966541</v>
      </c>
      <c r="S1011" s="3">
        <f t="shared" si="94"/>
        <v>-1.3598273244643315</v>
      </c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</row>
    <row r="1012" spans="1:100" x14ac:dyDescent="0.2">
      <c r="A1012" s="32"/>
      <c r="F1012" s="3"/>
      <c r="G1012" s="3"/>
      <c r="H1012" s="3"/>
      <c r="M1012" s="1">
        <f t="shared" si="95"/>
        <v>30.300000000000392</v>
      </c>
      <c r="N1012" s="1">
        <f t="shared" si="96"/>
        <v>6.4771337853319713</v>
      </c>
      <c r="O1012" s="1">
        <f t="shared" si="97"/>
        <v>-1.4246529812768962</v>
      </c>
      <c r="P1012" s="1">
        <f t="shared" si="98"/>
        <v>4.2338942266128763</v>
      </c>
      <c r="R1012" s="3">
        <f t="shared" si="93"/>
        <v>-0.69066526071301504</v>
      </c>
      <c r="S1012" s="3">
        <f t="shared" si="94"/>
        <v>-1.331533513526499</v>
      </c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</row>
    <row r="1013" spans="1:100" x14ac:dyDescent="0.2">
      <c r="A1013" s="32"/>
      <c r="F1013" s="3"/>
      <c r="G1013" s="3"/>
      <c r="H1013" s="3"/>
      <c r="M1013" s="1">
        <f t="shared" si="95"/>
        <v>30.330000000000393</v>
      </c>
      <c r="N1013" s="1">
        <f t="shared" si="96"/>
        <v>7.0348713754450705</v>
      </c>
      <c r="O1013" s="1">
        <f t="shared" si="97"/>
        <v>-1.213606840013544</v>
      </c>
      <c r="P1013" s="1">
        <f t="shared" si="98"/>
        <v>4.1974860214124696</v>
      </c>
      <c r="R1013" s="3">
        <f t="shared" si="93"/>
        <v>-0.738675588925364</v>
      </c>
      <c r="S1013" s="3">
        <f t="shared" si="94"/>
        <v>-1.3055107714323029</v>
      </c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</row>
    <row r="1014" spans="1:100" x14ac:dyDescent="0.2">
      <c r="A1014" s="32"/>
      <c r="F1014" s="3"/>
      <c r="G1014" s="3"/>
      <c r="H1014" s="3"/>
      <c r="M1014" s="1">
        <f t="shared" si="95"/>
        <v>30.360000000000394</v>
      </c>
      <c r="N1014" s="1">
        <f t="shared" si="96"/>
        <v>7.4959805048548596</v>
      </c>
      <c r="O1014" s="1">
        <f t="shared" si="97"/>
        <v>-0.98872742486789822</v>
      </c>
      <c r="P1014" s="1">
        <f t="shared" si="98"/>
        <v>4.1678241986664331</v>
      </c>
      <c r="R1014" s="3">
        <f t="shared" si="93"/>
        <v>-0.77706881158204877</v>
      </c>
      <c r="S1014" s="3">
        <f t="shared" si="94"/>
        <v>-1.2830292522255533</v>
      </c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</row>
    <row r="1015" spans="1:100" x14ac:dyDescent="0.2">
      <c r="A1015" s="32"/>
      <c r="F1015" s="3"/>
      <c r="G1015" s="3"/>
      <c r="H1015" s="3"/>
      <c r="M1015" s="1">
        <f t="shared" si="95"/>
        <v>30.390000000000395</v>
      </c>
      <c r="N1015" s="1">
        <f t="shared" si="96"/>
        <v>7.8596735840585978</v>
      </c>
      <c r="O1015" s="1">
        <f t="shared" si="97"/>
        <v>-0.75293721734614028</v>
      </c>
      <c r="P1015" s="1">
        <f t="shared" si="98"/>
        <v>4.1452360821460488</v>
      </c>
      <c r="R1015" s="3">
        <f t="shared" si="93"/>
        <v>-0.80584933064836362</v>
      </c>
      <c r="S1015" s="3">
        <f t="shared" si="94"/>
        <v>-1.2651509223383526</v>
      </c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</row>
    <row r="1016" spans="1:100" x14ac:dyDescent="0.2">
      <c r="A1016" s="32"/>
      <c r="F1016" s="3"/>
      <c r="G1016" s="3"/>
      <c r="H1016" s="3"/>
      <c r="M1016" s="1">
        <f t="shared" si="95"/>
        <v>30.420000000000396</v>
      </c>
      <c r="N1016" s="1">
        <f t="shared" si="96"/>
        <v>8.1262576560447872</v>
      </c>
      <c r="O1016" s="1">
        <f t="shared" si="97"/>
        <v>-0.50914948766479662</v>
      </c>
      <c r="P1016" s="1">
        <f t="shared" si="98"/>
        <v>4.1299615975161048</v>
      </c>
      <c r="R1016" s="3">
        <f t="shared" si="93"/>
        <v>-0.82507910306314702</v>
      </c>
      <c r="S1016" s="3">
        <f t="shared" si="94"/>
        <v>-1.2526948845143868</v>
      </c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</row>
    <row r="1017" spans="1:100" x14ac:dyDescent="0.2">
      <c r="A1017" s="32"/>
      <c r="F1017" s="3"/>
      <c r="G1017" s="3"/>
      <c r="H1017" s="3"/>
      <c r="M1017" s="1">
        <f t="shared" si="95"/>
        <v>30.450000000000397</v>
      </c>
      <c r="N1017" s="1">
        <f t="shared" si="96"/>
        <v>8.2966144845213012</v>
      </c>
      <c r="O1017" s="1">
        <f t="shared" si="97"/>
        <v>-0.26025105312915758</v>
      </c>
      <c r="P1017" s="1">
        <f t="shared" si="98"/>
        <v>4.1221540659222304</v>
      </c>
      <c r="R1017" s="3">
        <f t="shared" si="93"/>
        <v>-0.83483431131392671</v>
      </c>
      <c r="S1017" s="3">
        <f t="shared" si="94"/>
        <v>-1.2462149383846277</v>
      </c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</row>
    <row r="1018" spans="1:100" x14ac:dyDescent="0.2">
      <c r="A1018" s="32"/>
      <c r="F1018" s="3"/>
      <c r="G1018" s="3"/>
      <c r="H1018" s="3"/>
      <c r="M1018" s="1">
        <f t="shared" si="95"/>
        <v>30.480000000000398</v>
      </c>
      <c r="N1018" s="1">
        <f t="shared" si="96"/>
        <v>8.3717657079208916</v>
      </c>
      <c r="O1018" s="1">
        <f t="shared" si="97"/>
        <v>-9.0980818915308292E-3</v>
      </c>
      <c r="P1018" s="1">
        <f t="shared" si="98"/>
        <v>4.1218811234654842</v>
      </c>
      <c r="R1018" s="3">
        <f t="shared" si="93"/>
        <v>-0.83517442518005036</v>
      </c>
      <c r="S1018" s="3">
        <f t="shared" si="94"/>
        <v>-1.2459870302395497</v>
      </c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</row>
    <row r="1019" spans="1:100" x14ac:dyDescent="0.2">
      <c r="A1019" s="32"/>
      <c r="F1019" s="3"/>
      <c r="G1019" s="3"/>
      <c r="H1019" s="3"/>
      <c r="M1019" s="1">
        <f t="shared" si="95"/>
        <v>30.510000000000399</v>
      </c>
      <c r="N1019" s="1">
        <f t="shared" si="96"/>
        <v>8.3525630791707393</v>
      </c>
      <c r="O1019" s="1">
        <f t="shared" si="97"/>
        <v>0.24147881048359132</v>
      </c>
      <c r="P1019" s="1">
        <f t="shared" si="98"/>
        <v>4.1291254877799917</v>
      </c>
      <c r="R1019" s="3">
        <f t="shared" si="93"/>
        <v>-0.82612620493251088</v>
      </c>
      <c r="S1019" s="3">
        <f t="shared" si="94"/>
        <v>-1.252004590057004</v>
      </c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</row>
    <row r="1020" spans="1:100" x14ac:dyDescent="0.2">
      <c r="A1020" s="32"/>
      <c r="F1020" s="3"/>
      <c r="G1020" s="3"/>
      <c r="H1020" s="3"/>
      <c r="M1020" s="1">
        <f t="shared" si="95"/>
        <v>30.540000000000401</v>
      </c>
      <c r="N1020" s="1">
        <f t="shared" si="96"/>
        <v>8.2395289563815854</v>
      </c>
      <c r="O1020" s="1">
        <f t="shared" si="97"/>
        <v>0.48866467917503886</v>
      </c>
      <c r="P1020" s="1">
        <f t="shared" si="98"/>
        <v>4.1437854281552431</v>
      </c>
      <c r="R1020" s="3">
        <f t="shared" si="93"/>
        <v>-0.80768377832581795</v>
      </c>
      <c r="S1020" s="3">
        <f t="shared" si="94"/>
        <v>-1.2639805830111992</v>
      </c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</row>
    <row r="1021" spans="1:100" x14ac:dyDescent="0.2">
      <c r="A1021" s="32"/>
      <c r="F1021" s="3"/>
      <c r="G1021" s="3"/>
      <c r="H1021" s="3"/>
      <c r="M1021" s="1">
        <f t="shared" si="95"/>
        <v>30.570000000000402</v>
      </c>
      <c r="N1021" s="1">
        <f t="shared" si="96"/>
        <v>8.0328579621324252</v>
      </c>
      <c r="O1021" s="1">
        <f t="shared" si="97"/>
        <v>0.72965041803901165</v>
      </c>
      <c r="P1021" s="1">
        <f t="shared" si="98"/>
        <v>4.1656749406964133</v>
      </c>
      <c r="R1021" s="3">
        <f t="shared" si="93"/>
        <v>-0.77982457554505302</v>
      </c>
      <c r="S1021" s="3">
        <f t="shared" si="94"/>
        <v>-1.2813561688211355</v>
      </c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</row>
    <row r="1022" spans="1:100" x14ac:dyDescent="0.2">
      <c r="A1022" s="32"/>
      <c r="F1022" s="3"/>
      <c r="G1022" s="3"/>
      <c r="H1022" s="3"/>
      <c r="M1022" s="1">
        <f t="shared" si="95"/>
        <v>30.600000000000403</v>
      </c>
      <c r="N1022" s="1">
        <f t="shared" si="96"/>
        <v>7.7325772178270196</v>
      </c>
      <c r="O1022" s="1">
        <f t="shared" si="97"/>
        <v>0.96162773457382222</v>
      </c>
      <c r="P1022" s="1">
        <f t="shared" si="98"/>
        <v>4.1945237727336284</v>
      </c>
      <c r="R1022" s="3">
        <f t="shared" si="93"/>
        <v>-0.74253958992125035</v>
      </c>
      <c r="S1022" s="3">
        <f t="shared" si="94"/>
        <v>-1.3033169059747447</v>
      </c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</row>
    <row r="1023" spans="1:100" x14ac:dyDescent="0.2">
      <c r="A1023" s="32"/>
      <c r="F1023" s="3"/>
      <c r="G1023" s="3"/>
      <c r="H1023" s="3"/>
      <c r="M1023" s="1">
        <f t="shared" si="95"/>
        <v>30.630000000000404</v>
      </c>
      <c r="N1023" s="1">
        <f t="shared" si="96"/>
        <v>7.3388494031008591</v>
      </c>
      <c r="O1023" s="1">
        <f t="shared" si="97"/>
        <v>1.1817932166668479</v>
      </c>
      <c r="P1023" s="1">
        <f t="shared" si="98"/>
        <v>4.2299775692336334</v>
      </c>
      <c r="R1023" s="3">
        <f t="shared" si="93"/>
        <v>-0.69587511047430262</v>
      </c>
      <c r="S1023" s="3">
        <f t="shared" si="94"/>
        <v>-1.328818208267172</v>
      </c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</row>
    <row r="1024" spans="1:100" x14ac:dyDescent="0.2">
      <c r="A1024" s="32"/>
      <c r="F1024" s="3"/>
      <c r="G1024" s="3"/>
      <c r="H1024" s="3"/>
      <c r="M1024" s="1">
        <f t="shared" si="95"/>
        <v>30.660000000000405</v>
      </c>
      <c r="N1024" s="1">
        <f t="shared" si="96"/>
        <v>6.8523897152430102</v>
      </c>
      <c r="O1024" s="1">
        <f t="shared" si="97"/>
        <v>1.3873649081241382</v>
      </c>
      <c r="P1024" s="1">
        <f t="shared" si="98"/>
        <v>4.2715985164773578</v>
      </c>
      <c r="R1024" s="3">
        <f t="shared" si="93"/>
        <v>-0.63998175818376923</v>
      </c>
      <c r="S1024" s="3">
        <f t="shared" si="94"/>
        <v>-1.3566220362326462</v>
      </c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</row>
    <row r="1025" spans="1:100" x14ac:dyDescent="0.2">
      <c r="A1025" s="32"/>
      <c r="F1025" s="3"/>
      <c r="G1025" s="3"/>
      <c r="H1025" s="3"/>
      <c r="M1025" s="1">
        <f t="shared" si="95"/>
        <v>30.690000000000406</v>
      </c>
      <c r="N1025" s="1">
        <f t="shared" si="96"/>
        <v>6.2749547401065202</v>
      </c>
      <c r="O1025" s="1">
        <f t="shared" si="97"/>
        <v>1.5756135503273336</v>
      </c>
      <c r="P1025" s="1">
        <f t="shared" si="98"/>
        <v>4.3188669229871781</v>
      </c>
      <c r="R1025" s="3">
        <f t="shared" si="93"/>
        <v>-0.57516544963424121</v>
      </c>
      <c r="S1025" s="3">
        <f t="shared" si="94"/>
        <v>-1.3853464207724511</v>
      </c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</row>
    <row r="1026" spans="1:100" x14ac:dyDescent="0.2">
      <c r="A1026" s="32"/>
      <c r="F1026" s="3"/>
      <c r="G1026" s="3"/>
      <c r="H1026" s="3"/>
      <c r="M1026" s="1">
        <f t="shared" si="95"/>
        <v>30.720000000000407</v>
      </c>
      <c r="N1026" s="1">
        <f t="shared" si="96"/>
        <v>5.6098492768129518</v>
      </c>
      <c r="O1026" s="1">
        <f t="shared" si="97"/>
        <v>1.7439090286317223</v>
      </c>
      <c r="P1026" s="1">
        <f t="shared" si="98"/>
        <v>4.3711841938461298</v>
      </c>
      <c r="R1026" s="3">
        <f t="shared" ref="R1026:R1089" si="99">$B$3*COS(P1026)</f>
        <v>-0.50193400194935456</v>
      </c>
      <c r="S1026" s="3">
        <f t="shared" ref="S1026:S1089" si="100">$B$3*SIN(P1026)</f>
        <v>-1.4135283009855535</v>
      </c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</row>
    <row r="1027" spans="1:100" x14ac:dyDescent="0.2">
      <c r="A1027" s="32"/>
      <c r="F1027" s="3"/>
      <c r="G1027" s="3"/>
      <c r="H1027" s="3"/>
      <c r="M1027" s="1">
        <f t="shared" ref="M1027:M1090" si="101">M1026+B$13</f>
        <v>30.750000000000409</v>
      </c>
      <c r="N1027" s="1">
        <f t="shared" ref="N1027:N1090" si="102">-$B$12*$B$3*COS(P1026)-B$10*O1026</f>
        <v>4.862388206916691</v>
      </c>
      <c r="O1027" s="1">
        <f t="shared" ref="O1027:O1090" si="103">N1027*$B$13+O1026</f>
        <v>1.889780674839223</v>
      </c>
      <c r="P1027" s="1">
        <f t="shared" ref="P1027:P1090" si="104">O1027*$B$13+P1026</f>
        <v>4.4278776140913063</v>
      </c>
      <c r="R1027" s="3">
        <f t="shared" si="99"/>
        <v>-0.42103274207780278</v>
      </c>
      <c r="S1027" s="3">
        <f t="shared" si="100"/>
        <v>-1.4396983816405597</v>
      </c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</row>
    <row r="1028" spans="1:100" x14ac:dyDescent="0.2">
      <c r="A1028" s="32"/>
      <c r="F1028" s="3"/>
      <c r="G1028" s="3"/>
      <c r="H1028" s="3"/>
      <c r="M1028" s="1">
        <f t="shared" si="101"/>
        <v>30.78000000000041</v>
      </c>
      <c r="N1028" s="1">
        <f t="shared" si="102"/>
        <v>4.0402471600424974</v>
      </c>
      <c r="O1028" s="1">
        <f t="shared" si="103"/>
        <v>2.0109880896404979</v>
      </c>
      <c r="P1028" s="1">
        <f t="shared" si="104"/>
        <v>4.4882072567805213</v>
      </c>
      <c r="R1028" s="3">
        <f t="shared" si="99"/>
        <v>-0.3334629547781886</v>
      </c>
      <c r="S1028" s="3">
        <f t="shared" si="100"/>
        <v>-1.4624645150534763</v>
      </c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</row>
    <row r="1029" spans="1:100" x14ac:dyDescent="0.2">
      <c r="A1029" s="32"/>
      <c r="F1029" s="3"/>
      <c r="G1029" s="3"/>
      <c r="H1029" s="3"/>
      <c r="M1029" s="1">
        <f t="shared" si="101"/>
        <v>30.810000000000411</v>
      </c>
      <c r="N1029" s="1">
        <f t="shared" si="102"/>
        <v>3.1536406197142415</v>
      </c>
      <c r="O1029" s="1">
        <f t="shared" si="103"/>
        <v>2.1055973082319253</v>
      </c>
      <c r="P1029" s="1">
        <f t="shared" si="104"/>
        <v>4.551375176027479</v>
      </c>
      <c r="R1029" s="3">
        <f t="shared" si="99"/>
        <v>-0.24047846983602245</v>
      </c>
      <c r="S1029" s="3">
        <f t="shared" si="100"/>
        <v>-1.4805978878633201</v>
      </c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</row>
    <row r="1030" spans="1:100" x14ac:dyDescent="0.2">
      <c r="A1030" s="32"/>
      <c r="F1030" s="3"/>
      <c r="G1030" s="3"/>
      <c r="H1030" s="3"/>
      <c r="M1030" s="1">
        <f t="shared" si="101"/>
        <v>30.840000000000412</v>
      </c>
      <c r="N1030" s="1">
        <f t="shared" si="102"/>
        <v>2.2152809406193512</v>
      </c>
      <c r="O1030" s="1">
        <f t="shared" si="103"/>
        <v>2.1720557364505058</v>
      </c>
      <c r="P1030" s="1">
        <f t="shared" si="104"/>
        <v>4.6165368481209939</v>
      </c>
      <c r="R1030" s="3">
        <f t="shared" si="99"/>
        <v>-0.1435581360008116</v>
      </c>
      <c r="S1030" s="3">
        <f t="shared" si="100"/>
        <v>-1.4931145507254198</v>
      </c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</row>
    <row r="1031" spans="1:100" x14ac:dyDescent="0.2">
      <c r="A1031" s="32"/>
      <c r="F1031" s="3"/>
      <c r="G1031" s="3"/>
      <c r="H1031" s="3"/>
      <c r="M1031" s="1">
        <f t="shared" si="101"/>
        <v>30.870000000000413</v>
      </c>
      <c r="N1031" s="1">
        <f t="shared" si="102"/>
        <v>1.2400963437275705</v>
      </c>
      <c r="O1031" s="1">
        <f t="shared" si="103"/>
        <v>2.2092586267623329</v>
      </c>
      <c r="P1031" s="1">
        <f t="shared" si="104"/>
        <v>4.6828146069238636</v>
      </c>
      <c r="R1031" s="3">
        <f t="shared" si="99"/>
        <v>-4.4355093715175341E-2</v>
      </c>
      <c r="S1031" s="3">
        <f t="shared" si="100"/>
        <v>-1.4993440651369911</v>
      </c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</row>
    <row r="1032" spans="1:100" x14ac:dyDescent="0.2">
      <c r="A1032" s="32"/>
      <c r="F1032" s="3"/>
      <c r="G1032" s="3"/>
      <c r="H1032" s="3"/>
      <c r="M1032" s="1">
        <f t="shared" si="101"/>
        <v>30.900000000000414</v>
      </c>
      <c r="N1032" s="1">
        <f t="shared" si="102"/>
        <v>0.24471766074314347</v>
      </c>
      <c r="O1032" s="1">
        <f t="shared" si="103"/>
        <v>2.2166001565846272</v>
      </c>
      <c r="P1032" s="1">
        <f t="shared" si="104"/>
        <v>4.7493126116214022</v>
      </c>
      <c r="R1032" s="3">
        <f t="shared" si="99"/>
        <v>5.5372862712827306E-2</v>
      </c>
      <c r="S1032" s="3">
        <f t="shared" si="100"/>
        <v>-1.498977600257918</v>
      </c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</row>
    <row r="1033" spans="1:100" x14ac:dyDescent="0.2">
      <c r="A1033" s="32"/>
      <c r="F1033" s="3"/>
      <c r="G1033" s="3"/>
      <c r="H1033" s="3"/>
      <c r="M1033" s="1">
        <f t="shared" si="101"/>
        <v>30.930000000000415</v>
      </c>
      <c r="N1033" s="1">
        <f t="shared" si="102"/>
        <v>-0.75322264122088955</v>
      </c>
      <c r="O1033" s="1">
        <f t="shared" si="103"/>
        <v>2.1940034773480006</v>
      </c>
      <c r="P1033" s="1">
        <f t="shared" si="104"/>
        <v>4.815132715941842</v>
      </c>
      <c r="R1033" s="3">
        <f t="shared" si="99"/>
        <v>0.15384459862848796</v>
      </c>
      <c r="S1033" s="3">
        <f t="shared" si="100"/>
        <v>-1.4920897558367057</v>
      </c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</row>
    <row r="1034" spans="1:100" x14ac:dyDescent="0.2">
      <c r="A1034" s="32"/>
      <c r="F1034" s="3"/>
      <c r="G1034" s="3"/>
      <c r="H1034" s="3"/>
      <c r="M1034" s="1">
        <f t="shared" si="101"/>
        <v>30.960000000000417</v>
      </c>
      <c r="N1034" s="1">
        <f t="shared" si="102"/>
        <v>-1.7359062992461998</v>
      </c>
      <c r="O1034" s="1">
        <f t="shared" si="103"/>
        <v>2.1419262883706147</v>
      </c>
      <c r="P1034" s="1">
        <f t="shared" si="104"/>
        <v>4.8793905045929602</v>
      </c>
      <c r="R1034" s="3">
        <f t="shared" si="99"/>
        <v>0.24933951132675436</v>
      </c>
      <c r="S1034" s="3">
        <f t="shared" si="100"/>
        <v>-1.4791314370573478</v>
      </c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</row>
    <row r="1035" spans="1:100" x14ac:dyDescent="0.2">
      <c r="A1035" s="32"/>
      <c r="F1035" s="3"/>
      <c r="G1035" s="3"/>
      <c r="H1035" s="3"/>
      <c r="M1035" s="1">
        <f t="shared" si="101"/>
        <v>30.990000000000418</v>
      </c>
      <c r="N1035" s="1">
        <f t="shared" si="102"/>
        <v>-2.6861684792208993</v>
      </c>
      <c r="O1035" s="1">
        <f t="shared" si="103"/>
        <v>2.0613412339939878</v>
      </c>
      <c r="P1035" s="1">
        <f t="shared" si="104"/>
        <v>4.9412307416127801</v>
      </c>
      <c r="R1035" s="3">
        <f t="shared" si="99"/>
        <v>0.34027444904982534</v>
      </c>
      <c r="S1035" s="3">
        <f t="shared" si="100"/>
        <v>-1.4608946913873833</v>
      </c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</row>
    <row r="1036" spans="1:100" x14ac:dyDescent="0.2">
      <c r="A1036" s="32"/>
      <c r="F1036" s="3"/>
      <c r="G1036" s="3"/>
      <c r="H1036" s="3"/>
      <c r="M1036" s="1">
        <f t="shared" si="101"/>
        <v>31.020000000000419</v>
      </c>
      <c r="N1036" s="1">
        <f t="shared" si="102"/>
        <v>-3.5882652015577121</v>
      </c>
      <c r="O1036" s="1">
        <f t="shared" si="103"/>
        <v>1.9536932779472564</v>
      </c>
      <c r="P1036" s="1">
        <f t="shared" si="104"/>
        <v>4.9998415399511975</v>
      </c>
      <c r="R1036" s="3">
        <f t="shared" si="99"/>
        <v>0.4252653460727715</v>
      </c>
      <c r="S1036" s="3">
        <f t="shared" si="100"/>
        <v>-1.4384538176214092</v>
      </c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</row>
    <row r="1037" spans="1:100" x14ac:dyDescent="0.2">
      <c r="A1037" s="32"/>
      <c r="F1037" s="3"/>
      <c r="G1037" s="3"/>
      <c r="H1037" s="3"/>
      <c r="M1037" s="1">
        <f t="shared" si="101"/>
        <v>31.05000000000042</v>
      </c>
      <c r="N1037" s="1">
        <f t="shared" si="102"/>
        <v>-4.4284858557429683</v>
      </c>
      <c r="O1037" s="1">
        <f t="shared" si="103"/>
        <v>1.8208387022749675</v>
      </c>
      <c r="P1037" s="1">
        <f t="shared" si="104"/>
        <v>5.0544667010194466</v>
      </c>
      <c r="R1037" s="3">
        <f t="shared" si="99"/>
        <v>0.50316772760217343</v>
      </c>
      <c r="S1037" s="3">
        <f t="shared" si="100"/>
        <v>-1.4130896071727599</v>
      </c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</row>
    <row r="1038" spans="1:100" x14ac:dyDescent="0.2">
      <c r="A1038" s="32"/>
      <c r="F1038" s="3"/>
      <c r="G1038" s="3"/>
      <c r="H1038" s="3"/>
      <c r="M1038" s="1">
        <f t="shared" si="101"/>
        <v>31.080000000000421</v>
      </c>
      <c r="N1038" s="1">
        <f t="shared" si="102"/>
        <v>-5.1955527592264819</v>
      </c>
      <c r="O1038" s="1">
        <f t="shared" si="103"/>
        <v>1.664972119498173</v>
      </c>
      <c r="P1038" s="1">
        <f t="shared" si="104"/>
        <v>5.104415864604392</v>
      </c>
      <c r="R1038" s="3">
        <f t="shared" si="99"/>
        <v>0.5730934746923072</v>
      </c>
      <c r="S1038" s="3">
        <f t="shared" si="100"/>
        <v>-1.386204843904788</v>
      </c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</row>
    <row r="1039" spans="1:100" x14ac:dyDescent="0.2">
      <c r="A1039" s="32"/>
      <c r="F1039" s="3"/>
      <c r="G1039" s="3"/>
      <c r="H1039" s="3"/>
      <c r="M1039" s="1">
        <f t="shared" si="101"/>
        <v>31.110000000000422</v>
      </c>
      <c r="N1039" s="1">
        <f t="shared" si="102"/>
        <v>-5.8807822376779075</v>
      </c>
      <c r="O1039" s="1">
        <f t="shared" si="103"/>
        <v>1.4885486523678357</v>
      </c>
      <c r="P1039" s="1">
        <f t="shared" si="104"/>
        <v>5.1490723241754273</v>
      </c>
      <c r="R1039" s="3">
        <f t="shared" si="99"/>
        <v>0.63440456645478238</v>
      </c>
      <c r="S1039" s="3">
        <f t="shared" si="100"/>
        <v>-1.3592390687665357</v>
      </c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</row>
    <row r="1040" spans="1:100" x14ac:dyDescent="0.2">
      <c r="A1040" s="32"/>
      <c r="F1040" s="3"/>
      <c r="G1040" s="3"/>
      <c r="H1040" s="3"/>
      <c r="M1040" s="1">
        <f t="shared" si="101"/>
        <v>31.140000000000423</v>
      </c>
      <c r="N1040" s="1">
        <f t="shared" si="102"/>
        <v>-6.4780150432609291</v>
      </c>
      <c r="O1040" s="1">
        <f t="shared" si="103"/>
        <v>1.2942082010700078</v>
      </c>
      <c r="P1040" s="1">
        <f t="shared" si="104"/>
        <v>5.1878985702075271</v>
      </c>
      <c r="R1040" s="3">
        <f t="shared" si="99"/>
        <v>0.68668734344785931</v>
      </c>
      <c r="S1040" s="3">
        <f t="shared" si="100"/>
        <v>-1.3335893267226315</v>
      </c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</row>
    <row r="1041" spans="1:100" x14ac:dyDescent="0.2">
      <c r="A1041" s="32"/>
      <c r="F1041" s="3"/>
      <c r="G1041" s="3"/>
      <c r="H1041" s="3"/>
      <c r="M1041" s="1">
        <f t="shared" si="101"/>
        <v>31.170000000000424</v>
      </c>
      <c r="N1041" s="1">
        <f t="shared" si="102"/>
        <v>-6.9833521725748939</v>
      </c>
      <c r="O1041" s="1">
        <f t="shared" si="103"/>
        <v>1.084707635892761</v>
      </c>
      <c r="P1041" s="1">
        <f t="shared" si="104"/>
        <v>5.2204397992843097</v>
      </c>
      <c r="R1041" s="3">
        <f t="shared" si="99"/>
        <v>0.72971277523953171</v>
      </c>
      <c r="S1041" s="3">
        <f t="shared" si="100"/>
        <v>-1.3105415924922874</v>
      </c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</row>
    <row r="1042" spans="1:100" x14ac:dyDescent="0.2">
      <c r="A1042" s="32"/>
      <c r="F1042" s="3"/>
      <c r="G1042" s="3"/>
      <c r="H1042" s="3"/>
      <c r="M1042" s="1">
        <f t="shared" si="101"/>
        <v>31.200000000000426</v>
      </c>
      <c r="N1042" s="1">
        <f t="shared" si="102"/>
        <v>-7.3947514396256659</v>
      </c>
      <c r="O1042" s="1">
        <f t="shared" si="103"/>
        <v>0.86286509270399103</v>
      </c>
      <c r="P1042" s="1">
        <f t="shared" si="104"/>
        <v>5.2463257520654292</v>
      </c>
      <c r="R1042" s="3">
        <f t="shared" si="99"/>
        <v>0.76338913418429832</v>
      </c>
      <c r="S1042" s="3">
        <f t="shared" si="100"/>
        <v>-1.2912153305352858</v>
      </c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</row>
    <row r="1043" spans="1:100" x14ac:dyDescent="0.2">
      <c r="A1043" s="32"/>
      <c r="F1043" s="3"/>
      <c r="G1043" s="3"/>
      <c r="H1043" s="3"/>
      <c r="M1043" s="1">
        <f t="shared" si="101"/>
        <v>31.230000000000427</v>
      </c>
      <c r="N1043" s="1">
        <f t="shared" si="102"/>
        <v>-7.7115492001863428</v>
      </c>
      <c r="O1043" s="1">
        <f t="shared" si="103"/>
        <v>0.63151861669840081</v>
      </c>
      <c r="P1043" s="1">
        <f t="shared" si="104"/>
        <v>5.2652713105663809</v>
      </c>
      <c r="R1043" s="3">
        <f t="shared" si="99"/>
        <v>0.78771346723906133</v>
      </c>
      <c r="S1043" s="3">
        <f t="shared" si="100"/>
        <v>-1.2765216384888336</v>
      </c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</row>
    <row r="1044" spans="1:100" x14ac:dyDescent="0.2">
      <c r="A1044" s="32"/>
      <c r="F1044" s="3"/>
      <c r="G1044" s="3"/>
      <c r="H1044" s="3"/>
      <c r="M1044" s="1">
        <f t="shared" si="101"/>
        <v>31.260000000000428</v>
      </c>
      <c r="N1044" s="1">
        <f t="shared" si="102"/>
        <v>-7.9339713478934684</v>
      </c>
      <c r="O1044" s="1">
        <f t="shared" si="103"/>
        <v>0.39349947626159676</v>
      </c>
      <c r="P1044" s="1">
        <f t="shared" si="104"/>
        <v>5.2770762948542291</v>
      </c>
      <c r="R1044" s="3">
        <f t="shared" si="99"/>
        <v>0.80272754880981068</v>
      </c>
      <c r="S1044" s="3">
        <f t="shared" si="100"/>
        <v>-1.2671339638656178</v>
      </c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</row>
    <row r="1045" spans="1:100" x14ac:dyDescent="0.2">
      <c r="A1045" s="32"/>
      <c r="F1045" s="3"/>
      <c r="G1045" s="3"/>
      <c r="H1045" s="3"/>
      <c r="M1045" s="1">
        <f t="shared" si="101"/>
        <v>31.290000000000429</v>
      </c>
      <c r="N1045" s="1">
        <f t="shared" si="102"/>
        <v>-8.0626904409616511</v>
      </c>
      <c r="O1045" s="1">
        <f t="shared" si="103"/>
        <v>0.15161876303274724</v>
      </c>
      <c r="P1045" s="1">
        <f t="shared" si="104"/>
        <v>5.2816248577452116</v>
      </c>
      <c r="R1045" s="3">
        <f t="shared" si="99"/>
        <v>0.80848286349024034</v>
      </c>
      <c r="S1045" s="3">
        <f t="shared" si="100"/>
        <v>-1.2634696116023612</v>
      </c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</row>
    <row r="1046" spans="1:100" x14ac:dyDescent="0.2">
      <c r="A1046" s="32"/>
      <c r="F1046" s="3"/>
      <c r="G1046" s="3"/>
      <c r="H1046" s="3"/>
      <c r="M1046" s="1">
        <f t="shared" si="101"/>
        <v>31.32000000000043</v>
      </c>
      <c r="N1046" s="1">
        <f t="shared" si="102"/>
        <v>-8.0984743235753509</v>
      </c>
      <c r="O1046" s="1">
        <f t="shared" si="103"/>
        <v>-9.1335466674513283E-2</v>
      </c>
      <c r="P1046" s="1">
        <f t="shared" si="104"/>
        <v>5.2788847937449761</v>
      </c>
      <c r="R1046" s="3">
        <f t="shared" si="99"/>
        <v>0.80501784520131592</v>
      </c>
      <c r="S1046" s="3">
        <f t="shared" si="100"/>
        <v>-1.265680160588539</v>
      </c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</row>
    <row r="1047" spans="1:100" x14ac:dyDescent="0.2">
      <c r="A1047" s="32"/>
      <c r="F1047" s="3"/>
      <c r="G1047" s="3"/>
      <c r="H1047" s="3"/>
      <c r="M1047" s="1">
        <f t="shared" si="101"/>
        <v>31.350000000000431</v>
      </c>
      <c r="N1047" s="1">
        <f t="shared" si="102"/>
        <v>-8.0419582600124535</v>
      </c>
      <c r="O1047" s="1">
        <f t="shared" si="103"/>
        <v>-0.33259421447488691</v>
      </c>
      <c r="P1047" s="1">
        <f t="shared" si="104"/>
        <v>5.2689069673107296</v>
      </c>
      <c r="R1047" s="3">
        <f t="shared" si="99"/>
        <v>0.79234924552668018</v>
      </c>
      <c r="S1047" s="3">
        <f t="shared" si="100"/>
        <v>-1.2736493524959296</v>
      </c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</row>
    <row r="1048" spans="1:100" x14ac:dyDescent="0.2">
      <c r="A1048" s="32"/>
      <c r="F1048" s="3"/>
      <c r="G1048" s="3"/>
      <c r="H1048" s="3"/>
      <c r="M1048" s="1">
        <f t="shared" si="101"/>
        <v>31.380000000000432</v>
      </c>
      <c r="N1048" s="1">
        <f t="shared" si="102"/>
        <v>-7.8935589759640621</v>
      </c>
      <c r="O1048" s="1">
        <f t="shared" si="103"/>
        <v>-0.56940098375380876</v>
      </c>
      <c r="P1048" s="1">
        <f t="shared" si="104"/>
        <v>5.2518249377981157</v>
      </c>
      <c r="R1048" s="3">
        <f t="shared" si="99"/>
        <v>0.7704781885064298</v>
      </c>
      <c r="S1048" s="3">
        <f t="shared" si="100"/>
        <v>-1.2869978092583725</v>
      </c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</row>
    <row r="1049" spans="1:100" x14ac:dyDescent="0.2">
      <c r="A1049" s="32"/>
      <c r="F1049" s="3"/>
      <c r="G1049" s="3"/>
      <c r="H1049" s="3"/>
      <c r="M1049" s="1">
        <f t="shared" si="101"/>
        <v>31.410000000000434</v>
      </c>
      <c r="N1049" s="1">
        <f t="shared" si="102"/>
        <v>-7.6535357965264552</v>
      </c>
      <c r="O1049" s="1">
        <f t="shared" si="103"/>
        <v>-0.79900705764960245</v>
      </c>
      <c r="P1049" s="1">
        <f t="shared" si="104"/>
        <v>5.2278547260686272</v>
      </c>
      <c r="R1049" s="3">
        <f t="shared" si="99"/>
        <v>0.73941019602080105</v>
      </c>
      <c r="S1049" s="3">
        <f t="shared" si="100"/>
        <v>-1.3050948479020521</v>
      </c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</row>
    <row r="1050" spans="1:100" x14ac:dyDescent="0.2">
      <c r="A1050" s="32"/>
      <c r="F1050" s="3"/>
      <c r="G1050" s="3"/>
      <c r="H1050" s="3"/>
      <c r="M1050" s="1">
        <f t="shared" si="101"/>
        <v>31.440000000000435</v>
      </c>
      <c r="N1050" s="1">
        <f t="shared" si="102"/>
        <v>-7.3221913250195465</v>
      </c>
      <c r="O1050" s="1">
        <f t="shared" si="103"/>
        <v>-1.0186727974001888</v>
      </c>
      <c r="P1050" s="1">
        <f t="shared" si="104"/>
        <v>5.1972945421466212</v>
      </c>
      <c r="R1050" s="3">
        <f t="shared" si="99"/>
        <v>0.69918721533957173</v>
      </c>
      <c r="S1050" s="3">
        <f t="shared" si="100"/>
        <v>-1.3270784595892193</v>
      </c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</row>
    <row r="1051" spans="1:100" x14ac:dyDescent="0.2">
      <c r="A1051" s="32"/>
      <c r="F1051" s="3"/>
      <c r="G1051" s="3"/>
      <c r="H1051" s="3"/>
      <c r="M1051" s="1">
        <f t="shared" si="101"/>
        <v>31.470000000000436</v>
      </c>
      <c r="N1051" s="1">
        <f t="shared" si="102"/>
        <v>-6.9001916016297011</v>
      </c>
      <c r="O1051" s="1">
        <f t="shared" si="103"/>
        <v>-1.2256785454490797</v>
      </c>
      <c r="P1051" s="1">
        <f t="shared" si="104"/>
        <v>5.1605241857831485</v>
      </c>
      <c r="R1051" s="3">
        <f t="shared" si="99"/>
        <v>0.6499284448527276</v>
      </c>
      <c r="S1051" s="3">
        <f t="shared" si="100"/>
        <v>-1.3518849864434901</v>
      </c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</row>
    <row r="1052" spans="1:100" x14ac:dyDescent="0.2">
      <c r="A1052" s="32"/>
      <c r="F1052" s="3"/>
      <c r="G1052" s="3"/>
      <c r="H1052" s="3"/>
      <c r="M1052" s="1">
        <f t="shared" si="101"/>
        <v>31.500000000000437</v>
      </c>
      <c r="N1052" s="1">
        <f t="shared" si="102"/>
        <v>-6.3889733794368588</v>
      </c>
      <c r="O1052" s="1">
        <f t="shared" si="103"/>
        <v>-1.4173477468321856</v>
      </c>
      <c r="P1052" s="1">
        <f t="shared" si="104"/>
        <v>5.1180037533781828</v>
      </c>
      <c r="R1052" s="3">
        <f t="shared" si="99"/>
        <v>0.59187558781252225</v>
      </c>
      <c r="S1052" s="3">
        <f t="shared" si="100"/>
        <v>-1.3782899871041585</v>
      </c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</row>
    <row r="1053" spans="1:100" x14ac:dyDescent="0.2">
      <c r="A1053" s="32"/>
      <c r="F1053" s="3"/>
      <c r="G1053" s="3"/>
      <c r="H1053" s="3"/>
      <c r="M1053" s="1">
        <f t="shared" si="101"/>
        <v>31.530000000000438</v>
      </c>
      <c r="N1053" s="1">
        <f t="shared" si="102"/>
        <v>-5.791194580910326</v>
      </c>
      <c r="O1053" s="1">
        <f t="shared" si="103"/>
        <v>-1.5910835842594953</v>
      </c>
      <c r="P1053" s="1">
        <f t="shared" si="104"/>
        <v>5.0702712458503978</v>
      </c>
      <c r="R1053" s="3">
        <f t="shared" si="99"/>
        <v>0.52543719568972458</v>
      </c>
      <c r="S1053" s="3">
        <f t="shared" si="100"/>
        <v>-1.4049611216634139</v>
      </c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</row>
    <row r="1054" spans="1:100" x14ac:dyDescent="0.2">
      <c r="A1054" s="32"/>
      <c r="F1054" s="3"/>
      <c r="G1054" s="3"/>
      <c r="H1054" s="3"/>
      <c r="M1054" s="1">
        <f t="shared" si="101"/>
        <v>31.560000000000439</v>
      </c>
      <c r="N1054" s="1">
        <f t="shared" si="102"/>
        <v>-5.1111744343138907</v>
      </c>
      <c r="O1054" s="1">
        <f t="shared" si="103"/>
        <v>-1.7444188172889119</v>
      </c>
      <c r="P1054" s="1">
        <f t="shared" si="104"/>
        <v>5.0179386813317306</v>
      </c>
      <c r="R1054" s="3">
        <f t="shared" si="99"/>
        <v>0.45122619057907593</v>
      </c>
      <c r="S1054" s="3">
        <f t="shared" si="100"/>
        <v>-1.4305226055311029</v>
      </c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</row>
    <row r="1055" spans="1:100" x14ac:dyDescent="0.2">
      <c r="A1055" s="32"/>
      <c r="F1055" s="3"/>
      <c r="G1055" s="3"/>
      <c r="H1055" s="3"/>
      <c r="M1055" s="1">
        <f t="shared" si="101"/>
        <v>31.59000000000044</v>
      </c>
      <c r="N1055" s="1">
        <f t="shared" si="102"/>
        <v>-4.3552642122347569</v>
      </c>
      <c r="O1055" s="1">
        <f t="shared" si="103"/>
        <v>-1.8750767436559546</v>
      </c>
      <c r="P1055" s="1">
        <f t="shared" si="104"/>
        <v>4.9616863790220522</v>
      </c>
      <c r="R1055" s="3">
        <f t="shared" si="99"/>
        <v>0.37008470858616904</v>
      </c>
      <c r="S1055" s="3">
        <f t="shared" si="100"/>
        <v>-1.4536290133561212</v>
      </c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</row>
    <row r="1056" spans="1:100" x14ac:dyDescent="0.2">
      <c r="A1056" s="32"/>
      <c r="F1056" s="3"/>
      <c r="G1056" s="3"/>
      <c r="H1056" s="3"/>
      <c r="M1056" s="1">
        <f t="shared" si="101"/>
        <v>31.620000000000442</v>
      </c>
      <c r="N1056" s="1">
        <f t="shared" si="102"/>
        <v>-3.5320901789326546</v>
      </c>
      <c r="O1056" s="1">
        <f t="shared" si="103"/>
        <v>-1.9810394490239343</v>
      </c>
      <c r="P1056" s="1">
        <f t="shared" si="104"/>
        <v>4.9022551955513345</v>
      </c>
      <c r="R1056" s="3">
        <f t="shared" si="99"/>
        <v>0.28309127402071316</v>
      </c>
      <c r="S1056" s="3">
        <f t="shared" si="100"/>
        <v>-1.4730442391772656</v>
      </c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</row>
    <row r="1057" spans="1:100" x14ac:dyDescent="0.2">
      <c r="A1057" s="32"/>
      <c r="F1057" s="3"/>
      <c r="G1057" s="3"/>
      <c r="H1057" s="3"/>
      <c r="M1057" s="1">
        <f t="shared" si="101"/>
        <v>31.650000000000443</v>
      </c>
      <c r="N1057" s="1">
        <f t="shared" si="102"/>
        <v>-2.6526191897949776</v>
      </c>
      <c r="O1057" s="1">
        <f t="shared" si="103"/>
        <v>-2.0606180247177837</v>
      </c>
      <c r="P1057" s="1">
        <f t="shared" si="104"/>
        <v>4.8404366548098006</v>
      </c>
      <c r="R1057" s="3">
        <f t="shared" si="99"/>
        <v>0.19154706772533558</v>
      </c>
      <c r="S1057" s="3">
        <f t="shared" si="100"/>
        <v>-1.4877196378504336</v>
      </c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</row>
    <row r="1058" spans="1:100" x14ac:dyDescent="0.2">
      <c r="A1058" s="32"/>
      <c r="F1058" s="3"/>
      <c r="G1058" s="3"/>
      <c r="H1058" s="3"/>
      <c r="M1058" s="1">
        <f t="shared" si="101"/>
        <v>31.680000000000444</v>
      </c>
      <c r="N1058" s="1">
        <f t="shared" si="102"/>
        <v>-1.7300150550287556</v>
      </c>
      <c r="O1058" s="1">
        <f t="shared" si="103"/>
        <v>-2.1125184763686464</v>
      </c>
      <c r="P1058" s="1">
        <f t="shared" si="104"/>
        <v>4.7770611005187416</v>
      </c>
      <c r="R1058" s="3">
        <f t="shared" si="99"/>
        <v>9.6940571828428898E-2</v>
      </c>
      <c r="S1058" s="3">
        <f t="shared" si="100"/>
        <v>-1.4968642308284266</v>
      </c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</row>
    <row r="1059" spans="1:100" x14ac:dyDescent="0.2">
      <c r="A1059" s="32"/>
      <c r="F1059" s="3"/>
      <c r="G1059" s="3"/>
      <c r="H1059" s="3"/>
      <c r="M1059" s="1">
        <f t="shared" si="101"/>
        <v>31.710000000000445</v>
      </c>
      <c r="N1059" s="1">
        <f t="shared" si="102"/>
        <v>-0.77927905541111087</v>
      </c>
      <c r="O1059" s="1">
        <f t="shared" si="103"/>
        <v>-2.1358968480309799</v>
      </c>
      <c r="P1059" s="1">
        <f t="shared" si="104"/>
        <v>4.7129841950778122</v>
      </c>
      <c r="R1059" s="3">
        <f t="shared" si="99"/>
        <v>8.9282198696525239E-4</v>
      </c>
      <c r="S1059" s="3">
        <f t="shared" si="100"/>
        <v>-1.4999997342896096</v>
      </c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</row>
    <row r="1060" spans="1:100" x14ac:dyDescent="0.2">
      <c r="A1060" s="32"/>
      <c r="F1060" s="3"/>
      <c r="G1060" s="3"/>
      <c r="H1060" s="3"/>
      <c r="M1060" s="1">
        <f t="shared" si="101"/>
        <v>31.740000000000446</v>
      </c>
      <c r="N1060" s="1">
        <f t="shared" si="102"/>
        <v>0.18330249645313565</v>
      </c>
      <c r="O1060" s="1">
        <f t="shared" si="103"/>
        <v>-2.130397773137386</v>
      </c>
      <c r="P1060" s="1">
        <f t="shared" si="104"/>
        <v>4.6490722618836902</v>
      </c>
      <c r="R1060" s="3">
        <f t="shared" si="99"/>
        <v>-9.4911631181305009E-2</v>
      </c>
      <c r="S1060" s="3">
        <f t="shared" si="100"/>
        <v>-1.4969942492429635</v>
      </c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</row>
    <row r="1061" spans="1:100" x14ac:dyDescent="0.2">
      <c r="A1061" s="32"/>
      <c r="F1061" s="3"/>
      <c r="G1061" s="3"/>
      <c r="H1061" s="3"/>
      <c r="M1061" s="1">
        <f t="shared" si="101"/>
        <v>31.770000000000447</v>
      </c>
      <c r="N1061" s="1">
        <f t="shared" si="102"/>
        <v>1.1408521113954149</v>
      </c>
      <c r="O1061" s="1">
        <f t="shared" si="103"/>
        <v>-2.0961722097955233</v>
      </c>
      <c r="P1061" s="1">
        <f t="shared" si="104"/>
        <v>4.5861870955898247</v>
      </c>
      <c r="R1061" s="3">
        <f t="shared" si="99"/>
        <v>-0.18880072550980134</v>
      </c>
      <c r="S1061" s="3">
        <f t="shared" si="100"/>
        <v>-1.488070658956413</v>
      </c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</row>
    <row r="1062" spans="1:100" x14ac:dyDescent="0.2">
      <c r="A1062" s="32"/>
      <c r="F1062" s="3"/>
      <c r="G1062" s="3"/>
      <c r="H1062" s="3"/>
      <c r="M1062" s="1">
        <f t="shared" si="101"/>
        <v>31.800000000000448</v>
      </c>
      <c r="N1062" s="1">
        <f t="shared" si="102"/>
        <v>2.0766627539796105</v>
      </c>
      <c r="O1062" s="1">
        <f t="shared" si="103"/>
        <v>-2.0338723271761352</v>
      </c>
      <c r="P1062" s="1">
        <f t="shared" si="104"/>
        <v>4.5251709257745407</v>
      </c>
      <c r="R1062" s="3">
        <f t="shared" si="99"/>
        <v>-0.27918942830364296</v>
      </c>
      <c r="S1062" s="3">
        <f t="shared" si="100"/>
        <v>-1.4737887444011388</v>
      </c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</row>
    <row r="1063" spans="1:100" x14ac:dyDescent="0.2">
      <c r="A1063" s="32"/>
      <c r="F1063" s="3"/>
      <c r="G1063" s="3"/>
      <c r="H1063" s="3"/>
      <c r="M1063" s="1">
        <f t="shared" si="101"/>
        <v>31.830000000000449</v>
      </c>
      <c r="N1063" s="1">
        <f t="shared" si="102"/>
        <v>2.9749427924822816</v>
      </c>
      <c r="O1063" s="1">
        <f t="shared" si="103"/>
        <v>-1.9446240434016668</v>
      </c>
      <c r="P1063" s="1">
        <f t="shared" si="104"/>
        <v>4.4668322044724906</v>
      </c>
      <c r="R1063" s="3">
        <f t="shared" si="99"/>
        <v>-0.36464465438786398</v>
      </c>
      <c r="S1063" s="3">
        <f t="shared" si="100"/>
        <v>-1.4550031876344311</v>
      </c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</row>
    <row r="1064" spans="1:100" x14ac:dyDescent="0.2">
      <c r="A1064" s="32"/>
      <c r="F1064" s="3"/>
      <c r="G1064" s="3"/>
      <c r="H1064" s="3"/>
      <c r="M1064" s="1">
        <f t="shared" si="101"/>
        <v>31.860000000000451</v>
      </c>
      <c r="N1064" s="1">
        <f t="shared" si="102"/>
        <v>3.8214627077847894</v>
      </c>
      <c r="O1064" s="1">
        <f t="shared" si="103"/>
        <v>-1.8299801621681231</v>
      </c>
      <c r="P1064" s="1">
        <f t="shared" si="104"/>
        <v>4.4119327996074471</v>
      </c>
      <c r="R1064" s="3">
        <f t="shared" si="99"/>
        <v>-0.44393397305902771</v>
      </c>
      <c r="S1064" s="3">
        <f t="shared" si="100"/>
        <v>-1.4328023686342881</v>
      </c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</row>
    <row r="1065" spans="1:100" x14ac:dyDescent="0.2">
      <c r="A1065" s="32"/>
      <c r="F1065" s="3"/>
      <c r="G1065" s="3"/>
      <c r="H1065" s="3"/>
      <c r="M1065" s="1">
        <f t="shared" si="101"/>
        <v>31.890000000000452</v>
      </c>
      <c r="N1065" s="1">
        <f t="shared" si="102"/>
        <v>4.6040379451854081</v>
      </c>
      <c r="O1065" s="1">
        <f t="shared" si="103"/>
        <v>-1.6918590238125608</v>
      </c>
      <c r="P1065" s="1">
        <f t="shared" si="104"/>
        <v>4.3611770288930707</v>
      </c>
      <c r="R1065" s="3">
        <f t="shared" si="99"/>
        <v>-0.51605404426293189</v>
      </c>
      <c r="S1065" s="3">
        <f t="shared" si="100"/>
        <v>-1.4084346713283764</v>
      </c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</row>
    <row r="1066" spans="1:100" x14ac:dyDescent="0.2">
      <c r="A1066" s="32"/>
      <c r="F1066" s="3"/>
      <c r="G1066" s="3"/>
      <c r="H1066" s="3"/>
      <c r="M1066" s="1">
        <f t="shared" si="101"/>
        <v>31.920000000000453</v>
      </c>
      <c r="N1066" s="1">
        <f t="shared" si="102"/>
        <v>5.3128077547724493</v>
      </c>
      <c r="O1066" s="1">
        <f t="shared" si="103"/>
        <v>-1.5324747911693875</v>
      </c>
      <c r="P1066" s="1">
        <f t="shared" si="104"/>
        <v>4.3152027851579895</v>
      </c>
      <c r="R1066" s="3">
        <f t="shared" si="99"/>
        <v>-0.58023767744827159</v>
      </c>
      <c r="S1066" s="3">
        <f t="shared" si="100"/>
        <v>-1.3832296402511897</v>
      </c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</row>
    <row r="1067" spans="1:100" x14ac:dyDescent="0.2">
      <c r="A1067" s="32"/>
      <c r="F1067" s="3"/>
      <c r="G1067" s="3"/>
      <c r="H1067" s="3"/>
      <c r="M1067" s="1">
        <f t="shared" si="101"/>
        <v>31.950000000000454</v>
      </c>
      <c r="N1067" s="1">
        <f t="shared" si="102"/>
        <v>5.9402995056879604</v>
      </c>
      <c r="O1067" s="1">
        <f t="shared" si="103"/>
        <v>-1.3542658059987487</v>
      </c>
      <c r="P1067" s="1">
        <f t="shared" si="104"/>
        <v>4.2745748109780273</v>
      </c>
      <c r="R1067" s="3">
        <f t="shared" si="99"/>
        <v>-0.63594122285668564</v>
      </c>
      <c r="S1067" s="3">
        <f t="shared" si="100"/>
        <v>-1.3585207989101762</v>
      </c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</row>
    <row r="1068" spans="1:100" x14ac:dyDescent="0.2">
      <c r="A1068" s="32"/>
      <c r="F1068" s="3"/>
      <c r="G1068" s="3"/>
      <c r="H1068" s="3"/>
      <c r="M1068" s="1">
        <f t="shared" si="101"/>
        <v>31.980000000000455</v>
      </c>
      <c r="N1068" s="1">
        <f t="shared" si="102"/>
        <v>6.4812961511067435</v>
      </c>
      <c r="O1068" s="1">
        <f t="shared" si="103"/>
        <v>-1.1598269214655463</v>
      </c>
      <c r="P1068" s="1">
        <f t="shared" si="104"/>
        <v>4.2397800033340607</v>
      </c>
      <c r="R1068" s="3">
        <f t="shared" si="99"/>
        <v>-0.6828162338994872</v>
      </c>
      <c r="S1068" s="3">
        <f t="shared" si="100"/>
        <v>-1.3355755278992354</v>
      </c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</row>
    <row r="1069" spans="1:100" x14ac:dyDescent="0.2">
      <c r="A1069" s="32"/>
      <c r="F1069" s="3"/>
      <c r="G1069" s="3"/>
      <c r="H1069" s="3"/>
      <c r="M1069" s="1">
        <f t="shared" si="101"/>
        <v>32.010000000000453</v>
      </c>
      <c r="N1069" s="1">
        <f t="shared" si="102"/>
        <v>6.9325467619267709</v>
      </c>
      <c r="O1069" s="1">
        <f t="shared" si="103"/>
        <v>-0.95185051860774328</v>
      </c>
      <c r="P1069" s="1">
        <f t="shared" si="104"/>
        <v>4.2112244877758283</v>
      </c>
      <c r="R1069" s="3">
        <f t="shared" si="99"/>
        <v>-0.72067072757914508</v>
      </c>
      <c r="S1069" s="3">
        <f t="shared" si="100"/>
        <v>-1.315535519250828</v>
      </c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</row>
    <row r="1070" spans="1:100" x14ac:dyDescent="0.2">
      <c r="A1070" s="32"/>
      <c r="F1070" s="3"/>
      <c r="G1070" s="3"/>
      <c r="H1070" s="3"/>
      <c r="M1070" s="1">
        <f t="shared" si="101"/>
        <v>32.040000000000454</v>
      </c>
      <c r="N1070" s="1">
        <f t="shared" si="102"/>
        <v>7.2923738224661481</v>
      </c>
      <c r="O1070" s="1">
        <f t="shared" si="103"/>
        <v>-0.73307930393375886</v>
      </c>
      <c r="P1070" s="1">
        <f t="shared" si="104"/>
        <v>4.1892321086578157</v>
      </c>
      <c r="R1070" s="3">
        <f t="shared" si="99"/>
        <v>-0.74942587682102091</v>
      </c>
      <c r="S1070" s="3">
        <f t="shared" si="100"/>
        <v>-1.2993694067319903</v>
      </c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</row>
    <row r="1071" spans="1:100" x14ac:dyDescent="0.2">
      <c r="A1071" s="32"/>
      <c r="F1071" s="3"/>
      <c r="G1071" s="3"/>
      <c r="H1071" s="3"/>
      <c r="M1071" s="1">
        <f t="shared" si="101"/>
        <v>32.070000000000455</v>
      </c>
      <c r="N1071" s="1">
        <f t="shared" si="102"/>
        <v>7.5602359055642481</v>
      </c>
      <c r="O1071" s="1">
        <f t="shared" si="103"/>
        <v>-0.50627222676683137</v>
      </c>
      <c r="P1071" s="1">
        <f t="shared" si="104"/>
        <v>4.1740439418548112</v>
      </c>
      <c r="R1071" s="3">
        <f t="shared" si="99"/>
        <v>-0.7690737200971669</v>
      </c>
      <c r="S1071" s="3">
        <f t="shared" si="100"/>
        <v>-1.2878375724663047</v>
      </c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</row>
    <row r="1072" spans="1:100" x14ac:dyDescent="0.2">
      <c r="A1072" s="32"/>
      <c r="F1072" s="3"/>
      <c r="G1072" s="3"/>
      <c r="H1072" s="3"/>
      <c r="M1072" s="1">
        <f t="shared" si="101"/>
        <v>32.100000000000456</v>
      </c>
      <c r="N1072" s="1">
        <f t="shared" si="102"/>
        <v>7.7363017013806825</v>
      </c>
      <c r="O1072" s="1">
        <f t="shared" si="103"/>
        <v>-0.2741831757254109</v>
      </c>
      <c r="P1072" s="1">
        <f t="shared" si="104"/>
        <v>4.1658184465830486</v>
      </c>
      <c r="R1072" s="3">
        <f t="shared" si="99"/>
        <v>-0.77964068536275188</v>
      </c>
      <c r="S1072" s="3">
        <f t="shared" si="100"/>
        <v>-1.2814680650437991</v>
      </c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</row>
    <row r="1073" spans="1:100" x14ac:dyDescent="0.2">
      <c r="A1073" s="32"/>
      <c r="F1073" s="3"/>
      <c r="G1073" s="3"/>
      <c r="H1073" s="3"/>
      <c r="M1073" s="1">
        <f t="shared" si="101"/>
        <v>32.130000000000457</v>
      </c>
      <c r="N1073" s="1">
        <f t="shared" si="102"/>
        <v>7.8210833394428061</v>
      </c>
      <c r="O1073" s="1">
        <f t="shared" si="103"/>
        <v>-3.9550675542126712E-2</v>
      </c>
      <c r="P1073" s="1">
        <f t="shared" si="104"/>
        <v>4.164631926316785</v>
      </c>
      <c r="R1073" s="3">
        <f t="shared" si="99"/>
        <v>-0.78116062403488895</v>
      </c>
      <c r="S1073" s="3">
        <f t="shared" si="100"/>
        <v>-1.2805421037425606</v>
      </c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</row>
    <row r="1074" spans="1:100" x14ac:dyDescent="0.2">
      <c r="A1074" s="32"/>
      <c r="F1074" s="3"/>
      <c r="G1074" s="3"/>
      <c r="H1074" s="3"/>
      <c r="M1074" s="1">
        <f t="shared" si="101"/>
        <v>32.160000000000458</v>
      </c>
      <c r="N1074" s="1">
        <f t="shared" si="102"/>
        <v>7.8151658011476801</v>
      </c>
      <c r="O1074" s="1">
        <f t="shared" si="103"/>
        <v>0.19490429849230367</v>
      </c>
      <c r="P1074" s="1">
        <f t="shared" si="104"/>
        <v>4.1704790552715538</v>
      </c>
      <c r="R1074" s="3">
        <f t="shared" si="99"/>
        <v>-0.7736598184072826</v>
      </c>
      <c r="S1074" s="3">
        <f t="shared" si="100"/>
        <v>-1.2850877345076523</v>
      </c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</row>
    <row r="1075" spans="1:100" x14ac:dyDescent="0.2">
      <c r="A1075" s="32"/>
      <c r="F1075" s="3"/>
      <c r="G1075" s="3"/>
      <c r="H1075" s="3"/>
      <c r="M1075" s="1">
        <f t="shared" si="101"/>
        <v>32.19000000000046</v>
      </c>
      <c r="N1075" s="1">
        <f t="shared" si="102"/>
        <v>7.7190567972085189</v>
      </c>
      <c r="O1075" s="1">
        <f t="shared" si="103"/>
        <v>0.42647600240855921</v>
      </c>
      <c r="P1075" s="1">
        <f t="shared" si="104"/>
        <v>4.1832733353438103</v>
      </c>
      <c r="R1075" s="3">
        <f t="shared" si="99"/>
        <v>-0.75715517386207964</v>
      </c>
      <c r="S1075" s="3">
        <f t="shared" si="100"/>
        <v>-1.2948807059702001</v>
      </c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</row>
    <row r="1076" spans="1:100" x14ac:dyDescent="0.2">
      <c r="A1076" s="32"/>
      <c r="F1076" s="3"/>
      <c r="G1076" s="3"/>
      <c r="H1076" s="3"/>
      <c r="M1076" s="1">
        <f t="shared" si="101"/>
        <v>32.220000000000461</v>
      </c>
      <c r="N1076" s="1">
        <f t="shared" si="102"/>
        <v>7.5331688984040257</v>
      </c>
      <c r="O1076" s="1">
        <f t="shared" si="103"/>
        <v>0.65247106936068</v>
      </c>
      <c r="P1076" s="1">
        <f t="shared" si="104"/>
        <v>4.2028474674246308</v>
      </c>
      <c r="R1076" s="3">
        <f t="shared" si="99"/>
        <v>-0.73166558031155016</v>
      </c>
      <c r="S1076" s="3">
        <f t="shared" si="100"/>
        <v>-1.3094523582732451</v>
      </c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</row>
    <row r="1077" spans="1:100" x14ac:dyDescent="0.2">
      <c r="A1077" s="32"/>
      <c r="F1077" s="3"/>
      <c r="G1077" s="3"/>
      <c r="H1077" s="3"/>
      <c r="M1077" s="1">
        <f t="shared" si="101"/>
        <v>32.250000000000462</v>
      </c>
      <c r="N1077" s="1">
        <f t="shared" si="102"/>
        <v>7.2579334068730397</v>
      </c>
      <c r="O1077" s="1">
        <f t="shared" si="103"/>
        <v>0.87020907156687122</v>
      </c>
      <c r="P1077" s="1">
        <f t="shared" si="104"/>
        <v>4.2289537395716366</v>
      </c>
      <c r="R1077" s="3">
        <f t="shared" si="99"/>
        <v>-0.69723522901607604</v>
      </c>
      <c r="S1077" s="3">
        <f t="shared" si="100"/>
        <v>-1.3281050543608739</v>
      </c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</row>
    <row r="1078" spans="1:100" x14ac:dyDescent="0.2">
      <c r="A1078" s="32"/>
      <c r="F1078" s="3"/>
      <c r="G1078" s="3"/>
      <c r="H1078" s="3"/>
      <c r="M1078" s="1">
        <f t="shared" si="101"/>
        <v>32.280000000000463</v>
      </c>
      <c r="N1078" s="1">
        <f t="shared" si="102"/>
        <v>6.8940334737197428</v>
      </c>
      <c r="O1078" s="1">
        <f t="shared" si="103"/>
        <v>1.0770300757784634</v>
      </c>
      <c r="P1078" s="1">
        <f t="shared" si="104"/>
        <v>4.2612646418449902</v>
      </c>
      <c r="R1078" s="3">
        <f t="shared" si="99"/>
        <v>-0.65396649952506869</v>
      </c>
      <c r="S1078" s="3">
        <f t="shared" si="100"/>
        <v>-1.3499362271970214</v>
      </c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</row>
    <row r="1079" spans="1:100" x14ac:dyDescent="0.2">
      <c r="A1079" s="32"/>
      <c r="F1079" s="3"/>
      <c r="G1079" s="3"/>
      <c r="H1079" s="3"/>
      <c r="M1079" s="1">
        <f t="shared" si="101"/>
        <v>32.310000000000464</v>
      </c>
      <c r="N1079" s="1">
        <f t="shared" si="102"/>
        <v>6.4427322884306255</v>
      </c>
      <c r="O1079" s="1">
        <f t="shared" si="103"/>
        <v>1.2703120444313822</v>
      </c>
      <c r="P1079" s="1">
        <f t="shared" si="104"/>
        <v>4.2993740031779319</v>
      </c>
      <c r="R1079" s="3">
        <f t="shared" si="99"/>
        <v>-0.60205891571463244</v>
      </c>
      <c r="S1079" s="3">
        <f t="shared" si="100"/>
        <v>-1.3738722873719089</v>
      </c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</row>
    <row r="1080" spans="1:100" x14ac:dyDescent="0.2">
      <c r="A1080" s="32"/>
      <c r="F1080" s="3"/>
      <c r="G1080" s="3"/>
      <c r="H1080" s="3"/>
      <c r="M1080" s="1">
        <f t="shared" si="101"/>
        <v>32.340000000000465</v>
      </c>
      <c r="N1080" s="1">
        <f t="shared" si="102"/>
        <v>5.9062610731475003</v>
      </c>
      <c r="O1080" s="1">
        <f t="shared" si="103"/>
        <v>1.4474998766258071</v>
      </c>
      <c r="P1080" s="1">
        <f t="shared" si="104"/>
        <v>4.342798999476706</v>
      </c>
      <c r="R1080" s="3">
        <f t="shared" si="99"/>
        <v>-0.54184969435103758</v>
      </c>
      <c r="S1080" s="3">
        <f t="shared" si="100"/>
        <v>-1.3987133046953142</v>
      </c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</row>
    <row r="1081" spans="1:100" x14ac:dyDescent="0.2">
      <c r="A1081" s="32"/>
      <c r="F1081" s="3"/>
      <c r="G1081" s="3"/>
      <c r="H1081" s="3"/>
      <c r="M1081" s="1">
        <f t="shared" si="101"/>
        <v>32.370000000000466</v>
      </c>
      <c r="N1081" s="1">
        <f t="shared" si="102"/>
        <v>5.2882219546140536</v>
      </c>
      <c r="O1081" s="1">
        <f t="shared" si="103"/>
        <v>1.6061465352642288</v>
      </c>
      <c r="P1081" s="1">
        <f t="shared" si="104"/>
        <v>4.3909833955346329</v>
      </c>
      <c r="R1081" s="3">
        <f t="shared" si="99"/>
        <v>-0.47385072053994748</v>
      </c>
      <c r="S1081" s="3">
        <f t="shared" si="100"/>
        <v>-1.423188495823295</v>
      </c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</row>
    <row r="1082" spans="1:100" x14ac:dyDescent="0.2">
      <c r="A1082" s="32"/>
      <c r="F1082" s="3"/>
      <c r="G1082" s="3"/>
      <c r="H1082" s="3"/>
      <c r="M1082" s="1">
        <f t="shared" si="101"/>
        <v>32.400000000000468</v>
      </c>
      <c r="N1082" s="1">
        <f t="shared" si="102"/>
        <v>4.5939540172256939</v>
      </c>
      <c r="O1082" s="1">
        <f t="shared" si="103"/>
        <v>1.7439651557809996</v>
      </c>
      <c r="P1082" s="1">
        <f t="shared" si="104"/>
        <v>4.4433023502080626</v>
      </c>
      <c r="R1082" s="3">
        <f t="shared" si="99"/>
        <v>-0.39877656944735962</v>
      </c>
      <c r="S1082" s="3">
        <f t="shared" si="100"/>
        <v>-1.4460211781505121</v>
      </c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</row>
    <row r="1083" spans="1:100" x14ac:dyDescent="0.2">
      <c r="A1083" s="32"/>
      <c r="F1083" s="3"/>
      <c r="G1083" s="3"/>
      <c r="H1083" s="3"/>
      <c r="M1083" s="1">
        <f t="shared" si="101"/>
        <v>32.430000000000469</v>
      </c>
      <c r="N1083" s="1">
        <f t="shared" si="102"/>
        <v>3.8308088304533063</v>
      </c>
      <c r="O1083" s="1">
        <f t="shared" si="103"/>
        <v>1.8588894206945987</v>
      </c>
      <c r="P1083" s="1">
        <f t="shared" si="104"/>
        <v>4.4990690328289009</v>
      </c>
      <c r="R1083" s="3">
        <f t="shared" si="99"/>
        <v>-0.31755863459893541</v>
      </c>
      <c r="S1083" s="3">
        <f t="shared" si="100"/>
        <v>-1.466000175167677</v>
      </c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</row>
    <row r="1084" spans="1:100" x14ac:dyDescent="0.2">
      <c r="A1084" s="32"/>
      <c r="F1084" s="3"/>
      <c r="G1084" s="3"/>
      <c r="H1084" s="3"/>
      <c r="M1084" s="1">
        <f t="shared" si="101"/>
        <v>32.46000000000047</v>
      </c>
      <c r="N1084" s="1">
        <f t="shared" si="102"/>
        <v>3.0082862981268406</v>
      </c>
      <c r="O1084" s="1">
        <f t="shared" si="103"/>
        <v>1.9491380096384039</v>
      </c>
      <c r="P1084" s="1">
        <f t="shared" si="104"/>
        <v>4.5575431731180531</v>
      </c>
      <c r="R1084" s="3">
        <f t="shared" si="99"/>
        <v>-0.23134162988699755</v>
      </c>
      <c r="S1084" s="3">
        <f t="shared" si="100"/>
        <v>-1.4820529849776718</v>
      </c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</row>
    <row r="1085" spans="1:100" x14ac:dyDescent="0.2">
      <c r="A1085" s="32"/>
      <c r="F1085" s="3"/>
      <c r="G1085" s="3"/>
      <c r="H1085" s="3"/>
      <c r="M1085" s="1">
        <f t="shared" si="101"/>
        <v>32.490000000000471</v>
      </c>
      <c r="N1085" s="1">
        <f t="shared" si="102"/>
        <v>2.1379938780025194</v>
      </c>
      <c r="O1085" s="1">
        <f t="shared" si="103"/>
        <v>2.0132778259784794</v>
      </c>
      <c r="P1085" s="1">
        <f t="shared" si="104"/>
        <v>4.6179415078974078</v>
      </c>
      <c r="R1085" s="3">
        <f t="shared" si="99"/>
        <v>-0.14146067711448451</v>
      </c>
      <c r="S1085" s="3">
        <f t="shared" si="100"/>
        <v>-1.4933147279894858</v>
      </c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</row>
    <row r="1086" spans="1:100" x14ac:dyDescent="0.2">
      <c r="A1086" s="32"/>
      <c r="F1086" s="3"/>
      <c r="G1086" s="3"/>
      <c r="H1086" s="3"/>
      <c r="M1086" s="1">
        <f t="shared" si="101"/>
        <v>32.520000000000472</v>
      </c>
      <c r="N1086" s="1">
        <f t="shared" si="102"/>
        <v>1.2334117668067819</v>
      </c>
      <c r="O1086" s="1">
        <f t="shared" si="103"/>
        <v>2.0502801789826828</v>
      </c>
      <c r="P1086" s="1">
        <f t="shared" si="104"/>
        <v>4.6794499132668879</v>
      </c>
      <c r="R1086" s="3">
        <f t="shared" si="99"/>
        <v>-4.9399666586479075E-2</v>
      </c>
      <c r="S1086" s="3">
        <f t="shared" si="100"/>
        <v>-1.4991863369645364</v>
      </c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</row>
    <row r="1087" spans="1:100" x14ac:dyDescent="0.2">
      <c r="A1087" s="32"/>
      <c r="F1087" s="3"/>
      <c r="G1087" s="3"/>
      <c r="H1087" s="3"/>
      <c r="M1087" s="1">
        <f t="shared" si="101"/>
        <v>32.550000000000473</v>
      </c>
      <c r="N1087" s="1">
        <f t="shared" si="102"/>
        <v>0.30947144975634933</v>
      </c>
      <c r="O1087" s="1">
        <f t="shared" si="103"/>
        <v>2.0595643224753735</v>
      </c>
      <c r="P1087" s="1">
        <f t="shared" si="104"/>
        <v>4.7412368429411487</v>
      </c>
      <c r="R1087" s="3">
        <f t="shared" si="99"/>
        <v>4.3265792292569237E-2</v>
      </c>
      <c r="S1087" s="3">
        <f t="shared" si="100"/>
        <v>-1.4993758939029584</v>
      </c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</row>
    <row r="1088" spans="1:100" x14ac:dyDescent="0.2">
      <c r="A1088" s="32"/>
      <c r="F1088" s="3"/>
      <c r="G1088" s="3"/>
      <c r="H1088" s="3"/>
      <c r="M1088" s="1">
        <f t="shared" si="101"/>
        <v>32.580000000000474</v>
      </c>
      <c r="N1088" s="1">
        <f t="shared" si="102"/>
        <v>-0.61801871194847602</v>
      </c>
      <c r="O1088" s="1">
        <f t="shared" si="103"/>
        <v>2.0410237611169193</v>
      </c>
      <c r="P1088" s="1">
        <f t="shared" si="104"/>
        <v>4.8024675557746566</v>
      </c>
      <c r="R1088" s="3">
        <f t="shared" si="99"/>
        <v>0.13493520944228418</v>
      </c>
      <c r="S1088" s="3">
        <f t="shared" si="100"/>
        <v>-1.4939185015430954</v>
      </c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</row>
    <row r="1089" spans="1:100" x14ac:dyDescent="0.2">
      <c r="A1089" s="32"/>
      <c r="F1089" s="3"/>
      <c r="G1089" s="3"/>
      <c r="H1089" s="3"/>
      <c r="M1089" s="1">
        <f t="shared" si="101"/>
        <v>32.610000000000475</v>
      </c>
      <c r="N1089" s="1">
        <f t="shared" si="102"/>
        <v>-1.5330442329233647</v>
      </c>
      <c r="O1089" s="1">
        <f t="shared" si="103"/>
        <v>1.9950324341292183</v>
      </c>
      <c r="P1089" s="1">
        <f t="shared" si="104"/>
        <v>4.8623185287985331</v>
      </c>
      <c r="R1089" s="3">
        <f t="shared" si="99"/>
        <v>0.22405270741801167</v>
      </c>
      <c r="S1089" s="3">
        <f t="shared" si="100"/>
        <v>-1.4831724054534789</v>
      </c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</row>
    <row r="1090" spans="1:100" x14ac:dyDescent="0.2">
      <c r="A1090" s="32"/>
      <c r="F1090" s="3"/>
      <c r="G1090" s="3"/>
      <c r="H1090" s="3"/>
      <c r="M1090" s="1">
        <f t="shared" si="101"/>
        <v>32.640000000000477</v>
      </c>
      <c r="N1090" s="1">
        <f t="shared" si="102"/>
        <v>-2.4200799932517465</v>
      </c>
      <c r="O1090" s="1">
        <f t="shared" si="103"/>
        <v>1.9224300343316658</v>
      </c>
      <c r="P1090" s="1">
        <f t="shared" si="104"/>
        <v>4.9199914298284835</v>
      </c>
      <c r="R1090" s="3">
        <f t="shared" ref="R1090:R1153" si="105">$B$3*COS(P1090)</f>
        <v>0.30917163658443281</v>
      </c>
      <c r="S1090" s="3">
        <f t="shared" ref="S1090:S1153" si="106">$B$3*SIN(P1090)</f>
        <v>-1.4677918446195644</v>
      </c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</row>
    <row r="1091" spans="1:100" x14ac:dyDescent="0.2">
      <c r="A1091" s="32"/>
      <c r="F1091" s="3"/>
      <c r="G1091" s="3"/>
      <c r="H1091" s="3"/>
      <c r="M1091" s="1">
        <f t="shared" ref="M1091:M1154" si="107">M1090+B$13</f>
        <v>32.670000000000478</v>
      </c>
      <c r="N1091" s="1">
        <f t="shared" ref="N1091:N1154" si="108">-$B$12*$B$3*COS(P1090)-B$10*O1090</f>
        <v>-3.2647350689341779</v>
      </c>
      <c r="O1091" s="1">
        <f t="shared" ref="O1091:O1154" si="109">N1091*$B$13+O1090</f>
        <v>1.8244879822636404</v>
      </c>
      <c r="P1091" s="1">
        <f t="shared" ref="P1091:P1154" si="110">O1091*$B$13+P1090</f>
        <v>4.974726069296393</v>
      </c>
      <c r="R1091" s="3">
        <f t="shared" si="105"/>
        <v>0.38900758058059715</v>
      </c>
      <c r="S1091" s="3">
        <f t="shared" si="106"/>
        <v>-1.4486797790577566</v>
      </c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</row>
    <row r="1092" spans="1:100" x14ac:dyDescent="0.2">
      <c r="A1092" s="32"/>
      <c r="F1092" s="3"/>
      <c r="G1092" s="3"/>
      <c r="H1092" s="3"/>
      <c r="M1092" s="1">
        <f t="shared" si="107"/>
        <v>32.700000000000479</v>
      </c>
      <c r="N1092" s="1">
        <f t="shared" si="108"/>
        <v>-4.0542797242096986</v>
      </c>
      <c r="O1092" s="1">
        <f t="shared" si="109"/>
        <v>1.7028595905373494</v>
      </c>
      <c r="P1092" s="1">
        <f t="shared" si="110"/>
        <v>5.0258118570125134</v>
      </c>
      <c r="R1092" s="3">
        <f t="shared" si="105"/>
        <v>0.46247484502782799</v>
      </c>
      <c r="S1092" s="3">
        <f t="shared" si="106"/>
        <v>-1.4269257225645933</v>
      </c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</row>
    <row r="1093" spans="1:100" x14ac:dyDescent="0.2">
      <c r="A1093" s="32"/>
      <c r="F1093" s="3"/>
      <c r="G1093" s="3"/>
      <c r="H1093" s="3"/>
      <c r="M1093" s="1">
        <f t="shared" si="107"/>
        <v>32.73000000000048</v>
      </c>
      <c r="N1093" s="1">
        <f t="shared" si="108"/>
        <v>-4.778005813426641</v>
      </c>
      <c r="O1093" s="1">
        <f t="shared" si="109"/>
        <v>1.5595194161345503</v>
      </c>
      <c r="P1093" s="1">
        <f t="shared" si="110"/>
        <v>5.0725974394965503</v>
      </c>
      <c r="R1093" s="3">
        <f t="shared" si="105"/>
        <v>0.5287039827603901</v>
      </c>
      <c r="S1093" s="3">
        <f t="shared" si="106"/>
        <v>-1.4037350528548118</v>
      </c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</row>
    <row r="1094" spans="1:100" x14ac:dyDescent="0.2">
      <c r="A1094" s="32"/>
      <c r="F1094" s="3"/>
      <c r="G1094" s="3"/>
      <c r="H1094" s="3"/>
      <c r="M1094" s="1">
        <f t="shared" si="107"/>
        <v>32.760000000000481</v>
      </c>
      <c r="N1094" s="1">
        <f t="shared" si="108"/>
        <v>-5.4273965750560098</v>
      </c>
      <c r="O1094" s="1">
        <f t="shared" si="109"/>
        <v>1.3966975188828701</v>
      </c>
      <c r="P1094" s="1">
        <f t="shared" si="110"/>
        <v>5.114498365063036</v>
      </c>
      <c r="R1094" s="3">
        <f t="shared" si="105"/>
        <v>0.58704051968633963</v>
      </c>
      <c r="S1094" s="3">
        <f t="shared" si="106"/>
        <v>-1.38035626859387</v>
      </c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</row>
    <row r="1095" spans="1:100" x14ac:dyDescent="0.2">
      <c r="A1095" s="32"/>
      <c r="F1095" s="3"/>
      <c r="G1095" s="3"/>
      <c r="H1095" s="3"/>
      <c r="M1095" s="1">
        <f t="shared" si="107"/>
        <v>32.790000000000482</v>
      </c>
      <c r="N1095" s="1">
        <f t="shared" si="108"/>
        <v>-5.9961079735628537</v>
      </c>
      <c r="O1095" s="1">
        <f t="shared" si="109"/>
        <v>1.2168142796759844</v>
      </c>
      <c r="P1095" s="1">
        <f t="shared" si="110"/>
        <v>5.1510027934533156</v>
      </c>
      <c r="R1095" s="3">
        <f t="shared" si="105"/>
        <v>0.63702735196747418</v>
      </c>
      <c r="S1095" s="3">
        <f t="shared" si="106"/>
        <v>-1.3580118382566875</v>
      </c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</row>
    <row r="1096" spans="1:100" x14ac:dyDescent="0.2">
      <c r="A1096" s="32"/>
      <c r="F1096" s="3"/>
      <c r="G1096" s="3"/>
      <c r="H1096" s="3"/>
      <c r="M1096" s="1">
        <f t="shared" si="107"/>
        <v>32.820000000000483</v>
      </c>
      <c r="N1096" s="1">
        <f t="shared" si="108"/>
        <v>-6.4797868048455802</v>
      </c>
      <c r="O1096" s="1">
        <f t="shared" si="109"/>
        <v>1.0224206755306171</v>
      </c>
      <c r="P1096" s="1">
        <f t="shared" si="110"/>
        <v>5.1816754137192342</v>
      </c>
      <c r="R1096" s="3">
        <f t="shared" si="105"/>
        <v>0.67837496508435213</v>
      </c>
      <c r="S1096" s="3">
        <f t="shared" si="106"/>
        <v>-1.3378368386117958</v>
      </c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</row>
    <row r="1097" spans="1:100" x14ac:dyDescent="0.2">
      <c r="A1097" s="32"/>
      <c r="F1097" s="3"/>
      <c r="G1097" s="3"/>
      <c r="H1097" s="3"/>
      <c r="M1097" s="1">
        <f t="shared" si="107"/>
        <v>32.850000000000485</v>
      </c>
      <c r="N1097" s="1">
        <f t="shared" si="108"/>
        <v>-6.8757675116412766</v>
      </c>
      <c r="O1097" s="1">
        <f t="shared" si="109"/>
        <v>0.8161476501813788</v>
      </c>
      <c r="P1097" s="1">
        <f t="shared" si="110"/>
        <v>5.2061598432246754</v>
      </c>
      <c r="R1097" s="3">
        <f t="shared" si="105"/>
        <v>0.71092453570306235</v>
      </c>
      <c r="S1097" s="3">
        <f t="shared" si="106"/>
        <v>-1.3208278860379141</v>
      </c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</row>
    <row r="1098" spans="1:100" x14ac:dyDescent="0.2">
      <c r="A1098" s="32"/>
      <c r="F1098" s="3"/>
      <c r="G1098" s="3"/>
      <c r="H1098" s="3"/>
      <c r="M1098" s="1">
        <f t="shared" si="107"/>
        <v>32.880000000000486</v>
      </c>
      <c r="N1098" s="1">
        <f t="shared" si="108"/>
        <v>-7.1826986455469477</v>
      </c>
      <c r="O1098" s="1">
        <f t="shared" si="109"/>
        <v>0.60066669081497037</v>
      </c>
      <c r="P1098" s="1">
        <f t="shared" si="110"/>
        <v>5.2241798439491243</v>
      </c>
      <c r="R1098" s="3">
        <f t="shared" si="105"/>
        <v>0.7346091443224636</v>
      </c>
      <c r="S1098" s="3">
        <f t="shared" si="106"/>
        <v>-1.3078032746089214</v>
      </c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</row>
    <row r="1099" spans="1:100" x14ac:dyDescent="0.2">
      <c r="A1099" s="32"/>
      <c r="F1099" s="3"/>
      <c r="G1099" s="3"/>
      <c r="H1099" s="3"/>
      <c r="M1099" s="1">
        <f t="shared" si="107"/>
        <v>32.910000000000487</v>
      </c>
      <c r="N1099" s="1">
        <f t="shared" si="108"/>
        <v>-7.4001514453979835</v>
      </c>
      <c r="O1099" s="1">
        <f t="shared" si="109"/>
        <v>0.37866214745303084</v>
      </c>
      <c r="P1099" s="1">
        <f t="shared" si="110"/>
        <v>5.2355397083727153</v>
      </c>
      <c r="R1099" s="3">
        <f t="shared" si="105"/>
        <v>0.74941789382057422</v>
      </c>
      <c r="S1099" s="3">
        <f t="shared" si="106"/>
        <v>-1.299374010984341</v>
      </c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</row>
    <row r="1100" spans="1:100" x14ac:dyDescent="0.2">
      <c r="A1100" s="32"/>
      <c r="F1100" s="3"/>
      <c r="G1100" s="3"/>
      <c r="H1100" s="3"/>
      <c r="M1100" s="1">
        <f t="shared" si="107"/>
        <v>32.940000000000488</v>
      </c>
      <c r="N1100" s="1">
        <f t="shared" si="108"/>
        <v>-7.5282585314765154</v>
      </c>
      <c r="O1100" s="1">
        <f t="shared" si="109"/>
        <v>0.15281439150873538</v>
      </c>
      <c r="P1100" s="1">
        <f t="shared" si="110"/>
        <v>5.2401241401179774</v>
      </c>
      <c r="R1100" s="3">
        <f t="shared" si="105"/>
        <v>0.75536688916995876</v>
      </c>
      <c r="S1100" s="3">
        <f t="shared" si="106"/>
        <v>-1.2959247133787128</v>
      </c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</row>
    <row r="1101" spans="1:100" x14ac:dyDescent="0.2">
      <c r="A1101" s="32"/>
      <c r="F1101" s="3"/>
      <c r="G1101" s="3"/>
      <c r="H1101" s="3"/>
      <c r="M1101" s="1">
        <f t="shared" si="107"/>
        <v>32.970000000000489</v>
      </c>
      <c r="N1101" s="1">
        <f t="shared" si="108"/>
        <v>-7.5674221869353744</v>
      </c>
      <c r="O1101" s="1">
        <f t="shared" si="109"/>
        <v>-7.4208274099325844E-2</v>
      </c>
      <c r="P1101" s="1">
        <f t="shared" si="110"/>
        <v>5.2378978918949981</v>
      </c>
      <c r="R1101" s="3">
        <f t="shared" si="105"/>
        <v>0.75247996959602659</v>
      </c>
      <c r="S1101" s="3">
        <f t="shared" si="106"/>
        <v>-1.2976031347668529</v>
      </c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</row>
    <row r="1102" spans="1:100" x14ac:dyDescent="0.2">
      <c r="A1102" s="32"/>
      <c r="F1102" s="3"/>
      <c r="G1102" s="3"/>
      <c r="H1102" s="3"/>
      <c r="M1102" s="1">
        <f t="shared" si="107"/>
        <v>33.00000000000049</v>
      </c>
      <c r="N1102" s="1">
        <f t="shared" si="108"/>
        <v>-7.5181209512913272</v>
      </c>
      <c r="O1102" s="1">
        <f t="shared" si="109"/>
        <v>-0.29975190263806561</v>
      </c>
      <c r="P1102" s="1">
        <f t="shared" si="110"/>
        <v>5.2289053348158561</v>
      </c>
      <c r="R1102" s="3">
        <f t="shared" si="105"/>
        <v>0.74078093175914073</v>
      </c>
      <c r="S1102" s="3">
        <f t="shared" si="106"/>
        <v>-1.3043172969573238</v>
      </c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</row>
    <row r="1103" spans="1:100" x14ac:dyDescent="0.2">
      <c r="A1103" s="32"/>
      <c r="F1103" s="3"/>
      <c r="G1103" s="3"/>
      <c r="H1103" s="3"/>
      <c r="M1103" s="1">
        <f t="shared" si="107"/>
        <v>33.030000000000491</v>
      </c>
      <c r="N1103" s="1">
        <f t="shared" si="108"/>
        <v>-7.3808316463539816</v>
      </c>
      <c r="O1103" s="1">
        <f t="shared" si="109"/>
        <v>-0.52117685202868502</v>
      </c>
      <c r="P1103" s="1">
        <f t="shared" si="110"/>
        <v>5.2132700292549954</v>
      </c>
      <c r="R1103" s="3">
        <f t="shared" si="105"/>
        <v>0.72029781832888806</v>
      </c>
      <c r="S1103" s="3">
        <f t="shared" si="106"/>
        <v>-1.3157397360080922</v>
      </c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</row>
    <row r="1104" spans="1:100" x14ac:dyDescent="0.2">
      <c r="A1104" s="32"/>
      <c r="F1104" s="3"/>
      <c r="G1104" s="3"/>
      <c r="H1104" s="3"/>
      <c r="M1104" s="1">
        <f t="shared" si="107"/>
        <v>33.060000000000493</v>
      </c>
      <c r="N1104" s="1">
        <f t="shared" si="108"/>
        <v>-7.1560722666062988</v>
      </c>
      <c r="O1104" s="1">
        <f t="shared" si="109"/>
        <v>-0.73585902002687398</v>
      </c>
      <c r="P1104" s="1">
        <f t="shared" si="110"/>
        <v>5.191194258654189</v>
      </c>
      <c r="R1104" s="3">
        <f t="shared" si="105"/>
        <v>0.69107870118295067</v>
      </c>
      <c r="S1104" s="3">
        <f t="shared" si="106"/>
        <v>-1.3313189808499262</v>
      </c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</row>
    <row r="1105" spans="1:100" x14ac:dyDescent="0.2">
      <c r="A1105" s="32"/>
      <c r="F1105" s="3"/>
      <c r="G1105" s="3"/>
      <c r="H1105" s="3"/>
      <c r="M1105" s="1">
        <f t="shared" si="107"/>
        <v>33.090000000000494</v>
      </c>
      <c r="N1105" s="1">
        <f t="shared" si="108"/>
        <v>-6.8445597000270881</v>
      </c>
      <c r="O1105" s="1">
        <f t="shared" si="109"/>
        <v>-0.94119581102768657</v>
      </c>
      <c r="P1105" s="1">
        <f t="shared" si="110"/>
        <v>5.1629583843233586</v>
      </c>
      <c r="R1105" s="3">
        <f t="shared" si="105"/>
        <v>0.65321727254658357</v>
      </c>
      <c r="S1105" s="3">
        <f t="shared" si="106"/>
        <v>-1.3502989279588435</v>
      </c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</row>
    <row r="1106" spans="1:100" x14ac:dyDescent="0.2">
      <c r="A1106" s="32"/>
      <c r="F1106" s="3"/>
      <c r="G1106" s="3"/>
      <c r="H1106" s="3"/>
      <c r="M1106" s="1">
        <f t="shared" si="107"/>
        <v>33.120000000000495</v>
      </c>
      <c r="N1106" s="1">
        <f t="shared" si="108"/>
        <v>-6.4474651024733438</v>
      </c>
      <c r="O1106" s="1">
        <f t="shared" si="109"/>
        <v>-1.1346197641018869</v>
      </c>
      <c r="P1106" s="1">
        <f t="shared" si="110"/>
        <v>5.1289197914003024</v>
      </c>
      <c r="R1106" s="3">
        <f t="shared" si="105"/>
        <v>0.60688549135272518</v>
      </c>
      <c r="S1106" s="3">
        <f t="shared" si="106"/>
        <v>-1.3717470613730365</v>
      </c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</row>
    <row r="1107" spans="1:100" x14ac:dyDescent="0.2">
      <c r="A1107" s="32"/>
      <c r="F1107" s="3"/>
      <c r="G1107" s="3"/>
      <c r="H1107" s="3"/>
      <c r="M1107" s="1">
        <f t="shared" si="107"/>
        <v>33.150000000000496</v>
      </c>
      <c r="N1107" s="1">
        <f t="shared" si="108"/>
        <v>-5.9667391347580825</v>
      </c>
      <c r="O1107" s="1">
        <f t="shared" si="109"/>
        <v>-1.3136219381446295</v>
      </c>
      <c r="P1107" s="1">
        <f t="shared" si="110"/>
        <v>5.0895111332559635</v>
      </c>
      <c r="R1107" s="3">
        <f t="shared" si="105"/>
        <v>0.55236957339838866</v>
      </c>
      <c r="S1107" s="3">
        <f t="shared" si="106"/>
        <v>-1.3945923613671782</v>
      </c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</row>
    <row r="1108" spans="1:100" x14ac:dyDescent="0.2">
      <c r="A1108" s="32"/>
      <c r="F1108" s="3"/>
      <c r="G1108" s="3"/>
      <c r="H1108" s="3"/>
      <c r="M1108" s="1">
        <f t="shared" si="107"/>
        <v>33.180000000000497</v>
      </c>
      <c r="N1108" s="1">
        <f t="shared" si="108"/>
        <v>-5.4054697595508703</v>
      </c>
      <c r="O1108" s="1">
        <f t="shared" si="109"/>
        <v>-1.4757860309311557</v>
      </c>
      <c r="P1108" s="1">
        <f t="shared" si="110"/>
        <v>5.0452375523280288</v>
      </c>
      <c r="R1108" s="3">
        <f t="shared" si="105"/>
        <v>0.49010486959047433</v>
      </c>
      <c r="S1108" s="3">
        <f t="shared" si="106"/>
        <v>-1.4176731699526883</v>
      </c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</row>
    <row r="1109" spans="1:100" x14ac:dyDescent="0.2">
      <c r="A1109" s="32"/>
      <c r="F1109" s="3"/>
      <c r="G1109" s="3"/>
      <c r="H1109" s="3"/>
      <c r="M1109" s="1">
        <f t="shared" si="107"/>
        <v>33.210000000000498</v>
      </c>
      <c r="N1109" s="1">
        <f t="shared" si="108"/>
        <v>-4.7682279531209391</v>
      </c>
      <c r="O1109" s="1">
        <f t="shared" si="109"/>
        <v>-1.6188328695247838</v>
      </c>
      <c r="P1109" s="1">
        <f t="shared" si="110"/>
        <v>4.9966725662422853</v>
      </c>
      <c r="R1109" s="3">
        <f t="shared" si="105"/>
        <v>0.42070479603344901</v>
      </c>
      <c r="S1109" s="3">
        <f t="shared" si="106"/>
        <v>-1.4397942473125993</v>
      </c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</row>
    <row r="1110" spans="1:100" x14ac:dyDescent="0.2">
      <c r="A1110" s="32"/>
      <c r="F1110" s="3"/>
      <c r="G1110" s="3"/>
      <c r="H1110" s="3"/>
      <c r="M1110" s="1">
        <f t="shared" si="107"/>
        <v>33.240000000000499</v>
      </c>
      <c r="N1110" s="1">
        <f t="shared" si="108"/>
        <v>-4.0613530020772597</v>
      </c>
      <c r="O1110" s="1">
        <f t="shared" si="109"/>
        <v>-1.7406734595871016</v>
      </c>
      <c r="P1110" s="1">
        <f t="shared" si="110"/>
        <v>4.9444523624546726</v>
      </c>
      <c r="R1110" s="3">
        <f t="shared" si="105"/>
        <v>0.34497912386851759</v>
      </c>
      <c r="S1110" s="3">
        <f t="shared" si="106"/>
        <v>-1.4597908768364427</v>
      </c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</row>
    <row r="1111" spans="1:100" x14ac:dyDescent="0.2">
      <c r="A1111" s="32"/>
      <c r="F1111" s="3"/>
      <c r="G1111" s="3"/>
      <c r="H1111" s="3"/>
      <c r="M1111" s="1">
        <f t="shared" si="107"/>
        <v>33.270000000000501</v>
      </c>
      <c r="N1111" s="1">
        <f t="shared" si="108"/>
        <v>-3.2931306273223364</v>
      </c>
      <c r="O1111" s="1">
        <f t="shared" si="109"/>
        <v>-1.8394673784067717</v>
      </c>
      <c r="P1111" s="1">
        <f t="shared" si="110"/>
        <v>4.8892683411024693</v>
      </c>
      <c r="R1111" s="3">
        <f t="shared" si="105"/>
        <v>0.26393772810683469</v>
      </c>
      <c r="S1111" s="3">
        <f t="shared" si="106"/>
        <v>-1.4765963821172672</v>
      </c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</row>
    <row r="1112" spans="1:100" x14ac:dyDescent="0.2">
      <c r="A1112" s="32"/>
      <c r="F1112" s="3"/>
      <c r="G1112" s="3"/>
      <c r="H1112" s="3"/>
      <c r="M1112" s="1">
        <f t="shared" si="107"/>
        <v>33.300000000000502</v>
      </c>
      <c r="N1112" s="1">
        <f t="shared" si="108"/>
        <v>-2.4738252170117372</v>
      </c>
      <c r="O1112" s="1">
        <f t="shared" si="109"/>
        <v>-1.9136821349171238</v>
      </c>
      <c r="P1112" s="1">
        <f t="shared" si="110"/>
        <v>4.8318578770549561</v>
      </c>
      <c r="R1112" s="3">
        <f t="shared" si="105"/>
        <v>0.17877735968664299</v>
      </c>
      <c r="S1112" s="3">
        <f t="shared" si="106"/>
        <v>-1.4893081130724672</v>
      </c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</row>
    <row r="1113" spans="1:100" x14ac:dyDescent="0.2">
      <c r="A1113" s="32"/>
      <c r="F1113" s="3"/>
      <c r="G1113" s="3"/>
      <c r="H1113" s="3"/>
      <c r="M1113" s="1">
        <f t="shared" si="107"/>
        <v>33.330000000000503</v>
      </c>
      <c r="N1113" s="1">
        <f t="shared" si="108"/>
        <v>-1.615542204723889</v>
      </c>
      <c r="O1113" s="1">
        <f t="shared" si="109"/>
        <v>-1.9621484010588404</v>
      </c>
      <c r="P1113" s="1">
        <f t="shared" si="110"/>
        <v>4.7729934250231905</v>
      </c>
      <c r="R1113" s="3">
        <f t="shared" si="105"/>
        <v>9.0851028679789461E-2</v>
      </c>
      <c r="S1113" s="3">
        <f t="shared" si="106"/>
        <v>-1.4972461690008843</v>
      </c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</row>
    <row r="1114" spans="1:100" x14ac:dyDescent="0.2">
      <c r="A1114" s="32"/>
      <c r="F1114" s="3"/>
      <c r="G1114" s="3"/>
      <c r="H1114" s="3"/>
      <c r="M1114" s="1">
        <f t="shared" si="107"/>
        <v>33.360000000000504</v>
      </c>
      <c r="N1114" s="1">
        <f t="shared" si="108"/>
        <v>-0.731916930702599</v>
      </c>
      <c r="O1114" s="1">
        <f t="shared" si="109"/>
        <v>-1.9841059089799182</v>
      </c>
      <c r="P1114" s="1">
        <f t="shared" si="110"/>
        <v>4.7134702477537926</v>
      </c>
      <c r="R1114" s="3">
        <f t="shared" si="105"/>
        <v>1.6219007376161976E-3</v>
      </c>
      <c r="S1114" s="3">
        <f t="shared" si="106"/>
        <v>-1.4999991231457428</v>
      </c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</row>
    <row r="1115" spans="1:100" x14ac:dyDescent="0.2">
      <c r="A1115" s="32"/>
      <c r="F1115" s="3"/>
      <c r="G1115" s="3"/>
      <c r="H1115" s="3"/>
      <c r="M1115" s="1">
        <f t="shared" si="107"/>
        <v>33.390000000000505</v>
      </c>
      <c r="N1115" s="1">
        <f t="shared" si="108"/>
        <v>0.16235052443203066</v>
      </c>
      <c r="O1115" s="1">
        <f t="shared" si="109"/>
        <v>-1.9792353932469573</v>
      </c>
      <c r="P1115" s="1">
        <f t="shared" si="110"/>
        <v>4.6540931859563841</v>
      </c>
      <c r="R1115" s="3">
        <f t="shared" si="105"/>
        <v>-8.7394171955775243E-2</v>
      </c>
      <c r="S1115" s="3">
        <f t="shared" si="106"/>
        <v>-1.4974519220022271</v>
      </c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</row>
    <row r="1116" spans="1:100" x14ac:dyDescent="0.2">
      <c r="A1116" s="32"/>
      <c r="F1116" s="3"/>
      <c r="G1116" s="3"/>
      <c r="H1116" s="3"/>
      <c r="M1116" s="1">
        <f t="shared" si="107"/>
        <v>33.420000000000506</v>
      </c>
      <c r="N1116" s="1">
        <f t="shared" si="108"/>
        <v>1.0520729049499784</v>
      </c>
      <c r="O1116" s="1">
        <f t="shared" si="109"/>
        <v>-1.9476732060984578</v>
      </c>
      <c r="P1116" s="1">
        <f t="shared" si="110"/>
        <v>4.5956629897734302</v>
      </c>
      <c r="R1116" s="3">
        <f t="shared" si="105"/>
        <v>-0.1746916600435609</v>
      </c>
      <c r="S1116" s="3">
        <f t="shared" si="106"/>
        <v>-1.4897928795343416</v>
      </c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</row>
    <row r="1117" spans="1:100" x14ac:dyDescent="0.2">
      <c r="A1117" s="32"/>
      <c r="F1117" s="3"/>
      <c r="G1117" s="3"/>
      <c r="H1117" s="3"/>
      <c r="M1117" s="1">
        <f t="shared" si="107"/>
        <v>33.450000000000507</v>
      </c>
      <c r="N1117" s="1">
        <f t="shared" si="108"/>
        <v>1.9222071889844703</v>
      </c>
      <c r="O1117" s="1">
        <f t="shared" si="109"/>
        <v>-1.8900069904289238</v>
      </c>
      <c r="P1117" s="1">
        <f t="shared" si="110"/>
        <v>4.5389627800605625</v>
      </c>
      <c r="R1117" s="3">
        <f t="shared" si="105"/>
        <v>-0.25883724045925594</v>
      </c>
      <c r="S1117" s="3">
        <f t="shared" si="106"/>
        <v>-1.477498995922311</v>
      </c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</row>
    <row r="1118" spans="1:100" x14ac:dyDescent="0.2">
      <c r="A1118" s="32"/>
      <c r="F1118" s="3"/>
      <c r="G1118" s="3"/>
      <c r="H1118" s="3"/>
      <c r="M1118" s="1">
        <f t="shared" si="107"/>
        <v>33.480000000000508</v>
      </c>
      <c r="N1118" s="1">
        <f t="shared" si="108"/>
        <v>2.7584730337311623</v>
      </c>
      <c r="O1118" s="1">
        <f t="shared" si="109"/>
        <v>-1.8072527994169889</v>
      </c>
      <c r="P1118" s="1">
        <f t="shared" si="110"/>
        <v>4.4847451960780527</v>
      </c>
      <c r="R1118" s="3">
        <f t="shared" si="105"/>
        <v>-0.33852408717129512</v>
      </c>
      <c r="S1118" s="3">
        <f t="shared" si="106"/>
        <v>-1.4613012839263644</v>
      </c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</row>
    <row r="1119" spans="1:100" x14ac:dyDescent="0.2">
      <c r="A1119" s="32"/>
      <c r="F1119" s="3"/>
      <c r="G1119" s="3"/>
      <c r="H1119" s="3"/>
      <c r="M1119" s="1">
        <f t="shared" si="107"/>
        <v>33.51000000000051</v>
      </c>
      <c r="N1119" s="1">
        <f t="shared" si="108"/>
        <v>3.5478936236604808</v>
      </c>
      <c r="O1119" s="1">
        <f t="shared" si="109"/>
        <v>-1.7008159907071745</v>
      </c>
      <c r="P1119" s="1">
        <f t="shared" si="110"/>
        <v>4.4337207163568371</v>
      </c>
      <c r="R1119" s="3">
        <f t="shared" si="105"/>
        <v>-0.41261329767420818</v>
      </c>
      <c r="S1119" s="3">
        <f t="shared" si="106"/>
        <v>-1.4421339281018304</v>
      </c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</row>
    <row r="1120" spans="1:100" x14ac:dyDescent="0.2">
      <c r="A1120" s="32"/>
      <c r="F1120" s="3"/>
      <c r="G1120" s="3"/>
      <c r="H1120" s="3"/>
      <c r="M1120" s="1">
        <f t="shared" si="107"/>
        <v>33.540000000000511</v>
      </c>
      <c r="N1120" s="1">
        <f t="shared" si="108"/>
        <v>4.2792064159057279</v>
      </c>
      <c r="O1120" s="1">
        <f t="shared" si="109"/>
        <v>-1.5724397982300027</v>
      </c>
      <c r="P1120" s="1">
        <f t="shared" si="110"/>
        <v>4.3865475224099368</v>
      </c>
      <c r="R1120" s="3">
        <f t="shared" si="105"/>
        <v>-0.48015912147058909</v>
      </c>
      <c r="S1120" s="3">
        <f t="shared" si="106"/>
        <v>-1.4210725590442566</v>
      </c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</row>
    <row r="1121" spans="1:100" x14ac:dyDescent="0.2">
      <c r="A1121" s="32"/>
      <c r="F1121" s="3"/>
      <c r="G1121" s="3"/>
      <c r="H1121" s="3"/>
      <c r="M1121" s="1">
        <f t="shared" si="107"/>
        <v>33.570000000000512</v>
      </c>
      <c r="N1121" s="1">
        <f t="shared" si="108"/>
        <v>4.9431107965465912</v>
      </c>
      <c r="O1121" s="1">
        <f t="shared" si="109"/>
        <v>-1.424146474333605</v>
      </c>
      <c r="P1121" s="1">
        <f t="shared" si="110"/>
        <v>4.3438231281799284</v>
      </c>
      <c r="R1121" s="3">
        <f t="shared" si="105"/>
        <v>-0.54041694800184015</v>
      </c>
      <c r="S1121" s="3">
        <f t="shared" si="106"/>
        <v>-1.3992674949102393</v>
      </c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</row>
    <row r="1122" spans="1:100" x14ac:dyDescent="0.2">
      <c r="A1122" s="32"/>
      <c r="F1122" s="3"/>
      <c r="G1122" s="3"/>
      <c r="H1122" s="3"/>
      <c r="M1122" s="1">
        <f t="shared" si="107"/>
        <v>33.600000000000513</v>
      </c>
      <c r="N1122" s="1">
        <f t="shared" si="108"/>
        <v>5.5323426627084267</v>
      </c>
      <c r="O1122" s="1">
        <f t="shared" si="109"/>
        <v>-1.2581761944523522</v>
      </c>
      <c r="P1122" s="1">
        <f t="shared" si="110"/>
        <v>4.3060778423463582</v>
      </c>
      <c r="R1122" s="3">
        <f t="shared" si="105"/>
        <v>-0.59283523719620712</v>
      </c>
      <c r="S1122" s="3">
        <f t="shared" si="106"/>
        <v>-1.3778774914841003</v>
      </c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</row>
    <row r="1123" spans="1:100" x14ac:dyDescent="0.2">
      <c r="A1123" s="32"/>
      <c r="F1123" s="3"/>
      <c r="G1123" s="3"/>
      <c r="H1123" s="3"/>
      <c r="M1123" s="1">
        <f t="shared" si="107"/>
        <v>33.630000000000514</v>
      </c>
      <c r="N1123" s="1">
        <f t="shared" si="108"/>
        <v>6.0415882294627821</v>
      </c>
      <c r="O1123" s="1">
        <f t="shared" si="109"/>
        <v>-1.0769285475684687</v>
      </c>
      <c r="P1123" s="1">
        <f t="shared" si="110"/>
        <v>4.2737699859193041</v>
      </c>
      <c r="R1123" s="3">
        <f t="shared" si="105"/>
        <v>-0.63703438835706183</v>
      </c>
      <c r="S1123" s="3">
        <f t="shared" si="106"/>
        <v>-1.3580085375470008</v>
      </c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</row>
    <row r="1124" spans="1:100" x14ac:dyDescent="0.2">
      <c r="A1124" s="32"/>
      <c r="F1124" s="3"/>
      <c r="G1124" s="3"/>
      <c r="H1124" s="3"/>
      <c r="M1124" s="1">
        <f t="shared" si="107"/>
        <v>33.660000000000515</v>
      </c>
      <c r="N1124" s="1">
        <f t="shared" si="108"/>
        <v>6.4672674528517797</v>
      </c>
      <c r="O1124" s="1">
        <f t="shared" si="109"/>
        <v>-0.88291052398291525</v>
      </c>
      <c r="P1124" s="1">
        <f t="shared" si="110"/>
        <v>4.2472826701998168</v>
      </c>
      <c r="R1124" s="3">
        <f t="shared" si="105"/>
        <v>-0.67277673187100073</v>
      </c>
      <c r="S1124" s="3">
        <f t="shared" si="106"/>
        <v>-1.3406608329674494</v>
      </c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</row>
    <row r="1125" spans="1:100" x14ac:dyDescent="0.2">
      <c r="A1125" s="32"/>
      <c r="F1125" s="3"/>
      <c r="G1125" s="3"/>
      <c r="H1125" s="3"/>
      <c r="M1125" s="1">
        <f t="shared" si="107"/>
        <v>33.690000000000516</v>
      </c>
      <c r="N1125" s="1">
        <f t="shared" si="108"/>
        <v>6.807229265868469</v>
      </c>
      <c r="O1125" s="1">
        <f t="shared" si="109"/>
        <v>-0.67869364600686122</v>
      </c>
      <c r="P1125" s="1">
        <f t="shared" si="110"/>
        <v>4.2269218608196111</v>
      </c>
      <c r="R1125" s="3">
        <f t="shared" si="105"/>
        <v>-0.69993233632142449</v>
      </c>
      <c r="S1125" s="3">
        <f t="shared" si="106"/>
        <v>-1.3266856163280101</v>
      </c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</row>
    <row r="1126" spans="1:100" x14ac:dyDescent="0.2">
      <c r="A1126" s="32"/>
      <c r="F1126" s="3"/>
      <c r="G1126" s="3"/>
      <c r="H1126" s="3"/>
      <c r="M1126" s="1">
        <f t="shared" si="107"/>
        <v>33.720000000000518</v>
      </c>
      <c r="N1126" s="1">
        <f t="shared" si="108"/>
        <v>7.0604057913548637</v>
      </c>
      <c r="O1126" s="1">
        <f t="shared" si="109"/>
        <v>-0.46688147226621535</v>
      </c>
      <c r="P1126" s="1">
        <f t="shared" si="110"/>
        <v>4.2129154166516249</v>
      </c>
      <c r="R1126" s="3">
        <f t="shared" si="105"/>
        <v>-0.718445221357353</v>
      </c>
      <c r="S1126" s="3">
        <f t="shared" si="106"/>
        <v>-1.3167522408975745</v>
      </c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</row>
    <row r="1127" spans="1:100" x14ac:dyDescent="0.2">
      <c r="A1127" s="32"/>
      <c r="F1127" s="3"/>
      <c r="G1127" s="3"/>
      <c r="H1127" s="3"/>
      <c r="M1127" s="1">
        <f t="shared" si="107"/>
        <v>33.750000000000519</v>
      </c>
      <c r="N1127" s="1">
        <f t="shared" si="108"/>
        <v>7.2264715460774891</v>
      </c>
      <c r="O1127" s="1">
        <f t="shared" si="109"/>
        <v>-0.25008732588389071</v>
      </c>
      <c r="P1127" s="1">
        <f t="shared" si="110"/>
        <v>4.2054127968751081</v>
      </c>
      <c r="R1127" s="3">
        <f t="shared" si="105"/>
        <v>-0.72830399978403793</v>
      </c>
      <c r="S1127" s="3">
        <f t="shared" si="106"/>
        <v>-1.3113250107805356</v>
      </c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</row>
    <row r="1128" spans="1:100" x14ac:dyDescent="0.2">
      <c r="A1128" s="32"/>
      <c r="F1128" s="3"/>
      <c r="G1128" s="3"/>
      <c r="H1128" s="3"/>
      <c r="M1128" s="1">
        <f t="shared" si="107"/>
        <v>33.78000000000052</v>
      </c>
      <c r="N1128" s="1">
        <f t="shared" si="108"/>
        <v>7.3055478571699286</v>
      </c>
      <c r="O1128" s="1">
        <f t="shared" si="109"/>
        <v>-3.0920890168792847E-2</v>
      </c>
      <c r="P1128" s="1">
        <f t="shared" si="110"/>
        <v>4.2044851701700443</v>
      </c>
      <c r="R1128" s="3">
        <f t="shared" si="105"/>
        <v>-0.729520106358996</v>
      </c>
      <c r="S1128" s="3">
        <f t="shared" si="106"/>
        <v>-1.3106488524459781</v>
      </c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</row>
    <row r="1129" spans="1:100" x14ac:dyDescent="0.2">
      <c r="A1129" s="32"/>
      <c r="F1129" s="3"/>
      <c r="G1129" s="3"/>
      <c r="H1129" s="3"/>
      <c r="M1129" s="1">
        <f t="shared" si="107"/>
        <v>33.810000000000521</v>
      </c>
      <c r="N1129" s="1">
        <f t="shared" si="108"/>
        <v>7.2979839437051517</v>
      </c>
      <c r="O1129" s="1">
        <f t="shared" si="109"/>
        <v>0.1880186281423617</v>
      </c>
      <c r="P1129" s="1">
        <f t="shared" si="110"/>
        <v>4.2101257290143153</v>
      </c>
      <c r="R1129" s="3">
        <f t="shared" si="105"/>
        <v>-0.72211574844383575</v>
      </c>
      <c r="S1129" s="3">
        <f t="shared" si="106"/>
        <v>-1.3147428820303229</v>
      </c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</row>
    <row r="1130" spans="1:100" x14ac:dyDescent="0.2">
      <c r="A1130" s="32"/>
      <c r="F1130" s="3"/>
      <c r="G1130" s="3"/>
      <c r="H1130" s="3"/>
      <c r="M1130" s="1">
        <f t="shared" si="107"/>
        <v>33.840000000000522</v>
      </c>
      <c r="N1130" s="1">
        <f t="shared" si="108"/>
        <v>7.2042358079055449</v>
      </c>
      <c r="O1130" s="1">
        <f t="shared" si="109"/>
        <v>0.40414570237952807</v>
      </c>
      <c r="P1130" s="1">
        <f t="shared" si="110"/>
        <v>4.2222501000857013</v>
      </c>
      <c r="R1130" s="3">
        <f t="shared" si="105"/>
        <v>-0.70612263342498149</v>
      </c>
      <c r="S1130" s="3">
        <f t="shared" si="106"/>
        <v>-1.3234012341557526</v>
      </c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</row>
    <row r="1131" spans="1:100" x14ac:dyDescent="0.2">
      <c r="A1131" s="32"/>
      <c r="F1131" s="3"/>
      <c r="G1131" s="3"/>
      <c r="H1131" s="3"/>
      <c r="M1131" s="1">
        <f t="shared" si="107"/>
        <v>33.870000000000523</v>
      </c>
      <c r="N1131" s="1">
        <f t="shared" si="108"/>
        <v>7.0248532210356585</v>
      </c>
      <c r="O1131" s="1">
        <f t="shared" si="109"/>
        <v>0.6148912990105978</v>
      </c>
      <c r="P1131" s="1">
        <f t="shared" si="110"/>
        <v>4.2406968390560191</v>
      </c>
      <c r="R1131" s="3">
        <f t="shared" si="105"/>
        <v>-0.68159144373422842</v>
      </c>
      <c r="S1131" s="3">
        <f t="shared" si="106"/>
        <v>-1.3362009967921331</v>
      </c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</row>
    <row r="1132" spans="1:100" x14ac:dyDescent="0.2">
      <c r="A1132" s="32"/>
      <c r="F1132" s="3"/>
      <c r="G1132" s="3"/>
      <c r="H1132" s="3"/>
      <c r="M1132" s="1">
        <f t="shared" si="107"/>
        <v>33.900000000000524</v>
      </c>
      <c r="N1132" s="1">
        <f t="shared" si="108"/>
        <v>6.7605742204313302</v>
      </c>
      <c r="O1132" s="1">
        <f t="shared" si="109"/>
        <v>0.81770852562353769</v>
      </c>
      <c r="P1132" s="1">
        <f t="shared" si="110"/>
        <v>4.2652280948247254</v>
      </c>
      <c r="R1132" s="3">
        <f t="shared" si="105"/>
        <v>-0.64861096821123609</v>
      </c>
      <c r="S1132" s="3">
        <f t="shared" si="106"/>
        <v>-1.3525175828491409</v>
      </c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</row>
    <row r="1133" spans="1:100" x14ac:dyDescent="0.2">
      <c r="A1133" s="32"/>
      <c r="F1133" s="3"/>
      <c r="G1133" s="3"/>
      <c r="H1133" s="3"/>
      <c r="M1133" s="1">
        <f t="shared" si="107"/>
        <v>33.930000000000526</v>
      </c>
      <c r="N1133" s="1">
        <f t="shared" si="108"/>
        <v>6.4125159148062432</v>
      </c>
      <c r="O1133" s="1">
        <f t="shared" si="109"/>
        <v>1.0100840030677249</v>
      </c>
      <c r="P1133" s="1">
        <f t="shared" si="110"/>
        <v>4.2955306149167569</v>
      </c>
      <c r="R1133" s="3">
        <f t="shared" si="105"/>
        <v>-0.60733478064514634</v>
      </c>
      <c r="S1133" s="3">
        <f t="shared" si="106"/>
        <v>-1.3715481997431631</v>
      </c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</row>
    <row r="1134" spans="1:100" x14ac:dyDescent="0.2">
      <c r="A1134" s="32"/>
      <c r="F1134" s="3"/>
      <c r="G1134" s="3"/>
      <c r="H1134" s="3"/>
      <c r="M1134" s="1">
        <f t="shared" si="107"/>
        <v>33.960000000000527</v>
      </c>
      <c r="N1134" s="1">
        <f t="shared" si="108"/>
        <v>5.9824402461753685</v>
      </c>
      <c r="O1134" s="1">
        <f t="shared" si="109"/>
        <v>1.1895572104529859</v>
      </c>
      <c r="P1134" s="1">
        <f t="shared" si="110"/>
        <v>4.3312173312303468</v>
      </c>
      <c r="R1134" s="3">
        <f t="shared" si="105"/>
        <v>-0.55801242555944308</v>
      </c>
      <c r="S1134" s="3">
        <f t="shared" si="106"/>
        <v>-1.3923441144060855</v>
      </c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</row>
    <row r="1135" spans="1:100" x14ac:dyDescent="0.2">
      <c r="A1135" s="32"/>
      <c r="F1135" s="3"/>
      <c r="G1135" s="3"/>
      <c r="H1135" s="3"/>
      <c r="M1135" s="1">
        <f t="shared" si="107"/>
        <v>33.990000000000528</v>
      </c>
      <c r="N1135" s="1">
        <f t="shared" si="108"/>
        <v>5.4730641066536627</v>
      </c>
      <c r="O1135" s="1">
        <f t="shared" si="109"/>
        <v>1.3537491336525957</v>
      </c>
      <c r="P1135" s="1">
        <f t="shared" si="110"/>
        <v>4.3718298052399245</v>
      </c>
      <c r="R1135" s="3">
        <f t="shared" si="105"/>
        <v>-0.50102130742960993</v>
      </c>
      <c r="S1135" s="3">
        <f t="shared" si="106"/>
        <v>-1.4138520606844001</v>
      </c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</row>
    <row r="1136" spans="1:100" x14ac:dyDescent="0.2">
      <c r="A1136" s="32"/>
      <c r="F1136" s="3"/>
      <c r="G1136" s="3"/>
      <c r="H1136" s="3"/>
      <c r="M1136" s="1">
        <f t="shared" si="107"/>
        <v>34.020000000000529</v>
      </c>
      <c r="N1136" s="1">
        <f t="shared" si="108"/>
        <v>4.8883756522673654</v>
      </c>
      <c r="O1136" s="1">
        <f t="shared" si="109"/>
        <v>1.5004004032206166</v>
      </c>
      <c r="P1136" s="1">
        <f t="shared" si="110"/>
        <v>4.4168418173365431</v>
      </c>
      <c r="R1136" s="3">
        <f t="shared" si="105"/>
        <v>-0.43689500002839388</v>
      </c>
      <c r="S1136" s="3">
        <f t="shared" si="106"/>
        <v>-1.4349643754986359</v>
      </c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</row>
    <row r="1137" spans="1:100" x14ac:dyDescent="0.2">
      <c r="A1137" s="32"/>
      <c r="F1137" s="3"/>
      <c r="G1137" s="3"/>
      <c r="H1137" s="3"/>
      <c r="M1137" s="1">
        <f t="shared" si="107"/>
        <v>34.05000000000053</v>
      </c>
      <c r="N1137" s="1">
        <f t="shared" si="108"/>
        <v>4.2339139639940822</v>
      </c>
      <c r="O1137" s="1">
        <f t="shared" si="109"/>
        <v>1.6274178221404392</v>
      </c>
      <c r="P1137" s="1">
        <f t="shared" si="110"/>
        <v>4.465664352000756</v>
      </c>
      <c r="R1137" s="3">
        <f t="shared" si="105"/>
        <v>-0.36634363440503026</v>
      </c>
      <c r="S1137" s="3">
        <f t="shared" si="106"/>
        <v>-1.4545763443459796</v>
      </c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</row>
    <row r="1138" spans="1:100" x14ac:dyDescent="0.2">
      <c r="A1138" s="32"/>
      <c r="F1138" s="3"/>
      <c r="G1138" s="3"/>
      <c r="H1138" s="3"/>
      <c r="M1138" s="1">
        <f t="shared" si="107"/>
        <v>34.080000000000531</v>
      </c>
      <c r="N1138" s="1">
        <f t="shared" si="108"/>
        <v>3.516968740057663</v>
      </c>
      <c r="O1138" s="1">
        <f t="shared" si="109"/>
        <v>1.732926884342169</v>
      </c>
      <c r="P1138" s="1">
        <f t="shared" si="110"/>
        <v>4.5176521585310212</v>
      </c>
      <c r="R1138" s="3">
        <f t="shared" si="105"/>
        <v>-0.29026250692180122</v>
      </c>
      <c r="S1138" s="3">
        <f t="shared" si="106"/>
        <v>-1.471647946037187</v>
      </c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</row>
    <row r="1139" spans="1:100" x14ac:dyDescent="0.2">
      <c r="A1139" s="32"/>
      <c r="F1139" s="3"/>
      <c r="G1139" s="3"/>
      <c r="H1139" s="3"/>
      <c r="M1139" s="1">
        <f t="shared" si="107"/>
        <v>34.110000000000532</v>
      </c>
      <c r="N1139" s="1">
        <f t="shared" si="108"/>
        <v>2.7466616496272169</v>
      </c>
      <c r="O1139" s="1">
        <f t="shared" si="109"/>
        <v>1.8153267338309855</v>
      </c>
      <c r="P1139" s="1">
        <f t="shared" si="110"/>
        <v>4.5721119605459508</v>
      </c>
      <c r="R1139" s="3">
        <f t="shared" si="105"/>
        <v>-0.20972612814307059</v>
      </c>
      <c r="S1139" s="3">
        <f t="shared" si="106"/>
        <v>-1.4852659530111489</v>
      </c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</row>
    <row r="1140" spans="1:100" x14ac:dyDescent="0.2">
      <c r="A1140" s="32"/>
      <c r="F1140" s="3"/>
      <c r="G1140" s="3"/>
      <c r="H1140" s="3"/>
      <c r="M1140" s="1">
        <f t="shared" si="107"/>
        <v>34.140000000000533</v>
      </c>
      <c r="N1140" s="1">
        <f t="shared" si="108"/>
        <v>1.9338818753859173</v>
      </c>
      <c r="O1140" s="1">
        <f t="shared" si="109"/>
        <v>1.873343190092563</v>
      </c>
      <c r="P1140" s="1">
        <f t="shared" si="110"/>
        <v>4.6283122562487273</v>
      </c>
      <c r="R1140" s="3">
        <f t="shared" si="105"/>
        <v>-0.12596655631568163</v>
      </c>
      <c r="S1140" s="3">
        <f t="shared" si="106"/>
        <v>-1.4947014506883869</v>
      </c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</row>
    <row r="1141" spans="1:100" x14ac:dyDescent="0.2">
      <c r="A1141" s="32"/>
      <c r="F1141" s="3"/>
      <c r="G1141" s="3"/>
      <c r="H1141" s="3"/>
      <c r="M1141" s="1">
        <f t="shared" si="107"/>
        <v>34.170000000000535</v>
      </c>
      <c r="N1141" s="1">
        <f t="shared" si="108"/>
        <v>1.0910646760484857</v>
      </c>
      <c r="O1141" s="1">
        <f t="shared" si="109"/>
        <v>1.9060751303740175</v>
      </c>
      <c r="P1141" s="1">
        <f t="shared" si="110"/>
        <v>4.6854945101599474</v>
      </c>
      <c r="R1141" s="3">
        <f t="shared" si="105"/>
        <v>-4.0336842236177672E-2</v>
      </c>
      <c r="S1141" s="3">
        <f t="shared" si="106"/>
        <v>-1.4994575483015229</v>
      </c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</row>
    <row r="1142" spans="1:100" x14ac:dyDescent="0.2">
      <c r="A1142" s="32"/>
      <c r="F1142" s="3"/>
      <c r="G1142" s="3"/>
      <c r="H1142" s="3"/>
      <c r="M1142" s="1">
        <f t="shared" si="107"/>
        <v>34.200000000000536</v>
      </c>
      <c r="N1142" s="1">
        <f t="shared" si="108"/>
        <v>0.23182166062811516</v>
      </c>
      <c r="O1142" s="1">
        <f t="shared" si="109"/>
        <v>1.9130297801928611</v>
      </c>
      <c r="P1142" s="1">
        <f t="shared" si="110"/>
        <v>4.7428854035657331</v>
      </c>
      <c r="R1142" s="3">
        <f t="shared" si="105"/>
        <v>4.573754444024377E-2</v>
      </c>
      <c r="S1142" s="3">
        <f t="shared" si="106"/>
        <v>-1.499302530188146</v>
      </c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</row>
    <row r="1143" spans="1:100" x14ac:dyDescent="0.2">
      <c r="A1143" s="32"/>
      <c r="F1143" s="3"/>
      <c r="G1143" s="3"/>
      <c r="H1143" s="3"/>
      <c r="M1143" s="1">
        <f t="shared" si="107"/>
        <v>34.230000000000537</v>
      </c>
      <c r="N1143" s="1">
        <f t="shared" si="108"/>
        <v>-0.62954812461979515</v>
      </c>
      <c r="O1143" s="1">
        <f t="shared" si="109"/>
        <v>1.8941433364542672</v>
      </c>
      <c r="P1143" s="1">
        <f t="shared" si="110"/>
        <v>4.799709703659361</v>
      </c>
      <c r="R1143" s="3">
        <f t="shared" si="105"/>
        <v>0.13081469522405026</v>
      </c>
      <c r="S1143" s="3">
        <f t="shared" si="106"/>
        <v>-1.4942849512437173</v>
      </c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</row>
    <row r="1144" spans="1:100" x14ac:dyDescent="0.2">
      <c r="A1144" s="32"/>
      <c r="F1144" s="3"/>
      <c r="G1144" s="3"/>
      <c r="H1144" s="3"/>
      <c r="M1144" s="1">
        <f t="shared" si="107"/>
        <v>34.260000000000538</v>
      </c>
      <c r="N1144" s="1">
        <f t="shared" si="108"/>
        <v>-1.4786198525213865</v>
      </c>
      <c r="O1144" s="1">
        <f t="shared" si="109"/>
        <v>1.8497847408786257</v>
      </c>
      <c r="P1144" s="1">
        <f t="shared" si="110"/>
        <v>4.8552032458857202</v>
      </c>
      <c r="R1144" s="3">
        <f t="shared" si="105"/>
        <v>0.21349393362862598</v>
      </c>
      <c r="S1144" s="3">
        <f t="shared" si="106"/>
        <v>-1.4847290460901532</v>
      </c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</row>
    <row r="1145" spans="1:100" x14ac:dyDescent="0.2">
      <c r="A1145" s="32"/>
      <c r="F1145" s="3"/>
      <c r="G1145" s="3"/>
      <c r="H1145" s="3"/>
      <c r="M1145" s="1">
        <f t="shared" si="107"/>
        <v>34.290000000000539</v>
      </c>
      <c r="N1145" s="1">
        <f t="shared" si="108"/>
        <v>-2.301419962965336</v>
      </c>
      <c r="O1145" s="1">
        <f t="shared" si="109"/>
        <v>1.7807421419896656</v>
      </c>
      <c r="P1145" s="1">
        <f t="shared" si="110"/>
        <v>4.9086255101454102</v>
      </c>
      <c r="R1145" s="3">
        <f t="shared" si="105"/>
        <v>0.29246922173745504</v>
      </c>
      <c r="S1145" s="3">
        <f t="shared" si="106"/>
        <v>-1.4712109822647081</v>
      </c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</row>
    <row r="1146" spans="1:100" x14ac:dyDescent="0.2">
      <c r="A1146" s="32"/>
      <c r="F1146" s="3"/>
      <c r="G1146" s="3"/>
      <c r="H1146" s="3"/>
      <c r="M1146" s="1">
        <f t="shared" si="107"/>
        <v>34.32000000000054</v>
      </c>
      <c r="N1146" s="1">
        <f t="shared" si="108"/>
        <v>-3.0849590101536206</v>
      </c>
      <c r="O1146" s="1">
        <f t="shared" si="109"/>
        <v>1.688193371685057</v>
      </c>
      <c r="P1146" s="1">
        <f t="shared" si="110"/>
        <v>4.9592713112959617</v>
      </c>
      <c r="R1146" s="3">
        <f t="shared" si="105"/>
        <v>0.36657302021428961</v>
      </c>
      <c r="S1146" s="3">
        <f t="shared" si="106"/>
        <v>-1.454518552941479</v>
      </c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</row>
    <row r="1147" spans="1:100" x14ac:dyDescent="0.2">
      <c r="A1147" s="32"/>
      <c r="F1147" s="3"/>
      <c r="G1147" s="3"/>
      <c r="H1147" s="3"/>
      <c r="M1147" s="1">
        <f t="shared" si="107"/>
        <v>34.350000000000541</v>
      </c>
      <c r="N1147" s="1">
        <f t="shared" si="108"/>
        <v>-3.8176676055945515</v>
      </c>
      <c r="O1147" s="1">
        <f t="shared" si="109"/>
        <v>1.5736633435172205</v>
      </c>
      <c r="P1147" s="1">
        <f t="shared" si="110"/>
        <v>5.0064812116014785</v>
      </c>
      <c r="R1147" s="3">
        <f t="shared" si="105"/>
        <v>0.43480676300278776</v>
      </c>
      <c r="S1147" s="3">
        <f t="shared" si="106"/>
        <v>-1.4355985089317409</v>
      </c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</row>
    <row r="1148" spans="1:100" x14ac:dyDescent="0.2">
      <c r="A1148" s="32"/>
      <c r="F1148" s="3"/>
      <c r="G1148" s="3"/>
      <c r="H1148" s="3"/>
      <c r="M1148" s="1">
        <f t="shared" si="107"/>
        <v>34.380000000000543</v>
      </c>
      <c r="N1148" s="1">
        <f t="shared" si="108"/>
        <v>-4.4896973309444279</v>
      </c>
      <c r="O1148" s="1">
        <f t="shared" si="109"/>
        <v>1.4389724235888877</v>
      </c>
      <c r="P1148" s="1">
        <f t="shared" si="110"/>
        <v>5.0496503843091451</v>
      </c>
      <c r="R1148" s="3">
        <f t="shared" si="105"/>
        <v>0.49635603087042846</v>
      </c>
      <c r="S1148" s="3">
        <f t="shared" si="106"/>
        <v>-1.4154966233158432</v>
      </c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</row>
    <row r="1149" spans="1:100" x14ac:dyDescent="0.2">
      <c r="A1149" s="32"/>
      <c r="F1149" s="3"/>
      <c r="G1149" s="3"/>
      <c r="H1149" s="3"/>
      <c r="M1149" s="1">
        <f t="shared" si="107"/>
        <v>34.410000000000544</v>
      </c>
      <c r="N1149" s="1">
        <f t="shared" si="108"/>
        <v>-5.0930678268272844</v>
      </c>
      <c r="O1149" s="1">
        <f t="shared" si="109"/>
        <v>1.286180388784069</v>
      </c>
      <c r="P1149" s="1">
        <f t="shared" si="110"/>
        <v>5.0882357959726674</v>
      </c>
      <c r="R1149" s="3">
        <f t="shared" si="105"/>
        <v>0.55059054903667171</v>
      </c>
      <c r="S1149" s="3">
        <f t="shared" si="106"/>
        <v>-1.3952956845455722</v>
      </c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</row>
    <row r="1150" spans="1:100" x14ac:dyDescent="0.2">
      <c r="A1150" s="32"/>
      <c r="F1150" s="3"/>
      <c r="G1150" s="3"/>
      <c r="H1150" s="3"/>
      <c r="M1150" s="1">
        <f t="shared" si="107"/>
        <v>34.440000000000545</v>
      </c>
      <c r="N1150" s="1">
        <f t="shared" si="108"/>
        <v>-5.6216617253572831</v>
      </c>
      <c r="O1150" s="1">
        <f t="shared" si="109"/>
        <v>1.1175305370233506</v>
      </c>
      <c r="P1150" s="1">
        <f t="shared" si="110"/>
        <v>5.1217617120833676</v>
      </c>
      <c r="R1150" s="3">
        <f t="shared" si="105"/>
        <v>0.59705095317300283</v>
      </c>
      <c r="S1150" s="3">
        <f t="shared" si="106"/>
        <v>-1.3760560160528381</v>
      </c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</row>
    <row r="1151" spans="1:100" x14ac:dyDescent="0.2">
      <c r="A1151" s="32"/>
      <c r="F1151" s="3"/>
      <c r="G1151" s="3"/>
      <c r="H1151" s="3"/>
      <c r="M1151" s="1">
        <f t="shared" si="107"/>
        <v>34.470000000000546</v>
      </c>
      <c r="N1151" s="1">
        <f t="shared" si="108"/>
        <v>-6.0710872800621303</v>
      </c>
      <c r="O1151" s="1">
        <f t="shared" si="109"/>
        <v>0.93539791862148669</v>
      </c>
      <c r="P1151" s="1">
        <f t="shared" si="110"/>
        <v>5.1498236496420118</v>
      </c>
      <c r="R1151" s="3">
        <f t="shared" si="105"/>
        <v>0.63542561822874943</v>
      </c>
      <c r="S1151" s="3">
        <f t="shared" si="106"/>
        <v>-1.3587620408661008</v>
      </c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</row>
    <row r="1152" spans="1:100" x14ac:dyDescent="0.2">
      <c r="A1152" s="32"/>
      <c r="F1152" s="3"/>
      <c r="G1152" s="3"/>
      <c r="H1152" s="3"/>
      <c r="M1152" s="1">
        <f t="shared" si="107"/>
        <v>34.500000000000547</v>
      </c>
      <c r="N1152" s="1">
        <f t="shared" si="108"/>
        <v>-6.4384419949634282</v>
      </c>
      <c r="O1152" s="1">
        <f t="shared" si="109"/>
        <v>0.74224465877258383</v>
      </c>
      <c r="P1152" s="1">
        <f t="shared" si="110"/>
        <v>5.1720909894051896</v>
      </c>
      <c r="R1152" s="3">
        <f t="shared" si="105"/>
        <v>0.66552160754558987</v>
      </c>
      <c r="S1152" s="3">
        <f t="shared" si="106"/>
        <v>-1.3442771254060428</v>
      </c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</row>
    <row r="1153" spans="1:100" x14ac:dyDescent="0.2">
      <c r="A1153" s="32"/>
      <c r="F1153" s="3"/>
      <c r="G1153" s="3"/>
      <c r="H1153" s="3"/>
      <c r="M1153" s="1">
        <f t="shared" si="107"/>
        <v>34.530000000000548</v>
      </c>
      <c r="N1153" s="1">
        <f t="shared" si="108"/>
        <v>-6.7220180947454322</v>
      </c>
      <c r="O1153" s="1">
        <f t="shared" si="109"/>
        <v>0.54058411593022093</v>
      </c>
      <c r="P1153" s="1">
        <f t="shared" si="110"/>
        <v>5.1883085128830961</v>
      </c>
      <c r="R1153" s="3">
        <f t="shared" si="105"/>
        <v>0.68723398090932175</v>
      </c>
      <c r="S1153" s="3">
        <f t="shared" si="106"/>
        <v>-1.3333077122268235</v>
      </c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</row>
    <row r="1154" spans="1:100" x14ac:dyDescent="0.2">
      <c r="A1154" s="32"/>
      <c r="F1154" s="3"/>
      <c r="G1154" s="3"/>
      <c r="H1154" s="3"/>
      <c r="M1154" s="1">
        <f t="shared" si="107"/>
        <v>34.560000000000549</v>
      </c>
      <c r="N1154" s="1">
        <f t="shared" si="108"/>
        <v>-6.920992379526937</v>
      </c>
      <c r="O1154" s="1">
        <f t="shared" si="109"/>
        <v>0.33295434454441286</v>
      </c>
      <c r="P1154" s="1">
        <f t="shared" si="110"/>
        <v>5.1982971432194285</v>
      </c>
      <c r="R1154" s="3">
        <f t="shared" ref="R1154:R1217" si="111">$B$3*COS(P1154)</f>
        <v>0.70051739398936486</v>
      </c>
      <c r="S1154" s="3">
        <f t="shared" ref="S1154:S1217" si="112">$B$3*SIN(P1154)</f>
        <v>-1.3263767868589786</v>
      </c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</row>
    <row r="1155" spans="1:100" x14ac:dyDescent="0.2">
      <c r="A1155" s="32"/>
      <c r="F1155" s="3"/>
      <c r="G1155" s="3"/>
      <c r="H1155" s="3"/>
      <c r="M1155" s="1">
        <f t="shared" ref="M1155:M1218" si="113">M1154+B$13</f>
        <v>34.590000000000551</v>
      </c>
      <c r="N1155" s="1">
        <f t="shared" ref="N1155:N1218" si="114">-$B$12*$B$3*COS(P1154)-B$10*O1154</f>
        <v>-7.0351398309026463</v>
      </c>
      <c r="O1155" s="1">
        <f t="shared" ref="O1155:O1218" si="115">N1155*$B$13+O1154</f>
        <v>0.12190014961733348</v>
      </c>
      <c r="P1155" s="1">
        <f t="shared" ref="P1155:P1218" si="116">O1155*$B$13+P1154</f>
        <v>5.2019541477079487</v>
      </c>
      <c r="R1155" s="3">
        <f t="shared" si="111"/>
        <v>0.70536326479757938</v>
      </c>
      <c r="S1155" s="3">
        <f t="shared" si="112"/>
        <v>-1.3238061280542932</v>
      </c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</row>
    <row r="1156" spans="1:100" x14ac:dyDescent="0.2">
      <c r="A1156" s="32"/>
      <c r="F1156" s="3"/>
      <c r="G1156" s="3"/>
      <c r="H1156" s="3"/>
      <c r="M1156" s="1">
        <f t="shared" si="113"/>
        <v>34.620000000000552</v>
      </c>
      <c r="N1156" s="1">
        <f t="shared" si="114"/>
        <v>-7.0646036614413541</v>
      </c>
      <c r="O1156" s="1">
        <f t="shared" si="115"/>
        <v>-9.0037960225907127E-2</v>
      </c>
      <c r="P1156" s="1">
        <f t="shared" si="116"/>
        <v>5.1992530089011719</v>
      </c>
      <c r="R1156" s="3">
        <f t="shared" si="111"/>
        <v>0.70178491182385605</v>
      </c>
      <c r="S1156" s="3">
        <f t="shared" si="112"/>
        <v>-1.3257065804831711</v>
      </c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</row>
    <row r="1157" spans="1:100" x14ac:dyDescent="0.2">
      <c r="A1157" s="32"/>
      <c r="F1157" s="3"/>
      <c r="G1157" s="3"/>
      <c r="H1157" s="3"/>
      <c r="M1157" s="1">
        <f t="shared" si="113"/>
        <v>34.650000000000553</v>
      </c>
      <c r="N1157" s="1">
        <f t="shared" si="114"/>
        <v>-7.0097457018182299</v>
      </c>
      <c r="O1157" s="1">
        <f t="shared" si="115"/>
        <v>-0.30033033128045405</v>
      </c>
      <c r="P1157" s="1">
        <f t="shared" si="116"/>
        <v>5.1902430989627586</v>
      </c>
      <c r="R1157" s="3">
        <f t="shared" si="111"/>
        <v>0.68981209181179626</v>
      </c>
      <c r="S1157" s="3">
        <f t="shared" si="112"/>
        <v>-1.3319757047297198</v>
      </c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</row>
    <row r="1158" spans="1:100" x14ac:dyDescent="0.2">
      <c r="A1158" s="32"/>
      <c r="F1158" s="3"/>
      <c r="G1158" s="3"/>
      <c r="H1158" s="3"/>
      <c r="M1158" s="1">
        <f t="shared" si="113"/>
        <v>34.680000000000554</v>
      </c>
      <c r="N1158" s="1">
        <f t="shared" si="114"/>
        <v>-6.8710911883027217</v>
      </c>
      <c r="O1158" s="1">
        <f t="shared" si="115"/>
        <v>-0.50646306692953569</v>
      </c>
      <c r="P1158" s="1">
        <f t="shared" si="116"/>
        <v>5.1750492069548724</v>
      </c>
      <c r="R1158" s="3">
        <f t="shared" si="111"/>
        <v>0.66949535392494242</v>
      </c>
      <c r="S1158" s="3">
        <f t="shared" si="112"/>
        <v>-1.3423024886637573</v>
      </c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</row>
    <row r="1159" spans="1:100" x14ac:dyDescent="0.2">
      <c r="A1159" s="32"/>
      <c r="F1159" s="3"/>
      <c r="G1159" s="3"/>
      <c r="H1159" s="3"/>
      <c r="M1159" s="1">
        <f t="shared" si="113"/>
        <v>34.710000000000555</v>
      </c>
      <c r="N1159" s="1">
        <f t="shared" si="114"/>
        <v>-6.6493718632257659</v>
      </c>
      <c r="O1159" s="1">
        <f t="shared" si="115"/>
        <v>-0.70594422282630864</v>
      </c>
      <c r="P1159" s="1">
        <f t="shared" si="116"/>
        <v>5.153870880270083</v>
      </c>
      <c r="R1159" s="3">
        <f t="shared" si="111"/>
        <v>0.64091962241108802</v>
      </c>
      <c r="S1159" s="3">
        <f t="shared" si="112"/>
        <v>-1.3561792055655582</v>
      </c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</row>
    <row r="1160" spans="1:100" x14ac:dyDescent="0.2">
      <c r="A1160" s="32"/>
      <c r="F1160" s="3"/>
      <c r="G1160" s="3"/>
      <c r="H1160" s="3"/>
      <c r="M1160" s="1">
        <f t="shared" si="113"/>
        <v>34.740000000000556</v>
      </c>
      <c r="N1160" s="1">
        <f t="shared" si="114"/>
        <v>-6.3456612440565126</v>
      </c>
      <c r="O1160" s="1">
        <f t="shared" si="115"/>
        <v>-0.89631406014800397</v>
      </c>
      <c r="P1160" s="1">
        <f t="shared" si="116"/>
        <v>5.126981458465643</v>
      </c>
      <c r="R1160" s="3">
        <f t="shared" si="111"/>
        <v>0.60422545043574749</v>
      </c>
      <c r="S1160" s="3">
        <f t="shared" si="112"/>
        <v>-1.3729208298535345</v>
      </c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</row>
    <row r="1161" spans="1:100" x14ac:dyDescent="0.2">
      <c r="A1161" s="32"/>
      <c r="F1161" s="3"/>
      <c r="G1161" s="3"/>
      <c r="H1161" s="3"/>
      <c r="M1161" s="1">
        <f t="shared" si="113"/>
        <v>34.770000000000557</v>
      </c>
      <c r="N1161" s="1">
        <f t="shared" si="114"/>
        <v>-5.9615862389441556</v>
      </c>
      <c r="O1161" s="1">
        <f t="shared" si="115"/>
        <v>-1.0751616473163286</v>
      </c>
      <c r="P1161" s="1">
        <f t="shared" si="116"/>
        <v>5.0947266090461536</v>
      </c>
      <c r="R1161" s="3">
        <f t="shared" si="111"/>
        <v>0.55963549058465878</v>
      </c>
      <c r="S1161" s="3">
        <f t="shared" si="112"/>
        <v>-1.3916925370490669</v>
      </c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</row>
    <row r="1162" spans="1:100" x14ac:dyDescent="0.2">
      <c r="A1162" s="32"/>
      <c r="F1162" s="3"/>
      <c r="G1162" s="3"/>
      <c r="H1162" s="3"/>
      <c r="M1162" s="1">
        <f t="shared" si="113"/>
        <v>34.800000000000558</v>
      </c>
      <c r="N1162" s="1">
        <f t="shared" si="114"/>
        <v>-5.4995903575881186</v>
      </c>
      <c r="O1162" s="1">
        <f t="shared" si="115"/>
        <v>-1.2401493580439722</v>
      </c>
      <c r="P1162" s="1">
        <f t="shared" si="116"/>
        <v>5.0575221283048348</v>
      </c>
      <c r="R1162" s="3">
        <f t="shared" si="111"/>
        <v>0.5074829647331961</v>
      </c>
      <c r="S1162" s="3">
        <f t="shared" si="112"/>
        <v>-1.4115456211209065</v>
      </c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</row>
    <row r="1163" spans="1:100" x14ac:dyDescent="0.2">
      <c r="A1163" s="32"/>
      <c r="F1163" s="3"/>
      <c r="G1163" s="3"/>
      <c r="H1163" s="3"/>
      <c r="M1163" s="1">
        <f t="shared" si="113"/>
        <v>34.83000000000056</v>
      </c>
      <c r="N1163" s="1">
        <f t="shared" si="114"/>
        <v>-4.9632162051080044</v>
      </c>
      <c r="O1163" s="1">
        <f t="shared" si="115"/>
        <v>-1.3890458441972124</v>
      </c>
      <c r="P1163" s="1">
        <f t="shared" si="116"/>
        <v>5.0158507529789187</v>
      </c>
      <c r="R1163" s="3">
        <f t="shared" si="111"/>
        <v>0.44823838049432196</v>
      </c>
      <c r="S1163" s="3">
        <f t="shared" si="112"/>
        <v>-1.4314616146623798</v>
      </c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</row>
    <row r="1164" spans="1:100" x14ac:dyDescent="0.2">
      <c r="A1164" s="32"/>
      <c r="F1164" s="3"/>
      <c r="G1164" s="3"/>
      <c r="H1164" s="3"/>
      <c r="M1164" s="1">
        <f t="shared" si="113"/>
        <v>34.860000000000561</v>
      </c>
      <c r="N1164" s="1">
        <f t="shared" si="114"/>
        <v>-4.3573696789654708</v>
      </c>
      <c r="O1164" s="1">
        <f t="shared" si="115"/>
        <v>-1.5197669345661766</v>
      </c>
      <c r="P1164" s="1">
        <f t="shared" si="116"/>
        <v>4.9702577449419332</v>
      </c>
      <c r="R1164" s="3">
        <f t="shared" si="111"/>
        <v>0.38253054754132187</v>
      </c>
      <c r="S1164" s="3">
        <f t="shared" si="112"/>
        <v>-1.4504035232299102</v>
      </c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</row>
    <row r="1165" spans="1:100" x14ac:dyDescent="0.2">
      <c r="A1165" s="32"/>
      <c r="F1165" s="3"/>
      <c r="G1165" s="3"/>
      <c r="H1165" s="3"/>
      <c r="M1165" s="1">
        <f t="shared" si="113"/>
        <v>34.890000000000562</v>
      </c>
      <c r="N1165" s="1">
        <f t="shared" si="114"/>
        <v>-3.6885264513022635</v>
      </c>
      <c r="O1165" s="1">
        <f t="shared" si="115"/>
        <v>-1.6304227281052446</v>
      </c>
      <c r="P1165" s="1">
        <f t="shared" si="116"/>
        <v>4.9213450630987756</v>
      </c>
      <c r="R1165" s="3">
        <f t="shared" si="111"/>
        <v>0.3111582046013025</v>
      </c>
      <c r="S1165" s="3">
        <f t="shared" si="112"/>
        <v>-1.467371994999664</v>
      </c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</row>
    <row r="1166" spans="1:100" x14ac:dyDescent="0.2">
      <c r="A1166" s="32"/>
      <c r="F1166" s="3"/>
      <c r="G1166" s="3"/>
      <c r="H1166" s="3"/>
      <c r="M1166" s="1">
        <f t="shared" si="113"/>
        <v>34.920000000000563</v>
      </c>
      <c r="N1166" s="1">
        <f t="shared" si="114"/>
        <v>-2.964844000483553</v>
      </c>
      <c r="O1166" s="1">
        <f t="shared" si="115"/>
        <v>-1.7193680481197511</v>
      </c>
      <c r="P1166" s="1">
        <f t="shared" si="116"/>
        <v>4.8697640216551834</v>
      </c>
      <c r="R1166" s="3">
        <f t="shared" si="111"/>
        <v>0.23508934474696502</v>
      </c>
      <c r="S1166" s="3">
        <f t="shared" si="112"/>
        <v>-1.4814631281224797</v>
      </c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</row>
    <row r="1167" spans="1:100" x14ac:dyDescent="0.2">
      <c r="A1167" s="32"/>
      <c r="F1167" s="3"/>
      <c r="G1167" s="3"/>
      <c r="H1167" s="3"/>
      <c r="M1167" s="1">
        <f t="shared" si="113"/>
        <v>34.950000000000564</v>
      </c>
      <c r="N1167" s="1">
        <f t="shared" si="114"/>
        <v>-2.1961503231388728</v>
      </c>
      <c r="O1167" s="1">
        <f t="shared" si="115"/>
        <v>-1.7852525578139173</v>
      </c>
      <c r="P1167" s="1">
        <f t="shared" si="116"/>
        <v>4.8162064449207662</v>
      </c>
      <c r="R1167" s="3">
        <f t="shared" si="111"/>
        <v>0.15544660964740123</v>
      </c>
      <c r="S1167" s="3">
        <f t="shared" si="112"/>
        <v>-1.4919237083541264</v>
      </c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</row>
    <row r="1168" spans="1:100" x14ac:dyDescent="0.2">
      <c r="A1168" s="32"/>
      <c r="F1168" s="3"/>
      <c r="G1168" s="3"/>
      <c r="H1168" s="3"/>
      <c r="M1168" s="1">
        <f t="shared" si="113"/>
        <v>34.980000000000565</v>
      </c>
      <c r="N1168" s="1">
        <f t="shared" si="114"/>
        <v>-1.3937933662707596</v>
      </c>
      <c r="O1168" s="1">
        <f t="shared" si="115"/>
        <v>-1.8270663588020402</v>
      </c>
      <c r="P1168" s="1">
        <f t="shared" si="116"/>
        <v>4.7613944541567053</v>
      </c>
      <c r="R1168" s="3">
        <f t="shared" si="111"/>
        <v>7.3478792082738248E-2</v>
      </c>
      <c r="S1168" s="3">
        <f t="shared" si="112"/>
        <v>-1.4981992080875166</v>
      </c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</row>
    <row r="1169" spans="1:100" x14ac:dyDescent="0.2">
      <c r="A1169" s="32"/>
      <c r="F1169" s="3"/>
      <c r="G1169" s="3"/>
      <c r="H1169" s="3"/>
      <c r="M1169" s="1">
        <f t="shared" si="113"/>
        <v>35.010000000000566</v>
      </c>
      <c r="N1169" s="1">
        <f t="shared" si="114"/>
        <v>-0.57035194853519888</v>
      </c>
      <c r="O1169" s="1">
        <f t="shared" si="115"/>
        <v>-1.8441769172580962</v>
      </c>
      <c r="P1169" s="1">
        <f t="shared" si="116"/>
        <v>4.7060691466389626</v>
      </c>
      <c r="R1169" s="3">
        <f t="shared" si="111"/>
        <v>-9.4796875147052425E-3</v>
      </c>
      <c r="S1169" s="3">
        <f t="shared" si="112"/>
        <v>-1.4999700448757713</v>
      </c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</row>
    <row r="1170" spans="1:100" x14ac:dyDescent="0.2">
      <c r="A1170" s="32"/>
      <c r="F1170" s="3"/>
      <c r="G1170" s="3"/>
      <c r="H1170" s="3"/>
      <c r="M1170" s="1">
        <f t="shared" si="113"/>
        <v>35.040000000000568</v>
      </c>
      <c r="N1170" s="1">
        <f t="shared" si="114"/>
        <v>0.26077279770028106</v>
      </c>
      <c r="O1170" s="1">
        <f t="shared" si="115"/>
        <v>-1.8363537333270878</v>
      </c>
      <c r="P1170" s="1">
        <f t="shared" si="116"/>
        <v>4.6509785346391501</v>
      </c>
      <c r="R1170" s="3">
        <f t="shared" si="111"/>
        <v>-9.2057781108723508E-2</v>
      </c>
      <c r="S1170" s="3">
        <f t="shared" si="112"/>
        <v>-1.4971724566453053</v>
      </c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</row>
    <row r="1171" spans="1:100" x14ac:dyDescent="0.2">
      <c r="A1171" s="32"/>
      <c r="F1171" s="3"/>
      <c r="G1171" s="3"/>
      <c r="H1171" s="3"/>
      <c r="M1171" s="1">
        <f t="shared" si="113"/>
        <v>35.070000000000569</v>
      </c>
      <c r="N1171" s="1">
        <f t="shared" si="114"/>
        <v>1.085849647086673</v>
      </c>
      <c r="O1171" s="1">
        <f t="shared" si="115"/>
        <v>-1.8037782439144876</v>
      </c>
      <c r="P1171" s="1">
        <f t="shared" si="116"/>
        <v>4.5968651873217157</v>
      </c>
      <c r="R1171" s="3">
        <f t="shared" si="111"/>
        <v>-0.17290050888867958</v>
      </c>
      <c r="S1171" s="3">
        <f t="shared" si="112"/>
        <v>-1.4900018167861526</v>
      </c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</row>
    <row r="1172" spans="1:100" x14ac:dyDescent="0.2">
      <c r="A1172" s="32"/>
      <c r="F1172" s="3"/>
      <c r="G1172" s="3"/>
      <c r="H1172" s="3"/>
      <c r="M1172" s="1">
        <f t="shared" si="113"/>
        <v>35.10000000000057</v>
      </c>
      <c r="N1172" s="1">
        <f t="shared" si="114"/>
        <v>1.8913451308390998</v>
      </c>
      <c r="O1172" s="1">
        <f t="shared" si="115"/>
        <v>-1.7470378899893146</v>
      </c>
      <c r="P1172" s="1">
        <f t="shared" si="116"/>
        <v>4.5444540506220363</v>
      </c>
      <c r="R1172" s="3">
        <f t="shared" si="111"/>
        <v>-0.25072003200727933</v>
      </c>
      <c r="S1172" s="3">
        <f t="shared" si="112"/>
        <v>-1.4788980578627686</v>
      </c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</row>
    <row r="1173" spans="1:100" x14ac:dyDescent="0.2">
      <c r="A1173" s="32"/>
      <c r="F1173" s="3"/>
      <c r="G1173" s="3"/>
      <c r="H1173" s="3"/>
      <c r="M1173" s="1">
        <f t="shared" si="113"/>
        <v>35.130000000000571</v>
      </c>
      <c r="N1173" s="1">
        <f t="shared" si="114"/>
        <v>2.6644337301718317</v>
      </c>
      <c r="O1173" s="1">
        <f t="shared" si="115"/>
        <v>-1.6671048780841597</v>
      </c>
      <c r="P1173" s="1">
        <f t="shared" si="116"/>
        <v>4.4944409042795117</v>
      </c>
      <c r="R1173" s="3">
        <f t="shared" si="111"/>
        <v>-0.3243400466624321</v>
      </c>
      <c r="S1173" s="3">
        <f t="shared" si="112"/>
        <v>-1.464514777710014</v>
      </c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</row>
    <row r="1174" spans="1:100" x14ac:dyDescent="0.2">
      <c r="A1174" s="32"/>
      <c r="F1174" s="3"/>
      <c r="G1174" s="3"/>
      <c r="H1174" s="3"/>
      <c r="M1174" s="1">
        <f t="shared" si="113"/>
        <v>35.160000000000572</v>
      </c>
      <c r="N1174" s="1">
        <f t="shared" si="114"/>
        <v>3.3934399056518951</v>
      </c>
      <c r="O1174" s="1">
        <f t="shared" si="115"/>
        <v>-1.565301680914603</v>
      </c>
      <c r="P1174" s="1">
        <f t="shared" si="116"/>
        <v>4.4474818538520733</v>
      </c>
      <c r="R1174" s="3">
        <f t="shared" si="111"/>
        <v>-0.39272945329980596</v>
      </c>
      <c r="S1174" s="3">
        <f t="shared" si="112"/>
        <v>-1.4476752317114621</v>
      </c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</row>
    <row r="1175" spans="1:100" x14ac:dyDescent="0.2">
      <c r="A1175" s="32"/>
      <c r="F1175" s="3"/>
      <c r="G1175" s="3"/>
      <c r="H1175" s="3"/>
      <c r="M1175" s="1">
        <f t="shared" si="113"/>
        <v>35.190000000000573</v>
      </c>
      <c r="N1175" s="1">
        <f t="shared" si="114"/>
        <v>4.0681716842803741</v>
      </c>
      <c r="O1175" s="1">
        <f t="shared" si="115"/>
        <v>-1.4432565303861917</v>
      </c>
      <c r="P1175" s="1">
        <f t="shared" si="116"/>
        <v>4.4041841579404872</v>
      </c>
      <c r="R1175" s="3">
        <f t="shared" si="111"/>
        <v>-0.45502280694153735</v>
      </c>
      <c r="S1175" s="3">
        <f t="shared" si="112"/>
        <v>-1.4293195042267646</v>
      </c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</row>
    <row r="1176" spans="1:100" x14ac:dyDescent="0.2">
      <c r="A1176" s="32"/>
      <c r="F1176" s="3"/>
      <c r="G1176" s="3"/>
      <c r="H1176" s="3"/>
      <c r="M1176" s="1">
        <f t="shared" si="113"/>
        <v>35.220000000000574</v>
      </c>
      <c r="N1176" s="1">
        <f t="shared" si="114"/>
        <v>4.6801211571501309</v>
      </c>
      <c r="O1176" s="1">
        <f t="shared" si="115"/>
        <v>-1.3028528956716878</v>
      </c>
      <c r="P1176" s="1">
        <f t="shared" si="116"/>
        <v>4.3650985710703365</v>
      </c>
      <c r="R1176" s="3">
        <f t="shared" si="111"/>
        <v>-0.51052685439021017</v>
      </c>
      <c r="S1176" s="3">
        <f t="shared" si="112"/>
        <v>-1.4104475640542038</v>
      </c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</row>
    <row r="1177" spans="1:100" x14ac:dyDescent="0.2">
      <c r="A1177" s="32"/>
      <c r="F1177" s="3"/>
      <c r="G1177" s="3"/>
      <c r="H1177" s="3"/>
      <c r="M1177" s="1">
        <f t="shared" si="113"/>
        <v>35.250000000000576</v>
      </c>
      <c r="N1177" s="1">
        <f t="shared" si="114"/>
        <v>5.222525304512553</v>
      </c>
      <c r="O1177" s="1">
        <f t="shared" si="115"/>
        <v>-1.1461771365363111</v>
      </c>
      <c r="P1177" s="1">
        <f t="shared" si="116"/>
        <v>4.3307132569742475</v>
      </c>
      <c r="R1177" s="3">
        <f t="shared" si="111"/>
        <v>-0.55871419946049872</v>
      </c>
      <c r="S1177" s="3">
        <f t="shared" si="112"/>
        <v>-1.3920626578287394</v>
      </c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</row>
    <row r="1178" spans="1:100" x14ac:dyDescent="0.2">
      <c r="A1178" s="32"/>
      <c r="F1178" s="3"/>
      <c r="G1178" s="3"/>
      <c r="H1178" s="3"/>
      <c r="M1178" s="1">
        <f t="shared" si="113"/>
        <v>35.280000000000577</v>
      </c>
      <c r="N1178" s="1">
        <f t="shared" si="114"/>
        <v>5.6902979368932556</v>
      </c>
      <c r="O1178" s="1">
        <f t="shared" si="115"/>
        <v>-0.97546819842951349</v>
      </c>
      <c r="P1178" s="1">
        <f t="shared" si="116"/>
        <v>4.301449211021362</v>
      </c>
      <c r="R1178" s="3">
        <f t="shared" si="111"/>
        <v>-0.59920655083519636</v>
      </c>
      <c r="S1178" s="3">
        <f t="shared" si="112"/>
        <v>-1.3751187255783361</v>
      </c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</row>
    <row r="1179" spans="1:100" x14ac:dyDescent="0.2">
      <c r="A1179" s="32"/>
      <c r="F1179" s="3"/>
      <c r="G1179" s="3"/>
      <c r="H1179" s="3"/>
      <c r="M1179" s="1">
        <f t="shared" si="113"/>
        <v>35.310000000000578</v>
      </c>
      <c r="N1179" s="1">
        <f t="shared" si="114"/>
        <v>6.0798576462106197</v>
      </c>
      <c r="O1179" s="1">
        <f t="shared" si="115"/>
        <v>-0.79307246904319495</v>
      </c>
      <c r="P1179" s="1">
        <f t="shared" si="116"/>
        <v>4.2776570369500666</v>
      </c>
      <c r="R1179" s="3">
        <f t="shared" si="111"/>
        <v>-0.6317509406410472</v>
      </c>
      <c r="S1179" s="3">
        <f t="shared" si="112"/>
        <v>-1.3604744573122836</v>
      </c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</row>
    <row r="1180" spans="1:100" x14ac:dyDescent="0.2">
      <c r="A1180" s="32"/>
      <c r="F1180" s="3"/>
      <c r="G1180" s="3"/>
      <c r="H1180" s="3"/>
      <c r="M1180" s="1">
        <f t="shared" si="113"/>
        <v>35.340000000000579</v>
      </c>
      <c r="N1180" s="1">
        <f t="shared" si="114"/>
        <v>6.3888859286243589</v>
      </c>
      <c r="O1180" s="1">
        <f t="shared" si="115"/>
        <v>-0.60140589118446419</v>
      </c>
      <c r="P1180" s="1">
        <f t="shared" si="116"/>
        <v>4.2596148602145325</v>
      </c>
      <c r="R1180" s="3">
        <f t="shared" si="111"/>
        <v>-0.65619270852862799</v>
      </c>
      <c r="S1180" s="3">
        <f t="shared" si="112"/>
        <v>-1.3488554886546829</v>
      </c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</row>
    <row r="1181" spans="1:100" x14ac:dyDescent="0.2">
      <c r="A1181" s="32"/>
      <c r="F1181" s="3"/>
      <c r="G1181" s="3"/>
      <c r="H1181" s="3"/>
      <c r="M1181" s="1">
        <f t="shared" si="113"/>
        <v>35.37000000000058</v>
      </c>
      <c r="N1181" s="1">
        <f t="shared" si="114"/>
        <v>6.6160536154928815</v>
      </c>
      <c r="O1181" s="1">
        <f t="shared" si="115"/>
        <v>-0.40292428271967773</v>
      </c>
      <c r="P1181" s="1">
        <f t="shared" si="116"/>
        <v>4.2475271317329426</v>
      </c>
      <c r="R1181" s="3">
        <f t="shared" si="111"/>
        <v>-0.67244897176858265</v>
      </c>
      <c r="S1181" s="3">
        <f t="shared" si="112"/>
        <v>-1.3408252609372244</v>
      </c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</row>
    <row r="1182" spans="1:100" x14ac:dyDescent="0.2">
      <c r="A1182" s="32"/>
      <c r="F1182" s="3"/>
      <c r="G1182" s="3"/>
      <c r="H1182" s="3"/>
      <c r="M1182" s="1">
        <f t="shared" si="113"/>
        <v>35.400000000000581</v>
      </c>
      <c r="N1182" s="1">
        <f t="shared" si="114"/>
        <v>6.760752903130598</v>
      </c>
      <c r="O1182" s="1">
        <f t="shared" si="115"/>
        <v>-0.2001016956257598</v>
      </c>
      <c r="P1182" s="1">
        <f t="shared" si="116"/>
        <v>4.2415240808641697</v>
      </c>
      <c r="R1182" s="3">
        <f t="shared" si="111"/>
        <v>-0.68048584931527589</v>
      </c>
      <c r="S1182" s="3">
        <f t="shared" si="112"/>
        <v>-1.3367643804656328</v>
      </c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</row>
    <row r="1183" spans="1:100" x14ac:dyDescent="0.2">
      <c r="A1183" s="32"/>
      <c r="F1183" s="3"/>
      <c r="G1183" s="3"/>
      <c r="H1183" s="3"/>
      <c r="M1183" s="1">
        <f t="shared" si="113"/>
        <v>35.430000000000582</v>
      </c>
      <c r="N1183" s="1">
        <f t="shared" si="114"/>
        <v>6.8228676457590769</v>
      </c>
      <c r="O1183" s="1">
        <f t="shared" si="115"/>
        <v>4.5843337470125034E-3</v>
      </c>
      <c r="P1183" s="1">
        <f t="shared" si="116"/>
        <v>4.2416616108765801</v>
      </c>
      <c r="R1183" s="3">
        <f t="shared" si="111"/>
        <v>-0.68030199765849397</v>
      </c>
      <c r="S1183" s="3">
        <f t="shared" si="112"/>
        <v>-1.3368579550505215</v>
      </c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</row>
    <row r="1184" spans="1:100" x14ac:dyDescent="0.2">
      <c r="A1184" s="32"/>
      <c r="F1184" s="3"/>
      <c r="G1184" s="3"/>
      <c r="H1184" s="3"/>
      <c r="M1184" s="1">
        <f t="shared" si="113"/>
        <v>35.460000000000583</v>
      </c>
      <c r="N1184" s="1">
        <f t="shared" si="114"/>
        <v>6.8026073865477086</v>
      </c>
      <c r="O1184" s="1">
        <f t="shared" si="115"/>
        <v>0.20866255534344375</v>
      </c>
      <c r="P1184" s="1">
        <f t="shared" si="116"/>
        <v>4.2479214875368836</v>
      </c>
      <c r="R1184" s="3">
        <f t="shared" si="111"/>
        <v>-0.67192015727011201</v>
      </c>
      <c r="S1184" s="3">
        <f t="shared" si="112"/>
        <v>-1.3410903408249975</v>
      </c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</row>
    <row r="1185" spans="1:100" x14ac:dyDescent="0.2">
      <c r="A1185" s="32"/>
      <c r="F1185" s="3"/>
      <c r="G1185" s="3"/>
      <c r="H1185" s="3"/>
      <c r="M1185" s="1">
        <f t="shared" si="113"/>
        <v>35.490000000000585</v>
      </c>
      <c r="N1185" s="1">
        <f t="shared" si="114"/>
        <v>6.7004219427202107</v>
      </c>
      <c r="O1185" s="1">
        <f t="shared" si="115"/>
        <v>0.40967521362505005</v>
      </c>
      <c r="P1185" s="1">
        <f t="shared" si="116"/>
        <v>4.2602117439456348</v>
      </c>
      <c r="R1185" s="3">
        <f t="shared" si="111"/>
        <v>-0.65538748178870154</v>
      </c>
      <c r="S1185" s="3">
        <f t="shared" si="112"/>
        <v>-1.3492469191051222</v>
      </c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</row>
    <row r="1186" spans="1:100" x14ac:dyDescent="0.2">
      <c r="A1186" s="32"/>
      <c r="F1186" s="3"/>
      <c r="G1186" s="3"/>
      <c r="H1186" s="3"/>
      <c r="M1186" s="1">
        <f t="shared" si="113"/>
        <v>35.520000000000586</v>
      </c>
      <c r="N1186" s="1">
        <f t="shared" si="114"/>
        <v>6.5170040486607608</v>
      </c>
      <c r="O1186" s="1">
        <f t="shared" si="115"/>
        <v>0.60518533508487282</v>
      </c>
      <c r="P1186" s="1">
        <f t="shared" si="116"/>
        <v>4.2783673039981807</v>
      </c>
      <c r="R1186" s="3">
        <f t="shared" si="111"/>
        <v>-0.63078448119284081</v>
      </c>
      <c r="S1186" s="3">
        <f t="shared" si="112"/>
        <v>-1.3609228259847355</v>
      </c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</row>
    <row r="1187" spans="1:100" x14ac:dyDescent="0.2">
      <c r="A1187" s="32"/>
      <c r="F1187" s="3"/>
      <c r="G1187" s="3"/>
      <c r="H1187" s="3"/>
      <c r="M1187" s="1">
        <f t="shared" si="113"/>
        <v>35.550000000000587</v>
      </c>
      <c r="N1187" s="1">
        <f t="shared" si="114"/>
        <v>6.25337813177077</v>
      </c>
      <c r="O1187" s="1">
        <f t="shared" si="115"/>
        <v>0.79278667903799593</v>
      </c>
      <c r="P1187" s="1">
        <f t="shared" si="116"/>
        <v>4.3021509043693209</v>
      </c>
      <c r="R1187" s="3">
        <f t="shared" si="111"/>
        <v>-0.59824149173526342</v>
      </c>
      <c r="S1187" s="3">
        <f t="shared" si="112"/>
        <v>-1.3755388462585731</v>
      </c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</row>
    <row r="1188" spans="1:100" x14ac:dyDescent="0.2">
      <c r="A1188" s="32"/>
      <c r="F1188" s="3"/>
      <c r="G1188" s="3"/>
      <c r="H1188" s="3"/>
      <c r="M1188" s="1">
        <f t="shared" si="113"/>
        <v>35.580000000000588</v>
      </c>
      <c r="N1188" s="1">
        <f t="shared" si="114"/>
        <v>5.9110641162392152</v>
      </c>
      <c r="O1188" s="1">
        <f t="shared" si="115"/>
        <v>0.97011860252517235</v>
      </c>
      <c r="P1188" s="1">
        <f t="shared" si="116"/>
        <v>4.3312544624450764</v>
      </c>
      <c r="R1188" s="3">
        <f t="shared" si="111"/>
        <v>-0.55796072574649203</v>
      </c>
      <c r="S1188" s="3">
        <f t="shared" si="112"/>
        <v>-1.3923648331254448</v>
      </c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</row>
    <row r="1189" spans="1:100" x14ac:dyDescent="0.2">
      <c r="A1189" s="32"/>
      <c r="F1189" s="3"/>
      <c r="G1189" s="3"/>
      <c r="H1189" s="3"/>
      <c r="M1189" s="1">
        <f t="shared" si="113"/>
        <v>35.610000000000589</v>
      </c>
      <c r="N1189" s="1">
        <f t="shared" si="114"/>
        <v>5.4922965832376551</v>
      </c>
      <c r="O1189" s="1">
        <f t="shared" si="115"/>
        <v>1.134887500022302</v>
      </c>
      <c r="P1189" s="1">
        <f t="shared" si="116"/>
        <v>4.3653010874457454</v>
      </c>
      <c r="R1189" s="3">
        <f t="shared" si="111"/>
        <v>-0.51024120519469718</v>
      </c>
      <c r="S1189" s="3">
        <f t="shared" si="112"/>
        <v>-1.4105509251783372</v>
      </c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</row>
    <row r="1190" spans="1:100" x14ac:dyDescent="0.2">
      <c r="A1190" s="32"/>
      <c r="F1190" s="3"/>
      <c r="G1190" s="3"/>
      <c r="H1190" s="3"/>
      <c r="M1190" s="1">
        <f t="shared" si="113"/>
        <v>35.64000000000059</v>
      </c>
      <c r="N1190" s="1">
        <f t="shared" si="114"/>
        <v>5.0002721769449643</v>
      </c>
      <c r="O1190" s="1">
        <f t="shared" si="115"/>
        <v>1.2848956653306509</v>
      </c>
      <c r="P1190" s="1">
        <f t="shared" si="116"/>
        <v>4.4038479574056648</v>
      </c>
      <c r="R1190" s="3">
        <f t="shared" si="111"/>
        <v>-0.45550331919844234</v>
      </c>
      <c r="S1190" s="3">
        <f t="shared" si="112"/>
        <v>-1.4291664445400341</v>
      </c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</row>
    <row r="1191" spans="1:100" x14ac:dyDescent="0.2">
      <c r="A1191" s="32"/>
      <c r="F1191" s="3"/>
      <c r="G1191" s="3"/>
      <c r="H1191" s="3"/>
      <c r="M1191" s="1">
        <f t="shared" si="113"/>
        <v>35.670000000000591</v>
      </c>
      <c r="N1191" s="1">
        <f t="shared" si="114"/>
        <v>4.4393925821046647</v>
      </c>
      <c r="O1191" s="1">
        <f t="shared" si="115"/>
        <v>1.4180774427937908</v>
      </c>
      <c r="P1191" s="1">
        <f t="shared" si="116"/>
        <v>4.4463902806894788</v>
      </c>
      <c r="R1191" s="3">
        <f t="shared" si="111"/>
        <v>-0.39430946244225029</v>
      </c>
      <c r="S1191" s="3">
        <f t="shared" si="112"/>
        <v>-1.4472456763896389</v>
      </c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</row>
    <row r="1192" spans="1:100" x14ac:dyDescent="0.2">
      <c r="A1192" s="32"/>
      <c r="F1192" s="3"/>
      <c r="G1192" s="3"/>
      <c r="H1192" s="3"/>
      <c r="M1192" s="1">
        <f t="shared" si="113"/>
        <v>35.700000000000593</v>
      </c>
      <c r="N1192" s="1">
        <f t="shared" si="114"/>
        <v>3.8154676545710617</v>
      </c>
      <c r="O1192" s="1">
        <f t="shared" si="115"/>
        <v>1.5325414724309225</v>
      </c>
      <c r="P1192" s="1">
        <f t="shared" si="116"/>
        <v>4.4923665248624065</v>
      </c>
      <c r="R1192" s="3">
        <f t="shared" si="111"/>
        <v>-0.32737730596914899</v>
      </c>
      <c r="S1192" s="3">
        <f t="shared" si="112"/>
        <v>-1.4638388229365904</v>
      </c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</row>
    <row r="1193" spans="1:100" x14ac:dyDescent="0.2">
      <c r="A1193" s="32"/>
      <c r="F1193" s="3"/>
      <c r="G1193" s="3"/>
      <c r="H1193" s="3"/>
      <c r="M1193" s="1">
        <f t="shared" si="113"/>
        <v>35.730000000000594</v>
      </c>
      <c r="N1193" s="1">
        <f t="shared" si="114"/>
        <v>3.1358443271727072</v>
      </c>
      <c r="O1193" s="1">
        <f t="shared" si="115"/>
        <v>1.6266168022461038</v>
      </c>
      <c r="P1193" s="1">
        <f t="shared" si="116"/>
        <v>4.5411650289297896</v>
      </c>
      <c r="R1193" s="3">
        <f t="shared" si="111"/>
        <v>-0.2555827949291955</v>
      </c>
      <c r="S1193" s="3">
        <f t="shared" si="112"/>
        <v>-1.478065436621864</v>
      </c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</row>
    <row r="1194" spans="1:100" x14ac:dyDescent="0.2">
      <c r="A1194" s="32"/>
      <c r="F1194" s="3"/>
      <c r="G1194" s="3"/>
      <c r="H1194" s="3"/>
      <c r="M1194" s="1">
        <f t="shared" si="113"/>
        <v>35.760000000000595</v>
      </c>
      <c r="N1194" s="1">
        <f t="shared" si="114"/>
        <v>2.4094324370898055</v>
      </c>
      <c r="O1194" s="1">
        <f t="shared" si="115"/>
        <v>1.698899775358798</v>
      </c>
      <c r="P1194" s="1">
        <f t="shared" si="116"/>
        <v>4.5921320221905537</v>
      </c>
      <c r="R1194" s="3">
        <f t="shared" si="111"/>
        <v>-0.17995097047223113</v>
      </c>
      <c r="S1194" s="3">
        <f t="shared" si="112"/>
        <v>-1.4891667630678915</v>
      </c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</row>
    <row r="1195" spans="1:100" x14ac:dyDescent="0.2">
      <c r="A1195" s="32"/>
      <c r="F1195" s="3"/>
      <c r="G1195" s="3"/>
      <c r="H1195" s="3"/>
      <c r="M1195" s="1">
        <f t="shared" si="113"/>
        <v>35.790000000000596</v>
      </c>
      <c r="N1195" s="1">
        <f t="shared" si="114"/>
        <v>1.6466087249400194</v>
      </c>
      <c r="O1195" s="1">
        <f t="shared" si="115"/>
        <v>1.7482980371069985</v>
      </c>
      <c r="P1195" s="1">
        <f t="shared" si="116"/>
        <v>4.6445809633037634</v>
      </c>
      <c r="R1195" s="3">
        <f t="shared" si="111"/>
        <v>-0.10163409945729152</v>
      </c>
      <c r="S1195" s="3">
        <f t="shared" si="112"/>
        <v>-1.4965528757205693</v>
      </c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</row>
    <row r="1196" spans="1:100" x14ac:dyDescent="0.2">
      <c r="A1196" s="32"/>
      <c r="F1196" s="3"/>
      <c r="G1196" s="3"/>
      <c r="H1196" s="3"/>
      <c r="M1196" s="1">
        <f t="shared" si="113"/>
        <v>35.820000000000597</v>
      </c>
      <c r="N1196" s="1">
        <f t="shared" si="114"/>
        <v>0.85899417123328536</v>
      </c>
      <c r="O1196" s="1">
        <f t="shared" si="115"/>
        <v>1.7740678622439972</v>
      </c>
      <c r="P1196" s="1">
        <f t="shared" si="116"/>
        <v>4.697802999171083</v>
      </c>
      <c r="R1196" s="3">
        <f t="shared" si="111"/>
        <v>-2.1878196033694879E-2</v>
      </c>
      <c r="S1196" s="3">
        <f t="shared" si="112"/>
        <v>-1.4998404396929399</v>
      </c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</row>
    <row r="1197" spans="1:100" x14ac:dyDescent="0.2">
      <c r="A1197" s="32"/>
      <c r="F1197" s="3"/>
      <c r="G1197" s="3"/>
      <c r="H1197" s="3"/>
      <c r="M1197" s="1">
        <f t="shared" si="113"/>
        <v>35.850000000000598</v>
      </c>
      <c r="N1197" s="1">
        <f t="shared" si="114"/>
        <v>5.9115852734989066E-2</v>
      </c>
      <c r="O1197" s="1">
        <f t="shared" si="115"/>
        <v>1.7758413378260469</v>
      </c>
      <c r="P1197" s="1">
        <f t="shared" si="116"/>
        <v>4.7510782393058646</v>
      </c>
      <c r="R1197" s="3">
        <f t="shared" si="111"/>
        <v>5.8019411376312634E-2</v>
      </c>
      <c r="S1197" s="3">
        <f t="shared" si="112"/>
        <v>-1.498877495962744</v>
      </c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</row>
    <row r="1198" spans="1:100" x14ac:dyDescent="0.2">
      <c r="A1198" s="32"/>
      <c r="F1198" s="3"/>
      <c r="G1198" s="3"/>
      <c r="H1198" s="3"/>
      <c r="M1198" s="1">
        <f t="shared" si="113"/>
        <v>35.880000000000599</v>
      </c>
      <c r="N1198" s="1">
        <f t="shared" si="114"/>
        <v>-0.74001983416747064</v>
      </c>
      <c r="O1198" s="1">
        <f t="shared" si="115"/>
        <v>1.7536407428010228</v>
      </c>
      <c r="P1198" s="1">
        <f t="shared" si="116"/>
        <v>4.8036874615898952</v>
      </c>
      <c r="R1198" s="3">
        <f t="shared" si="111"/>
        <v>0.13675754845452628</v>
      </c>
      <c r="S1198" s="3">
        <f t="shared" si="112"/>
        <v>-1.4937527817348852</v>
      </c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</row>
    <row r="1199" spans="1:100" x14ac:dyDescent="0.2">
      <c r="A1199" s="32"/>
      <c r="F1199" s="3"/>
      <c r="G1199" s="3"/>
      <c r="H1199" s="3"/>
      <c r="M1199" s="1">
        <f t="shared" si="113"/>
        <v>35.910000000000601</v>
      </c>
      <c r="N1199" s="1">
        <f t="shared" si="114"/>
        <v>-1.5254031513973549</v>
      </c>
      <c r="O1199" s="1">
        <f t="shared" si="115"/>
        <v>1.7078786482591022</v>
      </c>
      <c r="P1199" s="1">
        <f t="shared" si="116"/>
        <v>4.8549238210376684</v>
      </c>
      <c r="R1199" s="3">
        <f t="shared" si="111"/>
        <v>0.21307905511130709</v>
      </c>
      <c r="S1199" s="3">
        <f t="shared" si="112"/>
        <v>-1.4847886436368216</v>
      </c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</row>
    <row r="1200" spans="1:100" x14ac:dyDescent="0.2">
      <c r="A1200" s="32"/>
      <c r="F1200" s="3"/>
      <c r="G1200" s="3"/>
      <c r="H1200" s="3"/>
      <c r="M1200" s="1">
        <f t="shared" si="113"/>
        <v>35.940000000000602</v>
      </c>
      <c r="N1200" s="1">
        <f t="shared" si="114"/>
        <v>-2.28449962945639</v>
      </c>
      <c r="O1200" s="1">
        <f t="shared" si="115"/>
        <v>1.6393436593754105</v>
      </c>
      <c r="P1200" s="1">
        <f t="shared" si="116"/>
        <v>4.904104130818931</v>
      </c>
      <c r="R1200" s="3">
        <f t="shared" si="111"/>
        <v>0.28581435203113514</v>
      </c>
      <c r="S1200" s="3">
        <f t="shared" si="112"/>
        <v>-1.4725183041894665</v>
      </c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</row>
    <row r="1201" spans="1:100" x14ac:dyDescent="0.2">
      <c r="A1201" s="32"/>
      <c r="F1201" s="3"/>
      <c r="G1201" s="3"/>
      <c r="H1201" s="3"/>
      <c r="M1201" s="1">
        <f t="shared" si="113"/>
        <v>35.970000000000603</v>
      </c>
      <c r="N1201" s="1">
        <f t="shared" si="114"/>
        <v>-3.005684449655138</v>
      </c>
      <c r="O1201" s="1">
        <f t="shared" si="115"/>
        <v>1.5491731258857564</v>
      </c>
      <c r="P1201" s="1">
        <f t="shared" si="116"/>
        <v>4.9505793245955036</v>
      </c>
      <c r="R1201" s="3">
        <f t="shared" si="111"/>
        <v>0.35391667616475303</v>
      </c>
      <c r="S1201" s="3">
        <f t="shared" si="112"/>
        <v>-1.4576498160849516</v>
      </c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</row>
    <row r="1202" spans="1:100" x14ac:dyDescent="0.2">
      <c r="A1202" s="32"/>
      <c r="F1202" s="3"/>
      <c r="G1202" s="3"/>
      <c r="H1202" s="3"/>
      <c r="M1202" s="1">
        <f t="shared" si="113"/>
        <v>36.000000000000604</v>
      </c>
      <c r="N1202" s="1">
        <f t="shared" si="114"/>
        <v>-3.6785923429772489</v>
      </c>
      <c r="O1202" s="1">
        <f t="shared" si="115"/>
        <v>1.4388153555964389</v>
      </c>
      <c r="P1202" s="1">
        <f t="shared" si="116"/>
        <v>4.9937437852633968</v>
      </c>
      <c r="R1202" s="3">
        <f t="shared" si="111"/>
        <v>0.41648615570623282</v>
      </c>
      <c r="S1202" s="3">
        <f t="shared" si="112"/>
        <v>-1.441020222656519</v>
      </c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</row>
    <row r="1203" spans="1:100" x14ac:dyDescent="0.2">
      <c r="A1203" s="32"/>
      <c r="F1203" s="3"/>
      <c r="G1203" s="3"/>
      <c r="H1203" s="3"/>
      <c r="M1203" s="1">
        <f t="shared" si="113"/>
        <v>36.030000000000605</v>
      </c>
      <c r="N1203" s="1">
        <f t="shared" si="114"/>
        <v>-4.2943549390660074</v>
      </c>
      <c r="O1203" s="1">
        <f t="shared" si="115"/>
        <v>1.3099847074244586</v>
      </c>
      <c r="P1203" s="1">
        <f t="shared" si="116"/>
        <v>5.0330433264861307</v>
      </c>
      <c r="R1203" s="3">
        <f t="shared" si="111"/>
        <v>0.47278143258475613</v>
      </c>
      <c r="S1203" s="3">
        <f t="shared" si="112"/>
        <v>-1.423544069217074</v>
      </c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</row>
    <row r="1204" spans="1:100" x14ac:dyDescent="0.2">
      <c r="A1204" s="32"/>
      <c r="F1204" s="3"/>
      <c r="G1204" s="3"/>
      <c r="H1204" s="3"/>
      <c r="M1204" s="1">
        <f t="shared" si="113"/>
        <v>36.060000000000606</v>
      </c>
      <c r="N1204" s="1">
        <f t="shared" si="114"/>
        <v>-4.8457129495157627</v>
      </c>
      <c r="O1204" s="1">
        <f t="shared" si="115"/>
        <v>1.1646133189389858</v>
      </c>
      <c r="P1204" s="1">
        <f t="shared" si="116"/>
        <v>5.0679817260542999</v>
      </c>
      <c r="R1204" s="3">
        <f t="shared" si="111"/>
        <v>0.52221913505493389</v>
      </c>
      <c r="S1204" s="3">
        <f t="shared" si="112"/>
        <v>-1.4061604371416787</v>
      </c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</row>
    <row r="1205" spans="1:100" x14ac:dyDescent="0.2">
      <c r="A1205" s="32"/>
      <c r="F1205" s="3"/>
      <c r="G1205" s="3"/>
      <c r="H1205" s="3"/>
      <c r="M1205" s="1">
        <f t="shared" si="113"/>
        <v>36.090000000000607</v>
      </c>
      <c r="N1205" s="1">
        <f t="shared" si="114"/>
        <v>-5.3270065492538468</v>
      </c>
      <c r="O1205" s="1">
        <f t="shared" si="115"/>
        <v>1.0048031224613703</v>
      </c>
      <c r="P1205" s="1">
        <f t="shared" si="116"/>
        <v>5.0981258197281409</v>
      </c>
      <c r="R1205" s="3">
        <f t="shared" si="111"/>
        <v>0.5643629044241637</v>
      </c>
      <c r="S1205" s="3">
        <f t="shared" si="112"/>
        <v>-1.3897821815341864</v>
      </c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</row>
    <row r="1206" spans="1:100" x14ac:dyDescent="0.2">
      <c r="A1206" s="32"/>
      <c r="F1206" s="3"/>
      <c r="G1206" s="3"/>
      <c r="H1206" s="3"/>
      <c r="M1206" s="1">
        <f t="shared" si="113"/>
        <v>36.120000000000609</v>
      </c>
      <c r="N1206" s="1">
        <f t="shared" si="114"/>
        <v>-5.73406132526316</v>
      </c>
      <c r="O1206" s="1">
        <f t="shared" si="115"/>
        <v>0.83278128270347551</v>
      </c>
      <c r="P1206" s="1">
        <f t="shared" si="116"/>
        <v>5.1231092582092455</v>
      </c>
      <c r="R1206" s="3">
        <f t="shared" si="111"/>
        <v>0.59890470947870034</v>
      </c>
      <c r="S1206" s="3">
        <f t="shared" si="112"/>
        <v>-1.3752502132209372</v>
      </c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</row>
    <row r="1207" spans="1:100" x14ac:dyDescent="0.2">
      <c r="A1207" s="32"/>
      <c r="F1207" s="3"/>
      <c r="G1207" s="3"/>
      <c r="H1207" s="3"/>
      <c r="M1207" s="1">
        <f t="shared" si="113"/>
        <v>36.15000000000061</v>
      </c>
      <c r="N1207" s="1">
        <f t="shared" si="114"/>
        <v>-6.063997410230316</v>
      </c>
      <c r="O1207" s="1">
        <f t="shared" si="115"/>
        <v>0.65086136039656606</v>
      </c>
      <c r="P1207" s="1">
        <f t="shared" si="116"/>
        <v>5.1426350990211427</v>
      </c>
      <c r="R1207" s="3">
        <f t="shared" si="111"/>
        <v>0.625641754817998</v>
      </c>
      <c r="S1207" s="3">
        <f t="shared" si="112"/>
        <v>-1.3632946837086455</v>
      </c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</row>
    <row r="1208" spans="1:100" x14ac:dyDescent="0.2">
      <c r="A1208" s="32"/>
      <c r="F1208" s="3"/>
      <c r="G1208" s="3"/>
      <c r="H1208" s="3"/>
      <c r="M1208" s="1">
        <f t="shared" si="113"/>
        <v>36.180000000000611</v>
      </c>
      <c r="N1208" s="1">
        <f t="shared" si="114"/>
        <v>-6.3149950706156712</v>
      </c>
      <c r="O1208" s="1">
        <f t="shared" si="115"/>
        <v>0.46141150827809596</v>
      </c>
      <c r="P1208" s="1">
        <f t="shared" si="116"/>
        <v>5.1564774442694858</v>
      </c>
      <c r="R1208" s="3">
        <f t="shared" si="111"/>
        <v>0.64445240904310164</v>
      </c>
      <c r="S1208" s="3">
        <f t="shared" si="112"/>
        <v>-1.3545040023855752</v>
      </c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</row>
    <row r="1209" spans="1:100" x14ac:dyDescent="0.2">
      <c r="A1209" s="32"/>
      <c r="F1209" s="3"/>
      <c r="G1209" s="3"/>
      <c r="H1209" s="3"/>
      <c r="M1209" s="1">
        <f t="shared" si="113"/>
        <v>36.210000000000612</v>
      </c>
      <c r="N1209" s="1">
        <f t="shared" si="114"/>
        <v>-6.4860511261760454</v>
      </c>
      <c r="O1209" s="1">
        <f t="shared" si="115"/>
        <v>0.26682997449281459</v>
      </c>
      <c r="P1209" s="1">
        <f t="shared" si="116"/>
        <v>5.1644823435042699</v>
      </c>
      <c r="R1209" s="3">
        <f t="shared" si="111"/>
        <v>0.65527431366569933</v>
      </c>
      <c r="S1209" s="3">
        <f t="shared" si="112"/>
        <v>-1.3493018838829012</v>
      </c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</row>
    <row r="1210" spans="1:100" x14ac:dyDescent="0.2">
      <c r="A1210" s="32"/>
      <c r="F1210" s="3"/>
      <c r="G1210" s="3"/>
      <c r="H1210" s="3"/>
      <c r="M1210" s="1">
        <f t="shared" si="113"/>
        <v>36.240000000000613</v>
      </c>
      <c r="N1210" s="1">
        <f t="shared" si="114"/>
        <v>-6.5767578343613469</v>
      </c>
      <c r="O1210" s="1">
        <f t="shared" si="115"/>
        <v>6.95272394619742E-2</v>
      </c>
      <c r="P1210" s="1">
        <f t="shared" si="116"/>
        <v>5.1665681606881293</v>
      </c>
      <c r="R1210" s="3">
        <f t="shared" si="111"/>
        <v>0.65808728325196564</v>
      </c>
      <c r="S1210" s="3">
        <f t="shared" si="112"/>
        <v>-1.3479321672925708</v>
      </c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</row>
    <row r="1211" spans="1:100" x14ac:dyDescent="0.2">
      <c r="A1211" s="32"/>
      <c r="F1211" s="3"/>
      <c r="G1211" s="3"/>
      <c r="H1211" s="3"/>
      <c r="M1211" s="1">
        <f t="shared" si="113"/>
        <v>36.270000000000614</v>
      </c>
      <c r="N1211" s="1">
        <f t="shared" si="114"/>
        <v>-6.5871302840712342</v>
      </c>
      <c r="O1211" s="1">
        <f t="shared" si="115"/>
        <v>-0.12808666906016283</v>
      </c>
      <c r="P1211" s="1">
        <f t="shared" si="116"/>
        <v>5.162725560616324</v>
      </c>
      <c r="R1211" s="3">
        <f t="shared" si="111"/>
        <v>0.65290287324297702</v>
      </c>
      <c r="S1211" s="3">
        <f t="shared" si="112"/>
        <v>-1.3504509758266181</v>
      </c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</row>
    <row r="1212" spans="1:100" x14ac:dyDescent="0.2">
      <c r="A1212" s="32"/>
      <c r="F1212" s="3"/>
      <c r="G1212" s="3"/>
      <c r="H1212" s="3"/>
      <c r="M1212" s="1">
        <f t="shared" si="113"/>
        <v>36.300000000000615</v>
      </c>
      <c r="N1212" s="1">
        <f t="shared" si="114"/>
        <v>-6.5175009322143547</v>
      </c>
      <c r="O1212" s="1">
        <f t="shared" si="115"/>
        <v>-0.32361169702659343</v>
      </c>
      <c r="P1212" s="1">
        <f t="shared" si="116"/>
        <v>5.153017209705526</v>
      </c>
      <c r="R1212" s="3">
        <f t="shared" si="111"/>
        <v>0.6397616587474757</v>
      </c>
      <c r="S1212" s="3">
        <f t="shared" si="112"/>
        <v>-1.3567258455549074</v>
      </c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</row>
    <row r="1213" spans="1:100" x14ac:dyDescent="0.2">
      <c r="A1213" s="32"/>
      <c r="F1213" s="3"/>
      <c r="G1213" s="3"/>
      <c r="H1213" s="3"/>
      <c r="M1213" s="1">
        <f t="shared" si="113"/>
        <v>36.330000000000616</v>
      </c>
      <c r="N1213" s="1">
        <f t="shared" si="114"/>
        <v>-6.3684915347423647</v>
      </c>
      <c r="O1213" s="1">
        <f t="shared" si="115"/>
        <v>-0.51466644306886433</v>
      </c>
      <c r="P1213" s="1">
        <f t="shared" si="116"/>
        <v>5.1375772164134599</v>
      </c>
      <c r="R1213" s="3">
        <f t="shared" si="111"/>
        <v>0.61873839712607792</v>
      </c>
      <c r="S1213" s="3">
        <f t="shared" si="112"/>
        <v>-1.3664416547814444</v>
      </c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</row>
    <row r="1214" spans="1:100" x14ac:dyDescent="0.2">
      <c r="A1214" s="32"/>
      <c r="F1214" s="3"/>
      <c r="G1214" s="3"/>
      <c r="H1214" s="3"/>
      <c r="M1214" s="1">
        <f t="shared" si="113"/>
        <v>36.360000000000618</v>
      </c>
      <c r="N1214" s="1">
        <f t="shared" si="114"/>
        <v>-6.1410639913845815</v>
      </c>
      <c r="O1214" s="1">
        <f t="shared" si="115"/>
        <v>-0.69889836281040174</v>
      </c>
      <c r="P1214" s="1">
        <f t="shared" si="116"/>
        <v>5.1166102655291477</v>
      </c>
      <c r="R1214" s="3">
        <f t="shared" si="111"/>
        <v>0.58995438343023165</v>
      </c>
      <c r="S1214" s="3">
        <f t="shared" si="112"/>
        <v>-1.3791134200896804</v>
      </c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</row>
    <row r="1215" spans="1:100" x14ac:dyDescent="0.2">
      <c r="A1215" s="32"/>
      <c r="F1215" s="3"/>
      <c r="G1215" s="3"/>
      <c r="H1215" s="3"/>
      <c r="M1215" s="1">
        <f t="shared" si="113"/>
        <v>36.390000000000619</v>
      </c>
      <c r="N1215" s="1">
        <f t="shared" si="114"/>
        <v>-5.8366429816493799</v>
      </c>
      <c r="O1215" s="1">
        <f t="shared" si="115"/>
        <v>-0.87399765225988313</v>
      </c>
      <c r="P1215" s="1">
        <f t="shared" si="116"/>
        <v>5.0903903359613514</v>
      </c>
      <c r="R1215" s="3">
        <f t="shared" si="111"/>
        <v>0.55359548912734269</v>
      </c>
      <c r="S1215" s="3">
        <f t="shared" si="112"/>
        <v>-1.3941061775983414</v>
      </c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</row>
    <row r="1216" spans="1:100" x14ac:dyDescent="0.2">
      <c r="A1216" s="32"/>
      <c r="F1216" s="3"/>
      <c r="G1216" s="3"/>
      <c r="H1216" s="3"/>
      <c r="M1216" s="1">
        <f t="shared" si="113"/>
        <v>36.42000000000062</v>
      </c>
      <c r="N1216" s="1">
        <f t="shared" si="114"/>
        <v>-5.457295102570038</v>
      </c>
      <c r="O1216" s="1">
        <f t="shared" si="115"/>
        <v>-1.0377165053369843</v>
      </c>
      <c r="P1216" s="1">
        <f t="shared" si="116"/>
        <v>5.0592588408012418</v>
      </c>
      <c r="R1216" s="3">
        <f t="shared" si="111"/>
        <v>0.50993364709298483</v>
      </c>
      <c r="S1216" s="3">
        <f t="shared" si="112"/>
        <v>-1.4106621408269406</v>
      </c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</row>
    <row r="1217" spans="1:100" x14ac:dyDescent="0.2">
      <c r="A1217" s="32"/>
      <c r="F1217" s="3"/>
      <c r="G1217" s="3"/>
      <c r="H1217" s="3"/>
      <c r="M1217" s="1">
        <f t="shared" si="113"/>
        <v>36.450000000000621</v>
      </c>
      <c r="N1217" s="1">
        <f t="shared" si="114"/>
        <v>-5.0059419854495202</v>
      </c>
      <c r="O1217" s="1">
        <f t="shared" si="115"/>
        <v>-1.1878947649004699</v>
      </c>
      <c r="P1217" s="1">
        <f t="shared" si="116"/>
        <v>5.023621997854228</v>
      </c>
      <c r="R1217" s="3">
        <f t="shared" si="111"/>
        <v>0.45934897226882077</v>
      </c>
      <c r="S1217" s="3">
        <f t="shared" si="112"/>
        <v>-1.4279350551322627</v>
      </c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</row>
    <row r="1218" spans="1:100" x14ac:dyDescent="0.2">
      <c r="A1218" s="32"/>
      <c r="F1218" s="3"/>
      <c r="G1218" s="3"/>
      <c r="H1218" s="3"/>
      <c r="M1218" s="1">
        <f t="shared" si="113"/>
        <v>36.480000000000622</v>
      </c>
      <c r="N1218" s="1">
        <f t="shared" si="114"/>
        <v>-4.4865791938471657</v>
      </c>
      <c r="O1218" s="1">
        <f t="shared" si="115"/>
        <v>-1.3224921407158847</v>
      </c>
      <c r="P1218" s="1">
        <f t="shared" si="116"/>
        <v>4.9839472336327511</v>
      </c>
      <c r="R1218" s="3">
        <f t="shared" ref="R1218:R1281" si="117">$B$3*COS(P1218)</f>
        <v>0.40234936706757835</v>
      </c>
      <c r="S1218" s="3">
        <f t="shared" ref="S1218:S1281" si="118">$B$3*SIN(P1218)</f>
        <v>-1.4450311369725979</v>
      </c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</row>
    <row r="1219" spans="1:100" x14ac:dyDescent="0.2">
      <c r="A1219" s="32"/>
      <c r="F1219" s="3"/>
      <c r="G1219" s="3"/>
      <c r="H1219" s="3"/>
      <c r="M1219" s="1">
        <f t="shared" ref="M1219:M1282" si="119">M1218+B$13</f>
        <v>36.510000000000623</v>
      </c>
      <c r="N1219" s="1">
        <f t="shared" ref="N1219:N1282" si="120">-$B$12*$B$3*COS(P1218)-B$10*O1218</f>
        <v>-3.904469378011354</v>
      </c>
      <c r="O1219" s="1">
        <f t="shared" ref="O1219:O1282" si="121">N1219*$B$13+O1218</f>
        <v>-1.4396262220562253</v>
      </c>
      <c r="P1219" s="1">
        <f t="shared" ref="P1219:P1282" si="122">O1219*$B$13+P1218</f>
        <v>4.9407584469710644</v>
      </c>
      <c r="R1219" s="3">
        <f t="shared" si="117"/>
        <v>0.33958443838943553</v>
      </c>
      <c r="S1219" s="3">
        <f t="shared" si="118"/>
        <v>-1.4610552382451978</v>
      </c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</row>
    <row r="1220" spans="1:100" x14ac:dyDescent="0.2">
      <c r="A1220" s="32"/>
      <c r="F1220" s="3"/>
      <c r="G1220" s="3"/>
      <c r="H1220" s="3"/>
      <c r="M1220" s="1">
        <f t="shared" si="119"/>
        <v>36.540000000000624</v>
      </c>
      <c r="N1220" s="1">
        <f t="shared" si="120"/>
        <v>-3.2662780239092948</v>
      </c>
      <c r="O1220" s="1">
        <f t="shared" si="121"/>
        <v>-1.5376145627735041</v>
      </c>
      <c r="P1220" s="1">
        <f t="shared" si="122"/>
        <v>4.8946300100878588</v>
      </c>
      <c r="R1220" s="3">
        <f t="shared" si="117"/>
        <v>0.2718509174353263</v>
      </c>
      <c r="S1220" s="3">
        <f t="shared" si="118"/>
        <v>-1.4751600179945128</v>
      </c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</row>
    <row r="1221" spans="1:100" x14ac:dyDescent="0.2">
      <c r="A1221" s="32"/>
      <c r="F1221" s="3"/>
      <c r="G1221" s="3"/>
      <c r="H1221" s="3"/>
      <c r="M1221" s="1">
        <f t="shared" si="119"/>
        <v>36.570000000000626</v>
      </c>
      <c r="N1221" s="1">
        <f t="shared" si="120"/>
        <v>-2.5801238637036477</v>
      </c>
      <c r="O1221" s="1">
        <f t="shared" si="121"/>
        <v>-1.6150182786846135</v>
      </c>
      <c r="P1221" s="1">
        <f t="shared" si="122"/>
        <v>4.8461794617273206</v>
      </c>
      <c r="R1221" s="3">
        <f t="shared" si="117"/>
        <v>0.20008754880512547</v>
      </c>
      <c r="S1221" s="3">
        <f t="shared" si="118"/>
        <v>-1.4865950937673502</v>
      </c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</row>
    <row r="1222" spans="1:100" x14ac:dyDescent="0.2">
      <c r="A1222" s="32"/>
      <c r="F1222" s="3"/>
      <c r="G1222" s="3"/>
      <c r="H1222" s="3"/>
      <c r="M1222" s="1">
        <f t="shared" si="119"/>
        <v>36.600000000000627</v>
      </c>
      <c r="N1222" s="1">
        <f t="shared" si="120"/>
        <v>-1.8555238429696395</v>
      </c>
      <c r="O1222" s="1">
        <f t="shared" si="121"/>
        <v>-1.6706839939737026</v>
      </c>
      <c r="P1222" s="1">
        <f t="shared" si="122"/>
        <v>4.7960589419081092</v>
      </c>
      <c r="R1222" s="3">
        <f t="shared" si="117"/>
        <v>0.12535855724444345</v>
      </c>
      <c r="S1222" s="3">
        <f t="shared" si="118"/>
        <v>-1.4947525655189864</v>
      </c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</row>
    <row r="1223" spans="1:100" x14ac:dyDescent="0.2">
      <c r="A1223" s="32"/>
      <c r="F1223" s="3"/>
      <c r="G1223" s="3"/>
      <c r="H1223" s="3"/>
      <c r="M1223" s="1">
        <f t="shared" si="119"/>
        <v>36.630000000000628</v>
      </c>
      <c r="N1223" s="1">
        <f t="shared" si="120"/>
        <v>-1.1032240129868012</v>
      </c>
      <c r="O1223" s="1">
        <f t="shared" si="121"/>
        <v>-1.7037807143633066</v>
      </c>
      <c r="P1223" s="1">
        <f t="shared" si="122"/>
        <v>4.7449455204772102</v>
      </c>
      <c r="R1223" s="3">
        <f t="shared" si="117"/>
        <v>4.8826183696392418E-2</v>
      </c>
      <c r="S1223" s="3">
        <f t="shared" si="118"/>
        <v>-1.4992051239859228</v>
      </c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</row>
    <row r="1224" spans="1:100" x14ac:dyDescent="0.2">
      <c r="A1224" s="32"/>
      <c r="F1224" s="3"/>
      <c r="G1224" s="3"/>
      <c r="H1224" s="3"/>
      <c r="M1224" s="1">
        <f t="shared" si="119"/>
        <v>36.660000000000629</v>
      </c>
      <c r="N1224" s="1">
        <f t="shared" si="120"/>
        <v>-0.33492157267122658</v>
      </c>
      <c r="O1224" s="1">
        <f t="shared" si="121"/>
        <v>-1.7138283615434433</v>
      </c>
      <c r="P1224" s="1">
        <f t="shared" si="122"/>
        <v>4.6935306696309071</v>
      </c>
      <c r="R1224" s="3">
        <f t="shared" si="117"/>
        <v>-2.8285789487481859E-2</v>
      </c>
      <c r="S1224" s="3">
        <f t="shared" si="118"/>
        <v>-1.4997332809913468</v>
      </c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</row>
    <row r="1225" spans="1:100" x14ac:dyDescent="0.2">
      <c r="A1225" s="32"/>
      <c r="F1225" s="3"/>
      <c r="G1225" s="3"/>
      <c r="H1225" s="3"/>
      <c r="M1225" s="1">
        <f t="shared" si="119"/>
        <v>36.69000000000063</v>
      </c>
      <c r="N1225" s="1">
        <f t="shared" si="120"/>
        <v>0.4371024474137285</v>
      </c>
      <c r="O1225" s="1">
        <f t="shared" si="121"/>
        <v>-1.7007152881210315</v>
      </c>
      <c r="P1225" s="1">
        <f t="shared" si="122"/>
        <v>4.6425092109872761</v>
      </c>
      <c r="R1225" s="3">
        <f t="shared" si="117"/>
        <v>-0.10473436601163738</v>
      </c>
      <c r="S1225" s="3">
        <f t="shared" si="118"/>
        <v>-1.4963391034709146</v>
      </c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</row>
    <row r="1226" spans="1:100" x14ac:dyDescent="0.2">
      <c r="A1226" s="32"/>
      <c r="F1226" s="3"/>
      <c r="G1226" s="3"/>
      <c r="H1226" s="3"/>
      <c r="M1226" s="1">
        <f t="shared" si="119"/>
        <v>36.720000000000631</v>
      </c>
      <c r="N1226" s="1">
        <f t="shared" si="120"/>
        <v>1.2004080360472664</v>
      </c>
      <c r="O1226" s="1">
        <f t="shared" si="121"/>
        <v>-1.6647030470396134</v>
      </c>
      <c r="P1226" s="1">
        <f t="shared" si="122"/>
        <v>4.5925681195760877</v>
      </c>
      <c r="R1226" s="3">
        <f t="shared" si="117"/>
        <v>-0.1793015316491966</v>
      </c>
      <c r="S1226" s="3">
        <f t="shared" si="118"/>
        <v>-1.4892450976075939</v>
      </c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</row>
    <row r="1227" spans="1:100" x14ac:dyDescent="0.2">
      <c r="A1227" s="32"/>
      <c r="F1227" s="3"/>
      <c r="G1227" s="3"/>
      <c r="H1227" s="3"/>
      <c r="M1227" s="1">
        <f t="shared" si="119"/>
        <v>36.750000000000632</v>
      </c>
      <c r="N1227" s="1">
        <f t="shared" si="120"/>
        <v>1.942838590725531</v>
      </c>
      <c r="O1227" s="1">
        <f t="shared" si="121"/>
        <v>-1.6064178893178473</v>
      </c>
      <c r="P1227" s="1">
        <f t="shared" si="122"/>
        <v>4.544375582896552</v>
      </c>
      <c r="R1227" s="3">
        <f t="shared" si="117"/>
        <v>-0.2508360770021193</v>
      </c>
      <c r="S1227" s="3">
        <f t="shared" si="118"/>
        <v>-1.4788783798792202</v>
      </c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</row>
    <row r="1228" spans="1:100" x14ac:dyDescent="0.2">
      <c r="A1228" s="32"/>
      <c r="F1228" s="3"/>
      <c r="G1228" s="3"/>
      <c r="H1228" s="3"/>
      <c r="M1228" s="1">
        <f t="shared" si="119"/>
        <v>36.780000000000634</v>
      </c>
      <c r="N1228" s="1">
        <f t="shared" si="120"/>
        <v>2.652938380059799</v>
      </c>
      <c r="O1228" s="1">
        <f t="shared" si="121"/>
        <v>-1.5268297379160534</v>
      </c>
      <c r="P1228" s="1">
        <f t="shared" si="122"/>
        <v>4.4985706907590703</v>
      </c>
      <c r="R1228" s="3">
        <f t="shared" si="117"/>
        <v>-0.31828916469834168</v>
      </c>
      <c r="S1228" s="3">
        <f t="shared" si="118"/>
        <v>-1.4658417403101986</v>
      </c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</row>
    <row r="1229" spans="1:100" x14ac:dyDescent="0.2">
      <c r="A1229" s="32"/>
      <c r="F1229" s="3"/>
      <c r="G1229" s="3"/>
      <c r="H1229" s="3"/>
      <c r="M1229" s="1">
        <f t="shared" si="119"/>
        <v>36.810000000000635</v>
      </c>
      <c r="N1229" s="1">
        <f t="shared" si="120"/>
        <v>3.3203063233958616</v>
      </c>
      <c r="O1229" s="1">
        <f t="shared" si="121"/>
        <v>-1.4272205482141775</v>
      </c>
      <c r="P1229" s="1">
        <f t="shared" si="122"/>
        <v>4.4557540743126447</v>
      </c>
      <c r="R1229" s="3">
        <f t="shared" si="117"/>
        <v>-0.38074066411779556</v>
      </c>
      <c r="S1229" s="3">
        <f t="shared" si="118"/>
        <v>-1.4508744076201565</v>
      </c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</row>
    <row r="1230" spans="1:100" x14ac:dyDescent="0.2">
      <c r="A1230" s="32"/>
      <c r="F1230" s="3"/>
      <c r="G1230" s="3"/>
      <c r="H1230" s="3"/>
      <c r="M1230" s="1">
        <f t="shared" si="119"/>
        <v>36.840000000000636</v>
      </c>
      <c r="N1230" s="1">
        <f t="shared" si="120"/>
        <v>3.9358564905172315</v>
      </c>
      <c r="O1230" s="1">
        <f t="shared" si="121"/>
        <v>-1.3091448534986605</v>
      </c>
      <c r="P1230" s="1">
        <f t="shared" si="122"/>
        <v>4.4164797287076851</v>
      </c>
      <c r="R1230" s="3">
        <f t="shared" si="117"/>
        <v>-0.43741455565997178</v>
      </c>
      <c r="S1230" s="3">
        <f t="shared" si="118"/>
        <v>-1.4348060867227979</v>
      </c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</row>
    <row r="1231" spans="1:100" x14ac:dyDescent="0.2">
      <c r="A1231" s="32"/>
      <c r="F1231" s="3"/>
      <c r="G1231" s="3"/>
      <c r="H1231" s="3"/>
      <c r="M1231" s="1">
        <f t="shared" si="119"/>
        <v>36.870000000000637</v>
      </c>
      <c r="N1231" s="1">
        <f t="shared" si="120"/>
        <v>4.4919685934145974</v>
      </c>
      <c r="O1231" s="1">
        <f t="shared" si="121"/>
        <v>-1.1743857956962227</v>
      </c>
      <c r="P1231" s="1">
        <f t="shared" si="122"/>
        <v>4.3812481548367987</v>
      </c>
      <c r="R1231" s="3">
        <f t="shared" si="117"/>
        <v>-0.48768312985114748</v>
      </c>
      <c r="S1231" s="3">
        <f t="shared" si="118"/>
        <v>-1.4185080771213778</v>
      </c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</row>
    <row r="1232" spans="1:100" x14ac:dyDescent="0.2">
      <c r="A1232" s="32"/>
      <c r="F1232" s="3"/>
      <c r="G1232" s="3"/>
      <c r="H1232" s="3"/>
      <c r="M1232" s="1">
        <f t="shared" si="119"/>
        <v>36.900000000000638</v>
      </c>
      <c r="N1232" s="1">
        <f t="shared" si="120"/>
        <v>4.9825260201241344</v>
      </c>
      <c r="O1232" s="1">
        <f t="shared" si="121"/>
        <v>-1.0249100150924986</v>
      </c>
      <c r="P1232" s="1">
        <f t="shared" si="122"/>
        <v>4.3505008543840242</v>
      </c>
      <c r="R1232" s="3">
        <f t="shared" si="117"/>
        <v>-0.53106104312961544</v>
      </c>
      <c r="S1232" s="3">
        <f t="shared" si="118"/>
        <v>-1.4028450265336101</v>
      </c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</row>
    <row r="1233" spans="1:100" x14ac:dyDescent="0.2">
      <c r="A1233" s="32"/>
      <c r="F1233" s="3"/>
      <c r="G1233" s="3"/>
      <c r="H1233" s="3"/>
      <c r="M1233" s="1">
        <f t="shared" si="119"/>
        <v>36.930000000000639</v>
      </c>
      <c r="N1233" s="1">
        <f t="shared" si="120"/>
        <v>5.4028523326544784</v>
      </c>
      <c r="O1233" s="1">
        <f t="shared" si="121"/>
        <v>-0.86282444511286416</v>
      </c>
      <c r="P1233" s="1">
        <f t="shared" si="122"/>
        <v>4.3246161210306386</v>
      </c>
      <c r="R1233" s="3">
        <f t="shared" si="117"/>
        <v>-0.56719135705293222</v>
      </c>
      <c r="S1233" s="3">
        <f t="shared" si="118"/>
        <v>-1.3886302475765295</v>
      </c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</row>
    <row r="1234" spans="1:100" x14ac:dyDescent="0.2">
      <c r="A1234" s="32"/>
      <c r="F1234" s="3"/>
      <c r="G1234" s="3"/>
      <c r="H1234" s="3"/>
      <c r="M1234" s="1">
        <f t="shared" si="119"/>
        <v>36.96000000000064</v>
      </c>
      <c r="N1234" s="1">
        <f t="shared" si="120"/>
        <v>5.7495677705894792</v>
      </c>
      <c r="O1234" s="1">
        <f t="shared" si="121"/>
        <v>-0.69033741199517973</v>
      </c>
      <c r="P1234" s="1">
        <f t="shared" si="122"/>
        <v>4.3039059986707828</v>
      </c>
      <c r="R1234" s="3">
        <f t="shared" si="117"/>
        <v>-0.59582637118603832</v>
      </c>
      <c r="S1234" s="3">
        <f t="shared" si="118"/>
        <v>-1.3765866973784389</v>
      </c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</row>
    <row r="1235" spans="1:100" x14ac:dyDescent="0.2">
      <c r="A1235" s="32"/>
      <c r="F1235" s="3"/>
      <c r="G1235" s="3"/>
      <c r="H1235" s="3"/>
      <c r="M1235" s="1">
        <f t="shared" si="119"/>
        <v>36.990000000000641</v>
      </c>
      <c r="N1235" s="1">
        <f t="shared" si="120"/>
        <v>6.0203940789399502</v>
      </c>
      <c r="O1235" s="1">
        <f t="shared" si="121"/>
        <v>-0.50972558962698122</v>
      </c>
      <c r="P1235" s="1">
        <f t="shared" si="122"/>
        <v>4.288614230981973</v>
      </c>
      <c r="R1235" s="3">
        <f t="shared" si="117"/>
        <v>-0.61680633266254825</v>
      </c>
      <c r="S1235" s="3">
        <f t="shared" si="118"/>
        <v>-1.3673148679025537</v>
      </c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</row>
    <row r="1236" spans="1:100" x14ac:dyDescent="0.2">
      <c r="A1236" s="32"/>
      <c r="F1236" s="3"/>
      <c r="G1236" s="3"/>
      <c r="H1236" s="3"/>
      <c r="M1236" s="1">
        <f t="shared" si="119"/>
        <v>37.020000000000643</v>
      </c>
      <c r="N1236" s="1">
        <f t="shared" si="120"/>
        <v>6.2139386296919117</v>
      </c>
      <c r="O1236" s="1">
        <f t="shared" si="121"/>
        <v>-0.32330743073622387</v>
      </c>
      <c r="P1236" s="1">
        <f t="shared" si="122"/>
        <v>4.2789150080598866</v>
      </c>
      <c r="R1236" s="3">
        <f t="shared" si="117"/>
        <v>-0.6300390036593676</v>
      </c>
      <c r="S1236" s="3">
        <f t="shared" si="118"/>
        <v>-1.3612681050652409</v>
      </c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</row>
    <row r="1237" spans="1:100" x14ac:dyDescent="0.2">
      <c r="A1237" s="32"/>
      <c r="F1237" s="3"/>
      <c r="G1237" s="3"/>
      <c r="H1237" s="3"/>
      <c r="M1237" s="1">
        <f t="shared" si="119"/>
        <v>37.050000000000644</v>
      </c>
      <c r="N1237" s="1">
        <f t="shared" si="120"/>
        <v>6.3294877053599361</v>
      </c>
      <c r="O1237" s="1">
        <f t="shared" si="121"/>
        <v>-0.1334227995754258</v>
      </c>
      <c r="P1237" s="1">
        <f t="shared" si="122"/>
        <v>4.2749123240726234</v>
      </c>
      <c r="R1237" s="3">
        <f t="shared" si="117"/>
        <v>-0.63548266808482734</v>
      </c>
      <c r="S1237" s="3">
        <f t="shared" si="118"/>
        <v>-1.3587353600182006</v>
      </c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</row>
    <row r="1238" spans="1:100" x14ac:dyDescent="0.2">
      <c r="A1238" s="32"/>
      <c r="F1238" s="3"/>
      <c r="G1238" s="3"/>
      <c r="H1238" s="3"/>
      <c r="M1238" s="1">
        <f t="shared" si="119"/>
        <v>37.080000000000645</v>
      </c>
      <c r="N1238" s="1">
        <f t="shared" si="120"/>
        <v>6.3668347328100623</v>
      </c>
      <c r="O1238" s="1">
        <f t="shared" si="121"/>
        <v>5.758224240887605E-2</v>
      </c>
      <c r="P1238" s="1">
        <f t="shared" si="122"/>
        <v>4.2766397913448895</v>
      </c>
      <c r="R1238" s="3">
        <f t="shared" si="117"/>
        <v>-0.6331345502007093</v>
      </c>
      <c r="S1238" s="3">
        <f t="shared" si="118"/>
        <v>-1.3598311076535001</v>
      </c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</row>
    <row r="1239" spans="1:100" x14ac:dyDescent="0.2">
      <c r="A1239" s="32"/>
      <c r="F1239" s="3"/>
      <c r="G1239" s="3"/>
      <c r="H1239" s="3"/>
      <c r="M1239" s="1">
        <f t="shared" si="119"/>
        <v>37.110000000000646</v>
      </c>
      <c r="N1239" s="1">
        <f t="shared" si="120"/>
        <v>6.3261631001902936</v>
      </c>
      <c r="O1239" s="1">
        <f t="shared" si="121"/>
        <v>0.24736713541458485</v>
      </c>
      <c r="P1239" s="1">
        <f t="shared" si="122"/>
        <v>4.2840608054073268</v>
      </c>
      <c r="R1239" s="3">
        <f t="shared" si="117"/>
        <v>-0.62302588331324449</v>
      </c>
      <c r="S1239" s="3">
        <f t="shared" si="118"/>
        <v>-1.3644921211651431</v>
      </c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</row>
    <row r="1240" spans="1:100" x14ac:dyDescent="0.2">
      <c r="A1240" s="32"/>
      <c r="F1240" s="3"/>
      <c r="G1240" s="3"/>
      <c r="H1240" s="3"/>
      <c r="M1240" s="1">
        <f t="shared" si="119"/>
        <v>37.140000000000647</v>
      </c>
      <c r="N1240" s="1">
        <f t="shared" si="120"/>
        <v>6.207995790945132</v>
      </c>
      <c r="O1240" s="1">
        <f t="shared" si="121"/>
        <v>0.43360700914293882</v>
      </c>
      <c r="P1240" s="1">
        <f t="shared" si="122"/>
        <v>4.2970690156816147</v>
      </c>
      <c r="R1240" s="3">
        <f t="shared" si="117"/>
        <v>-0.60522407199543948</v>
      </c>
      <c r="S1240" s="3">
        <f t="shared" si="118"/>
        <v>-1.3724809006602821</v>
      </c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</row>
    <row r="1241" spans="1:100" x14ac:dyDescent="0.2">
      <c r="A1241" s="32"/>
      <c r="F1241" s="3"/>
      <c r="G1241" s="3"/>
      <c r="H1241" s="3"/>
      <c r="M1241" s="1">
        <f t="shared" si="119"/>
        <v>37.170000000000648</v>
      </c>
      <c r="N1241" s="1">
        <f t="shared" si="120"/>
        <v>6.0132160891315305</v>
      </c>
      <c r="O1241" s="1">
        <f t="shared" si="121"/>
        <v>0.61400349181688474</v>
      </c>
      <c r="P1241" s="1">
        <f t="shared" si="122"/>
        <v>4.315489120436121</v>
      </c>
      <c r="R1241" s="3">
        <f t="shared" si="117"/>
        <v>-0.57984158622369097</v>
      </c>
      <c r="S1241" s="3">
        <f t="shared" si="118"/>
        <v>-1.3833957260616334</v>
      </c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</row>
    <row r="1242" spans="1:100" x14ac:dyDescent="0.2">
      <c r="A1242" s="32"/>
      <c r="F1242" s="3"/>
      <c r="G1242" s="3"/>
      <c r="H1242" s="3"/>
      <c r="M1242" s="1">
        <f t="shared" si="119"/>
        <v>37.200000000000649</v>
      </c>
      <c r="N1242" s="1">
        <f t="shared" si="120"/>
        <v>5.74315554797339</v>
      </c>
      <c r="O1242" s="1">
        <f t="shared" si="121"/>
        <v>0.7862981582560864</v>
      </c>
      <c r="P1242" s="1">
        <f t="shared" si="122"/>
        <v>4.3390780651838039</v>
      </c>
      <c r="R1242" s="3">
        <f t="shared" si="117"/>
        <v>-0.54705045159713916</v>
      </c>
      <c r="S1242" s="3">
        <f t="shared" si="118"/>
        <v>-1.3966874394106099</v>
      </c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</row>
    <row r="1243" spans="1:100" x14ac:dyDescent="0.2">
      <c r="A1243" s="32"/>
      <c r="F1243" s="3"/>
      <c r="G1243" s="3"/>
      <c r="H1243" s="3"/>
      <c r="M1243" s="1">
        <f t="shared" si="119"/>
        <v>37.230000000000651</v>
      </c>
      <c r="N1243" s="1">
        <f t="shared" si="120"/>
        <v>5.3997376817283431</v>
      </c>
      <c r="O1243" s="1">
        <f t="shared" si="121"/>
        <v>0.94829028870793675</v>
      </c>
      <c r="P1243" s="1">
        <f t="shared" si="122"/>
        <v>4.3675267738450421</v>
      </c>
      <c r="R1243" s="3">
        <f t="shared" si="117"/>
        <v>-0.50710049999168694</v>
      </c>
      <c r="S1243" s="3">
        <f t="shared" si="118"/>
        <v>-1.4116830674440284</v>
      </c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</row>
    <row r="1244" spans="1:100" x14ac:dyDescent="0.2">
      <c r="A1244" s="32"/>
      <c r="F1244" s="3"/>
      <c r="G1244" s="3"/>
      <c r="H1244" s="3"/>
      <c r="M1244" s="1">
        <f t="shared" si="119"/>
        <v>37.260000000000652</v>
      </c>
      <c r="N1244" s="1">
        <f t="shared" si="120"/>
        <v>4.9856588739331542</v>
      </c>
      <c r="O1244" s="1">
        <f t="shared" si="121"/>
        <v>1.0978600549259314</v>
      </c>
      <c r="P1244" s="1">
        <f t="shared" si="122"/>
        <v>4.4004625754928197</v>
      </c>
      <c r="R1244" s="3">
        <f t="shared" si="117"/>
        <v>-0.4603389739723176</v>
      </c>
      <c r="S1244" s="3">
        <f t="shared" si="118"/>
        <v>-1.4276162050922909</v>
      </c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</row>
    <row r="1245" spans="1:100" x14ac:dyDescent="0.2">
      <c r="A1245" s="32"/>
      <c r="F1245" s="3"/>
      <c r="G1245" s="3"/>
      <c r="H1245" s="3"/>
      <c r="M1245" s="1">
        <f t="shared" si="119"/>
        <v>37.290000000000653</v>
      </c>
      <c r="N1245" s="1">
        <f t="shared" si="120"/>
        <v>4.5045823347798422</v>
      </c>
      <c r="O1245" s="1">
        <f t="shared" si="121"/>
        <v>1.2329975249693268</v>
      </c>
      <c r="P1245" s="1">
        <f t="shared" si="122"/>
        <v>4.4374525012418999</v>
      </c>
      <c r="R1245" s="3">
        <f t="shared" si="117"/>
        <v>-0.40722870350215168</v>
      </c>
      <c r="S1245" s="3">
        <f t="shared" si="118"/>
        <v>-1.4436636668711853</v>
      </c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</row>
    <row r="1246" spans="1:100" x14ac:dyDescent="0.2">
      <c r="A1246" s="32"/>
      <c r="F1246" s="3"/>
      <c r="G1246" s="3"/>
      <c r="H1246" s="3"/>
      <c r="M1246" s="1">
        <f t="shared" si="119"/>
        <v>37.320000000000654</v>
      </c>
      <c r="N1246" s="1">
        <f t="shared" si="120"/>
        <v>3.9613172577742772</v>
      </c>
      <c r="O1246" s="1">
        <f t="shared" si="121"/>
        <v>1.351837042702555</v>
      </c>
      <c r="P1246" s="1">
        <f t="shared" si="122"/>
        <v>4.4780076125229762</v>
      </c>
      <c r="R1246" s="3">
        <f t="shared" si="117"/>
        <v>-0.34836196855369261</v>
      </c>
      <c r="S1246" s="3">
        <f t="shared" si="118"/>
        <v>-1.4589872990761077</v>
      </c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</row>
    <row r="1247" spans="1:100" x14ac:dyDescent="0.2">
      <c r="A1247" s="32"/>
      <c r="F1247" s="3"/>
      <c r="G1247" s="3"/>
      <c r="H1247" s="3"/>
      <c r="M1247" s="1">
        <f t="shared" si="119"/>
        <v>37.350000000000655</v>
      </c>
      <c r="N1247" s="1">
        <f t="shared" si="120"/>
        <v>3.3619543516936963</v>
      </c>
      <c r="O1247" s="1">
        <f t="shared" si="121"/>
        <v>1.4526956732533658</v>
      </c>
      <c r="P1247" s="1">
        <f t="shared" si="122"/>
        <v>4.5215884827205768</v>
      </c>
      <c r="R1247" s="3">
        <f t="shared" si="117"/>
        <v>-0.28446738971827457</v>
      </c>
      <c r="S1247" s="3">
        <f t="shared" si="118"/>
        <v>-1.472779109095071</v>
      </c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</row>
    <row r="1248" spans="1:100" x14ac:dyDescent="0.2">
      <c r="A1248" s="32"/>
      <c r="F1248" s="3"/>
      <c r="G1248" s="3"/>
      <c r="H1248" s="3"/>
      <c r="M1248" s="1">
        <f t="shared" si="119"/>
        <v>37.380000000000656</v>
      </c>
      <c r="N1248" s="1">
        <f t="shared" si="120"/>
        <v>2.713931286589943</v>
      </c>
      <c r="O1248" s="1">
        <f t="shared" si="121"/>
        <v>1.5341136118510641</v>
      </c>
      <c r="P1248" s="1">
        <f t="shared" si="122"/>
        <v>4.5676118910761083</v>
      </c>
      <c r="R1248" s="3">
        <f t="shared" si="117"/>
        <v>-0.21640778201528627</v>
      </c>
      <c r="S1248" s="3">
        <f t="shared" si="118"/>
        <v>-1.4843071352935095</v>
      </c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  <c r="CJ1248" s="1"/>
      <c r="CK1248" s="1"/>
      <c r="CL1248" s="1"/>
      <c r="CM1248" s="1"/>
      <c r="CN1248" s="1"/>
      <c r="CO1248" s="1"/>
      <c r="CP1248" s="1"/>
      <c r="CQ1248" s="1"/>
      <c r="CR1248" s="1"/>
      <c r="CS1248" s="1"/>
      <c r="CT1248" s="1"/>
      <c r="CU1248" s="1"/>
      <c r="CV1248" s="1"/>
    </row>
    <row r="1249" spans="1:100" x14ac:dyDescent="0.2">
      <c r="A1249" s="32"/>
      <c r="F1249" s="3"/>
      <c r="G1249" s="3"/>
      <c r="H1249" s="3"/>
      <c r="M1249" s="1">
        <f t="shared" si="119"/>
        <v>37.410000000000657</v>
      </c>
      <c r="N1249" s="1">
        <f t="shared" si="120"/>
        <v>2.0260075950862668</v>
      </c>
      <c r="O1249" s="1">
        <f t="shared" si="121"/>
        <v>1.5948938397036521</v>
      </c>
      <c r="P1249" s="1">
        <f t="shared" si="122"/>
        <v>4.6154587062672174</v>
      </c>
      <c r="R1249" s="3">
        <f t="shared" si="117"/>
        <v>-0.14516784154331164</v>
      </c>
      <c r="S1249" s="3">
        <f t="shared" si="118"/>
        <v>-1.492958906930012</v>
      </c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  <c r="CJ1249" s="1"/>
      <c r="CK1249" s="1"/>
      <c r="CL1249" s="1"/>
      <c r="CM1249" s="1"/>
      <c r="CN1249" s="1"/>
      <c r="CO1249" s="1"/>
      <c r="CP1249" s="1"/>
      <c r="CQ1249" s="1"/>
      <c r="CR1249" s="1"/>
      <c r="CS1249" s="1"/>
      <c r="CT1249" s="1"/>
      <c r="CU1249" s="1"/>
      <c r="CV1249" s="1"/>
    </row>
    <row r="1250" spans="1:100" x14ac:dyDescent="0.2">
      <c r="A1250" s="32"/>
      <c r="F1250" s="3"/>
      <c r="G1250" s="3"/>
      <c r="H1250" s="3"/>
      <c r="M1250" s="1">
        <f t="shared" si="119"/>
        <v>37.440000000000659</v>
      </c>
      <c r="N1250" s="1">
        <f t="shared" si="120"/>
        <v>1.3081379698597877</v>
      </c>
      <c r="O1250" s="1">
        <f t="shared" si="121"/>
        <v>1.6341379787994457</v>
      </c>
      <c r="P1250" s="1">
        <f t="shared" si="122"/>
        <v>4.6644828456312011</v>
      </c>
      <c r="R1250" s="3">
        <f t="shared" si="117"/>
        <v>-7.1831719166257829E-2</v>
      </c>
      <c r="S1250" s="3">
        <f t="shared" si="118"/>
        <v>-1.4982790808529698</v>
      </c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  <c r="CJ1250" s="1"/>
      <c r="CK1250" s="1"/>
      <c r="CL1250" s="1"/>
      <c r="CM1250" s="1"/>
      <c r="CN1250" s="1"/>
      <c r="CO1250" s="1"/>
      <c r="CP1250" s="1"/>
      <c r="CQ1250" s="1"/>
      <c r="CR1250" s="1"/>
      <c r="CS1250" s="1"/>
      <c r="CT1250" s="1"/>
      <c r="CU1250" s="1"/>
      <c r="CV1250" s="1"/>
    </row>
    <row r="1251" spans="1:100" x14ac:dyDescent="0.2">
      <c r="A1251" s="32"/>
      <c r="F1251" s="3"/>
      <c r="G1251" s="3"/>
      <c r="H1251" s="3"/>
      <c r="M1251" s="1">
        <f t="shared" si="119"/>
        <v>37.47000000000066</v>
      </c>
      <c r="N1251" s="1">
        <f t="shared" si="120"/>
        <v>0.57124477357062831</v>
      </c>
      <c r="O1251" s="1">
        <f t="shared" si="121"/>
        <v>1.6512753220065646</v>
      </c>
      <c r="P1251" s="1">
        <f t="shared" si="122"/>
        <v>4.7140211052913976</v>
      </c>
      <c r="R1251" s="3">
        <f t="shared" si="117"/>
        <v>2.4481862731352637E-3</v>
      </c>
      <c r="S1251" s="3">
        <f t="shared" si="118"/>
        <v>-1.4999980021266603</v>
      </c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  <c r="CJ1251" s="1"/>
      <c r="CK1251" s="1"/>
      <c r="CL1251" s="1"/>
      <c r="CM1251" s="1"/>
      <c r="CN1251" s="1"/>
      <c r="CO1251" s="1"/>
      <c r="CP1251" s="1"/>
      <c r="CQ1251" s="1"/>
      <c r="CR1251" s="1"/>
      <c r="CS1251" s="1"/>
      <c r="CT1251" s="1"/>
      <c r="CU1251" s="1"/>
      <c r="CV1251" s="1"/>
    </row>
    <row r="1252" spans="1:100" x14ac:dyDescent="0.2">
      <c r="F1252" s="3"/>
      <c r="G1252" s="3"/>
      <c r="H1252" s="3"/>
      <c r="M1252" s="1">
        <f t="shared" si="119"/>
        <v>37.500000000000661</v>
      </c>
      <c r="N1252" s="1">
        <f t="shared" si="120"/>
        <v>-0.17309664171194344</v>
      </c>
      <c r="O1252" s="1">
        <f t="shared" si="121"/>
        <v>1.6460824227552062</v>
      </c>
      <c r="P1252" s="1">
        <f t="shared" si="122"/>
        <v>4.7634035779740538</v>
      </c>
      <c r="R1252" s="3">
        <f t="shared" si="117"/>
        <v>7.6488709468370761E-2</v>
      </c>
      <c r="S1252" s="3">
        <f t="shared" si="118"/>
        <v>-1.4980485563972428</v>
      </c>
    </row>
    <row r="1253" spans="1:100" x14ac:dyDescent="0.2">
      <c r="F1253" s="3"/>
      <c r="G1253" s="3"/>
      <c r="H1253" s="3"/>
      <c r="M1253" s="1">
        <f t="shared" si="119"/>
        <v>37.530000000000662</v>
      </c>
      <c r="N1253" s="1">
        <f t="shared" si="120"/>
        <v>-0.91303451273167613</v>
      </c>
      <c r="O1253" s="1">
        <f t="shared" si="121"/>
        <v>1.618691387373256</v>
      </c>
      <c r="P1253" s="1">
        <f t="shared" si="122"/>
        <v>4.8119643195952513</v>
      </c>
      <c r="R1253" s="3">
        <f t="shared" si="117"/>
        <v>0.14911630260508169</v>
      </c>
      <c r="S1253" s="3">
        <f t="shared" si="118"/>
        <v>-1.4925697063445278</v>
      </c>
    </row>
    <row r="1254" spans="1:100" x14ac:dyDescent="0.2">
      <c r="F1254" s="3"/>
      <c r="G1254" s="3"/>
      <c r="H1254" s="3"/>
      <c r="M1254" s="1">
        <f t="shared" si="119"/>
        <v>37.560000000000663</v>
      </c>
      <c r="N1254" s="1">
        <f t="shared" si="120"/>
        <v>-1.6368452509144098</v>
      </c>
      <c r="O1254" s="1">
        <f t="shared" si="121"/>
        <v>1.5695860298458237</v>
      </c>
      <c r="P1254" s="1">
        <f t="shared" si="122"/>
        <v>4.8590519004906261</v>
      </c>
      <c r="R1254" s="3">
        <f t="shared" si="117"/>
        <v>0.21920654765298797</v>
      </c>
      <c r="S1254" s="3">
        <f t="shared" si="118"/>
        <v>-1.4838963877124502</v>
      </c>
    </row>
    <row r="1255" spans="1:100" x14ac:dyDescent="0.2">
      <c r="F1255" s="3"/>
      <c r="G1255" s="3"/>
      <c r="H1255" s="3"/>
      <c r="M1255" s="1">
        <f t="shared" si="119"/>
        <v>37.590000000000664</v>
      </c>
      <c r="N1255" s="1">
        <f t="shared" si="120"/>
        <v>-2.3333282192160039</v>
      </c>
      <c r="O1255" s="1">
        <f t="shared" si="121"/>
        <v>1.4995861832693436</v>
      </c>
      <c r="P1255" s="1">
        <f t="shared" si="122"/>
        <v>4.9040394859887062</v>
      </c>
      <c r="R1255" s="3">
        <f t="shared" si="117"/>
        <v>0.28571916073822157</v>
      </c>
      <c r="S1255" s="3">
        <f t="shared" si="118"/>
        <v>-1.4725367775329234</v>
      </c>
    </row>
    <row r="1256" spans="1:100" x14ac:dyDescent="0.2">
      <c r="F1256" s="3"/>
      <c r="G1256" s="3"/>
      <c r="H1256" s="3"/>
      <c r="M1256" s="1">
        <f t="shared" si="119"/>
        <v>37.620000000000665</v>
      </c>
      <c r="N1256" s="1">
        <f t="shared" si="120"/>
        <v>-2.9921543638764567</v>
      </c>
      <c r="O1256" s="1">
        <f t="shared" si="121"/>
        <v>1.40982155235305</v>
      </c>
      <c r="P1256" s="1">
        <f t="shared" si="122"/>
        <v>4.946334132559298</v>
      </c>
      <c r="R1256" s="3">
        <f t="shared" si="117"/>
        <v>0.34772550228285598</v>
      </c>
      <c r="S1256" s="3">
        <f t="shared" si="118"/>
        <v>-1.4591391212157034</v>
      </c>
    </row>
    <row r="1257" spans="1:100" x14ac:dyDescent="0.2">
      <c r="F1257" s="3"/>
      <c r="G1257" s="3"/>
      <c r="H1257" s="3"/>
      <c r="M1257" s="1">
        <f t="shared" si="119"/>
        <v>37.650000000000666</v>
      </c>
      <c r="N1257" s="1">
        <f t="shared" si="120"/>
        <v>-3.6041389625403344</v>
      </c>
      <c r="O1257" s="1">
        <f t="shared" si="121"/>
        <v>1.3016973834768399</v>
      </c>
      <c r="P1257" s="1">
        <f t="shared" si="122"/>
        <v>4.9853850540636033</v>
      </c>
      <c r="R1257" s="3">
        <f t="shared" si="117"/>
        <v>0.40442664574975357</v>
      </c>
      <c r="S1257" s="3">
        <f t="shared" si="118"/>
        <v>-1.444451137355502</v>
      </c>
    </row>
    <row r="1258" spans="1:100" x14ac:dyDescent="0.2">
      <c r="F1258" s="3"/>
      <c r="G1258" s="3"/>
      <c r="H1258" s="3"/>
      <c r="M1258" s="1">
        <f t="shared" si="119"/>
        <v>37.680000000000668</v>
      </c>
      <c r="N1258" s="1">
        <f t="shared" si="120"/>
        <v>-4.1614192220104513</v>
      </c>
      <c r="O1258" s="1">
        <f t="shared" si="121"/>
        <v>1.1768548068165263</v>
      </c>
      <c r="P1258" s="1">
        <f t="shared" si="122"/>
        <v>5.0206906982680994</v>
      </c>
      <c r="R1258" s="3">
        <f t="shared" si="117"/>
        <v>0.45516129934640753</v>
      </c>
      <c r="S1258" s="3">
        <f t="shared" si="118"/>
        <v>-1.4292754078823613</v>
      </c>
    </row>
    <row r="1259" spans="1:100" x14ac:dyDescent="0.2">
      <c r="F1259" s="3"/>
      <c r="G1259" s="3"/>
      <c r="H1259" s="3"/>
      <c r="M1259" s="1">
        <f t="shared" si="119"/>
        <v>37.710000000000669</v>
      </c>
      <c r="N1259" s="1">
        <f t="shared" si="120"/>
        <v>-4.6575299260775624</v>
      </c>
      <c r="O1259" s="1">
        <f t="shared" si="121"/>
        <v>1.0371289090341995</v>
      </c>
      <c r="P1259" s="1">
        <f t="shared" si="122"/>
        <v>5.0518045655391255</v>
      </c>
      <c r="R1259" s="3">
        <f t="shared" si="117"/>
        <v>0.49940411310031396</v>
      </c>
      <c r="S1259" s="3">
        <f t="shared" si="118"/>
        <v>-1.4144240989952372</v>
      </c>
    </row>
    <row r="1260" spans="1:100" x14ac:dyDescent="0.2">
      <c r="F1260" s="3"/>
      <c r="G1260" s="3"/>
      <c r="H1260" s="3"/>
      <c r="M1260" s="1">
        <f t="shared" si="119"/>
        <v>37.74000000000067</v>
      </c>
      <c r="N1260" s="1">
        <f t="shared" si="120"/>
        <v>-5.0873827328162182</v>
      </c>
      <c r="O1260" s="1">
        <f t="shared" si="121"/>
        <v>0.88450742704971297</v>
      </c>
      <c r="P1260" s="1">
        <f t="shared" si="122"/>
        <v>5.0783397883506165</v>
      </c>
      <c r="R1260" s="3">
        <f t="shared" si="117"/>
        <v>0.53675595796336295</v>
      </c>
      <c r="S1260" s="3">
        <f t="shared" si="118"/>
        <v>-1.4006759231138488</v>
      </c>
    </row>
    <row r="1261" spans="1:100" x14ac:dyDescent="0.2">
      <c r="F1261" s="3"/>
      <c r="G1261" s="3"/>
      <c r="H1261" s="3"/>
      <c r="M1261" s="1">
        <f t="shared" si="119"/>
        <v>37.770000000000671</v>
      </c>
      <c r="N1261" s="1">
        <f t="shared" si="120"/>
        <v>-5.4471652480681039</v>
      </c>
      <c r="O1261" s="1">
        <f t="shared" si="121"/>
        <v>0.72109246960766982</v>
      </c>
      <c r="P1261" s="1">
        <f t="shared" si="122"/>
        <v>5.0999725624388468</v>
      </c>
      <c r="R1261" s="3">
        <f t="shared" si="117"/>
        <v>0.56692851071061945</v>
      </c>
      <c r="S1261" s="3">
        <f t="shared" si="118"/>
        <v>-1.3887375791500132</v>
      </c>
    </row>
    <row r="1262" spans="1:100" x14ac:dyDescent="0.2">
      <c r="F1262" s="3"/>
      <c r="G1262" s="3"/>
      <c r="H1262" s="3"/>
      <c r="M1262" s="1">
        <f t="shared" si="119"/>
        <v>37.800000000000672</v>
      </c>
      <c r="N1262" s="1">
        <f t="shared" si="120"/>
        <v>-5.7341834293708835</v>
      </c>
      <c r="O1262" s="1">
        <f t="shared" si="121"/>
        <v>0.54906696672654332</v>
      </c>
      <c r="P1262" s="1">
        <f t="shared" si="122"/>
        <v>5.1164445714406428</v>
      </c>
      <c r="R1262" s="3">
        <f t="shared" si="117"/>
        <v>0.58972586439173025</v>
      </c>
      <c r="S1262" s="3">
        <f t="shared" si="118"/>
        <v>-1.3792111531115991</v>
      </c>
    </row>
    <row r="1263" spans="1:100" x14ac:dyDescent="0.2">
      <c r="F1263" s="3"/>
      <c r="G1263" s="3"/>
      <c r="H1263" s="3"/>
      <c r="M1263" s="1">
        <f t="shared" si="119"/>
        <v>37.830000000000673</v>
      </c>
      <c r="N1263" s="1">
        <f t="shared" si="120"/>
        <v>-5.9466746709226905</v>
      </c>
      <c r="O1263" s="1">
        <f t="shared" si="121"/>
        <v>0.37066672659886257</v>
      </c>
      <c r="P1263" s="1">
        <f t="shared" si="122"/>
        <v>5.127564573238609</v>
      </c>
      <c r="R1263" s="3">
        <f t="shared" si="117"/>
        <v>0.60502591808315576</v>
      </c>
      <c r="S1263" s="3">
        <f t="shared" si="118"/>
        <v>-1.3725682636749381</v>
      </c>
    </row>
    <row r="1264" spans="1:100" x14ac:dyDescent="0.2">
      <c r="F1264" s="3"/>
      <c r="G1264" s="3"/>
      <c r="H1264" s="3"/>
      <c r="M1264" s="1">
        <f t="shared" si="119"/>
        <v>37.860000000000674</v>
      </c>
      <c r="N1264" s="1">
        <f t="shared" si="120"/>
        <v>-6.0836191862254552</v>
      </c>
      <c r="O1264" s="1">
        <f t="shared" si="121"/>
        <v>0.18815815101209893</v>
      </c>
      <c r="P1264" s="1">
        <f t="shared" si="122"/>
        <v>5.1332093177689719</v>
      </c>
      <c r="R1264" s="3">
        <f t="shared" si="117"/>
        <v>0.61276403514987354</v>
      </c>
      <c r="S1264" s="3">
        <f t="shared" si="118"/>
        <v>-1.3691311979598026</v>
      </c>
    </row>
    <row r="1265" spans="6:19" x14ac:dyDescent="0.2">
      <c r="F1265" s="3"/>
      <c r="G1265" s="3"/>
      <c r="H1265" s="3"/>
      <c r="M1265" s="1">
        <f t="shared" si="119"/>
        <v>37.890000000000676</v>
      </c>
      <c r="N1265" s="1">
        <f t="shared" si="120"/>
        <v>-6.144574585089825</v>
      </c>
      <c r="O1265" s="1">
        <f t="shared" si="121"/>
        <v>3.8209134594041905E-3</v>
      </c>
      <c r="P1265" s="1">
        <f t="shared" si="122"/>
        <v>5.1333239451727541</v>
      </c>
      <c r="R1265" s="3">
        <f t="shared" si="117"/>
        <v>0.61292097107850063</v>
      </c>
      <c r="S1265" s="3">
        <f t="shared" si="118"/>
        <v>-1.3690609494146664</v>
      </c>
    </row>
    <row r="1266" spans="6:19" x14ac:dyDescent="0.2">
      <c r="F1266" s="3"/>
      <c r="G1266" s="3"/>
      <c r="H1266" s="3"/>
      <c r="M1266" s="1">
        <f t="shared" si="119"/>
        <v>37.920000000000677</v>
      </c>
      <c r="N1266" s="1">
        <f t="shared" si="120"/>
        <v>-6.1295535929963538</v>
      </c>
      <c r="O1266" s="1">
        <f t="shared" si="121"/>
        <v>-0.18006569433048641</v>
      </c>
      <c r="P1266" s="1">
        <f t="shared" si="122"/>
        <v>5.1279219743428399</v>
      </c>
      <c r="R1266" s="3">
        <f t="shared" si="117"/>
        <v>0.60551643684412326</v>
      </c>
      <c r="S1266" s="3">
        <f t="shared" si="118"/>
        <v>-1.3723519390854508</v>
      </c>
    </row>
    <row r="1267" spans="6:19" x14ac:dyDescent="0.2">
      <c r="F1267" s="3"/>
      <c r="G1267" s="3"/>
      <c r="H1267" s="3"/>
      <c r="M1267" s="1">
        <f t="shared" si="119"/>
        <v>37.950000000000678</v>
      </c>
      <c r="N1267" s="1">
        <f t="shared" si="120"/>
        <v>-6.0389584559514891</v>
      </c>
      <c r="O1267" s="1">
        <f t="shared" si="121"/>
        <v>-0.36123444800903104</v>
      </c>
      <c r="P1267" s="1">
        <f t="shared" si="122"/>
        <v>5.1170849409025694</v>
      </c>
      <c r="R1267" s="3">
        <f t="shared" si="117"/>
        <v>0.59060894812003117</v>
      </c>
      <c r="S1267" s="3">
        <f t="shared" si="118"/>
        <v>-1.3788332279142936</v>
      </c>
    </row>
    <row r="1268" spans="6:19" x14ac:dyDescent="0.2">
      <c r="F1268" s="3"/>
      <c r="G1268" s="3"/>
      <c r="H1268" s="3"/>
      <c r="M1268" s="1">
        <f t="shared" si="119"/>
        <v>37.980000000000679</v>
      </c>
      <c r="N1268" s="1">
        <f t="shared" si="120"/>
        <v>-5.8735783808794988</v>
      </c>
      <c r="O1268" s="1">
        <f t="shared" si="121"/>
        <v>-0.53744179943541603</v>
      </c>
      <c r="P1268" s="1">
        <f t="shared" si="122"/>
        <v>5.1009616869195069</v>
      </c>
      <c r="R1268" s="3">
        <f t="shared" si="117"/>
        <v>0.56830186749126488</v>
      </c>
      <c r="S1268" s="3">
        <f t="shared" si="118"/>
        <v>-1.3881761370251042</v>
      </c>
    </row>
    <row r="1269" spans="6:19" x14ac:dyDescent="0.2">
      <c r="F1269" s="3"/>
      <c r="G1269" s="3"/>
      <c r="H1269" s="3"/>
      <c r="M1269" s="1">
        <f t="shared" si="119"/>
        <v>38.01000000000068</v>
      </c>
      <c r="N1269" s="1">
        <f t="shared" si="120"/>
        <v>-5.6346489129634616</v>
      </c>
      <c r="O1269" s="1">
        <f t="shared" si="121"/>
        <v>-0.70648126682431989</v>
      </c>
      <c r="P1269" s="1">
        <f t="shared" si="122"/>
        <v>5.0797672489147772</v>
      </c>
      <c r="R1269" s="3">
        <f t="shared" si="117"/>
        <v>0.53875482006916831</v>
      </c>
      <c r="S1269" s="3">
        <f t="shared" si="118"/>
        <v>-1.3999082983725177</v>
      </c>
    </row>
    <row r="1270" spans="6:19" x14ac:dyDescent="0.2">
      <c r="F1270" s="3"/>
      <c r="G1270" s="3"/>
      <c r="H1270" s="3"/>
      <c r="M1270" s="1">
        <f t="shared" si="119"/>
        <v>38.040000000000681</v>
      </c>
      <c r="N1270" s="1">
        <f t="shared" si="120"/>
        <v>-5.3239648866774942</v>
      </c>
      <c r="O1270" s="1">
        <f t="shared" si="121"/>
        <v>-0.8662002134246447</v>
      </c>
      <c r="P1270" s="1">
        <f t="shared" si="122"/>
        <v>5.0537812425120379</v>
      </c>
      <c r="R1270" s="3">
        <f t="shared" si="117"/>
        <v>0.50219899517753652</v>
      </c>
      <c r="S1270" s="3">
        <f t="shared" si="118"/>
        <v>-1.4134341757728488</v>
      </c>
    </row>
    <row r="1271" spans="6:19" x14ac:dyDescent="0.2">
      <c r="F1271" s="3"/>
      <c r="G1271" s="3"/>
      <c r="H1271" s="3"/>
      <c r="M1271" s="1">
        <f t="shared" si="119"/>
        <v>38.070000000000682</v>
      </c>
      <c r="N1271" s="1">
        <f t="shared" si="120"/>
        <v>-4.9440319325671478</v>
      </c>
      <c r="O1271" s="1">
        <f t="shared" si="121"/>
        <v>-1.0145211714016591</v>
      </c>
      <c r="P1271" s="1">
        <f t="shared" si="122"/>
        <v>5.023345607369988</v>
      </c>
      <c r="R1271" s="3">
        <f t="shared" si="117"/>
        <v>0.45895428706727009</v>
      </c>
      <c r="S1271" s="3">
        <f t="shared" si="118"/>
        <v>-1.4280619602743343</v>
      </c>
    </row>
    <row r="1272" spans="6:19" x14ac:dyDescent="0.2">
      <c r="F1272" s="3"/>
      <c r="G1272" s="3"/>
      <c r="H1272" s="3"/>
      <c r="M1272" s="1">
        <f t="shared" si="119"/>
        <v>38.100000000000684</v>
      </c>
      <c r="N1272" s="1">
        <f t="shared" si="120"/>
        <v>-4.4982359652465513</v>
      </c>
      <c r="O1272" s="1">
        <f t="shared" si="121"/>
        <v>-1.1494682503590556</v>
      </c>
      <c r="P1272" s="1">
        <f t="shared" si="122"/>
        <v>4.9888615598592168</v>
      </c>
      <c r="R1272" s="3">
        <f t="shared" si="117"/>
        <v>0.40944583441844362</v>
      </c>
      <c r="S1272" s="3">
        <f t="shared" si="118"/>
        <v>-1.443036419733537</v>
      </c>
    </row>
    <row r="1273" spans="6:19" x14ac:dyDescent="0.2">
      <c r="F1273" s="3"/>
      <c r="G1273" s="3"/>
      <c r="H1273" s="3"/>
      <c r="M1273" s="1">
        <f t="shared" si="119"/>
        <v>38.130000000000685</v>
      </c>
      <c r="N1273" s="1">
        <f t="shared" si="120"/>
        <v>-3.9910062016521208</v>
      </c>
      <c r="O1273" s="1">
        <f t="shared" si="121"/>
        <v>-1.2691984364086193</v>
      </c>
      <c r="P1273" s="1">
        <f t="shared" si="122"/>
        <v>4.9507856067669582</v>
      </c>
      <c r="R1273" s="3">
        <f t="shared" si="117"/>
        <v>0.3542173558019126</v>
      </c>
      <c r="S1273" s="3">
        <f t="shared" si="118"/>
        <v>-1.4575767783717952</v>
      </c>
    </row>
    <row r="1274" spans="6:19" x14ac:dyDescent="0.2">
      <c r="F1274" s="3"/>
      <c r="G1274" s="3"/>
      <c r="H1274" s="3"/>
      <c r="M1274" s="1">
        <f t="shared" si="119"/>
        <v>38.160000000000686</v>
      </c>
      <c r="N1274" s="1">
        <f t="shared" si="120"/>
        <v>-3.4279456987423504</v>
      </c>
      <c r="O1274" s="1">
        <f t="shared" si="121"/>
        <v>-1.3720368073708897</v>
      </c>
      <c r="P1274" s="1">
        <f t="shared" si="122"/>
        <v>4.9096245025458316</v>
      </c>
      <c r="R1274" s="3">
        <f t="shared" si="117"/>
        <v>0.29393880414363738</v>
      </c>
      <c r="S1274" s="3">
        <f t="shared" si="118"/>
        <v>-1.4709180736596477</v>
      </c>
    </row>
    <row r="1275" spans="6:19" x14ac:dyDescent="0.2">
      <c r="F1275" s="3"/>
      <c r="G1275" s="3"/>
      <c r="H1275" s="3"/>
      <c r="M1275" s="1">
        <f t="shared" si="119"/>
        <v>38.190000000000687</v>
      </c>
      <c r="N1275" s="1">
        <f t="shared" si="120"/>
        <v>-2.8159047287729941</v>
      </c>
      <c r="O1275" s="1">
        <f t="shared" si="121"/>
        <v>-1.4565139492340795</v>
      </c>
      <c r="P1275" s="1">
        <f t="shared" si="122"/>
        <v>4.8659290840688092</v>
      </c>
      <c r="R1275" s="3">
        <f t="shared" si="117"/>
        <v>0.22940631134215311</v>
      </c>
      <c r="S1275" s="3">
        <f t="shared" si="118"/>
        <v>-1.4823537851391575</v>
      </c>
    </row>
    <row r="1276" spans="6:19" x14ac:dyDescent="0.2">
      <c r="F1276" s="3"/>
      <c r="G1276" s="3"/>
      <c r="H1276" s="3"/>
      <c r="M1276" s="1">
        <f t="shared" si="119"/>
        <v>38.220000000000688</v>
      </c>
      <c r="N1276" s="1">
        <f t="shared" si="120"/>
        <v>-2.162976857990464</v>
      </c>
      <c r="O1276" s="1">
        <f t="shared" si="121"/>
        <v>-1.5214032549737935</v>
      </c>
      <c r="P1276" s="1">
        <f t="shared" si="122"/>
        <v>4.8202869864195952</v>
      </c>
      <c r="R1276" s="3">
        <f t="shared" si="117"/>
        <v>0.1615331552029291</v>
      </c>
      <c r="S1276" s="3">
        <f t="shared" si="118"/>
        <v>-1.4912769829143699</v>
      </c>
    </row>
    <row r="1277" spans="6:19" x14ac:dyDescent="0.2">
      <c r="F1277" s="3"/>
      <c r="G1277" s="3"/>
      <c r="H1277" s="3"/>
      <c r="M1277" s="1">
        <f t="shared" si="119"/>
        <v>38.250000000000689</v>
      </c>
      <c r="N1277" s="1">
        <f t="shared" si="120"/>
        <v>-1.4784052590816497</v>
      </c>
      <c r="O1277" s="1">
        <f t="shared" si="121"/>
        <v>-1.565755412746243</v>
      </c>
      <c r="P1277" s="1">
        <f t="shared" si="122"/>
        <v>4.7733143240372078</v>
      </c>
      <c r="R1277" s="3">
        <f t="shared" si="117"/>
        <v>9.1331488813171227E-2</v>
      </c>
      <c r="S1277" s="3">
        <f t="shared" si="118"/>
        <v>-1.497216937905516</v>
      </c>
    </row>
    <row r="1278" spans="6:19" x14ac:dyDescent="0.2">
      <c r="F1278" s="3"/>
      <c r="G1278" s="3"/>
      <c r="H1278" s="3"/>
      <c r="M1278" s="1">
        <f t="shared" si="119"/>
        <v>38.28000000000069</v>
      </c>
      <c r="N1278" s="1">
        <f t="shared" si="120"/>
        <v>-0.77239690098455038</v>
      </c>
      <c r="O1278" s="1">
        <f t="shared" si="121"/>
        <v>-1.5889273197757794</v>
      </c>
      <c r="P1278" s="1">
        <f t="shared" si="122"/>
        <v>4.725646504443934</v>
      </c>
      <c r="R1278" s="3">
        <f t="shared" si="117"/>
        <v>1.9885703551934662E-2</v>
      </c>
      <c r="S1278" s="3">
        <f t="shared" si="118"/>
        <v>-1.4998681804726188</v>
      </c>
    </row>
    <row r="1279" spans="6:19" x14ac:dyDescent="0.2">
      <c r="F1279" s="3"/>
      <c r="G1279" s="3"/>
      <c r="H1279" s="3"/>
      <c r="M1279" s="1">
        <f t="shared" si="119"/>
        <v>38.310000000000692</v>
      </c>
      <c r="N1279" s="1">
        <f t="shared" si="120"/>
        <v>-5.5853576739526484E-2</v>
      </c>
      <c r="O1279" s="1">
        <f t="shared" si="121"/>
        <v>-1.5906029270779651</v>
      </c>
      <c r="P1279" s="1">
        <f t="shared" si="122"/>
        <v>4.6779284166315946</v>
      </c>
      <c r="R1279" s="3">
        <f t="shared" si="117"/>
        <v>-5.1680615494860277E-2</v>
      </c>
      <c r="S1279" s="3">
        <f t="shared" si="118"/>
        <v>-1.4991094402951615</v>
      </c>
    </row>
    <row r="1280" spans="6:19" x14ac:dyDescent="0.2">
      <c r="F1280" s="3"/>
      <c r="G1280" s="3"/>
      <c r="H1280" s="3"/>
      <c r="M1280" s="1">
        <f t="shared" si="119"/>
        <v>38.340000000000693</v>
      </c>
      <c r="N1280" s="1">
        <f t="shared" si="120"/>
        <v>0.6599604183856197</v>
      </c>
      <c r="O1280" s="1">
        <f t="shared" si="121"/>
        <v>-1.5708041145263965</v>
      </c>
      <c r="P1280" s="1">
        <f t="shared" si="122"/>
        <v>4.6308042931958031</v>
      </c>
      <c r="R1280" s="3">
        <f t="shared" si="117"/>
        <v>-0.12224131778950834</v>
      </c>
      <c r="S1280" s="3">
        <f t="shared" si="118"/>
        <v>-1.4950107224448541</v>
      </c>
    </row>
    <row r="1281" spans="6:19" x14ac:dyDescent="0.2">
      <c r="F1281" s="3"/>
      <c r="G1281" s="3"/>
      <c r="H1281" s="3"/>
      <c r="M1281" s="1">
        <f t="shared" si="119"/>
        <v>38.370000000000694</v>
      </c>
      <c r="N1281" s="1">
        <f t="shared" si="120"/>
        <v>1.363785548202459</v>
      </c>
      <c r="O1281" s="1">
        <f t="shared" si="121"/>
        <v>-1.5298905480803227</v>
      </c>
      <c r="P1281" s="1">
        <f t="shared" si="122"/>
        <v>4.5849075767533938</v>
      </c>
      <c r="R1281" s="3">
        <f t="shared" si="117"/>
        <v>-0.19070458487906955</v>
      </c>
      <c r="S1281" s="3">
        <f t="shared" si="118"/>
        <v>-1.4878278668267044</v>
      </c>
    </row>
    <row r="1282" spans="6:19" x14ac:dyDescent="0.2">
      <c r="F1282" s="3"/>
      <c r="G1282" s="3"/>
      <c r="H1282" s="3"/>
      <c r="M1282" s="1">
        <f t="shared" si="119"/>
        <v>38.400000000000695</v>
      </c>
      <c r="N1282" s="1">
        <f t="shared" si="120"/>
        <v>2.0447359981179245</v>
      </c>
      <c r="O1282" s="1">
        <f t="shared" si="121"/>
        <v>-1.4685484681367849</v>
      </c>
      <c r="P1282" s="1">
        <f t="shared" si="122"/>
        <v>4.5408511227092898</v>
      </c>
      <c r="R1282" s="3">
        <f t="shared" ref="R1282:R1345" si="123">$B$3*COS(P1282)</f>
        <v>-0.25604675626424145</v>
      </c>
      <c r="S1282" s="3">
        <f t="shared" ref="S1282:S1345" si="124">$B$3*SIN(P1282)</f>
        <v>-1.4779851347718489</v>
      </c>
    </row>
    <row r="1283" spans="6:19" x14ac:dyDescent="0.2">
      <c r="F1283" s="3"/>
      <c r="G1283" s="3"/>
      <c r="H1283" s="3"/>
      <c r="M1283" s="1">
        <f t="shared" ref="M1283:M1346" si="125">M1282+B$13</f>
        <v>38.430000000000696</v>
      </c>
      <c r="N1283" s="1">
        <f t="shared" ref="N1283:N1346" si="126">-$B$12*$B$3*COS(P1282)-B$10*O1282</f>
        <v>2.692636924774725</v>
      </c>
      <c r="O1283" s="1">
        <f t="shared" ref="O1283:O1346" si="127">N1283*$B$13+O1282</f>
        <v>-1.387769360393543</v>
      </c>
      <c r="P1283" s="1">
        <f t="shared" ref="P1283:P1346" si="128">O1283*$B$13+P1282</f>
        <v>4.4992180418974836</v>
      </c>
      <c r="R1283" s="3">
        <f t="shared" si="123"/>
        <v>-0.31734018375361123</v>
      </c>
      <c r="S1283" s="3">
        <f t="shared" si="124"/>
        <v>-1.466047478008548</v>
      </c>
    </row>
    <row r="1284" spans="6:19" x14ac:dyDescent="0.2">
      <c r="F1284" s="3"/>
      <c r="G1284" s="3"/>
      <c r="H1284" s="3"/>
      <c r="M1284" s="1">
        <f t="shared" si="125"/>
        <v>38.460000000000697</v>
      </c>
      <c r="N1284" s="1">
        <f t="shared" si="126"/>
        <v>3.2983010799715315</v>
      </c>
      <c r="O1284" s="1">
        <f t="shared" si="127"/>
        <v>-1.2888203279943971</v>
      </c>
      <c r="P1284" s="1">
        <f t="shared" si="128"/>
        <v>4.4605534320576519</v>
      </c>
      <c r="R1284" s="3">
        <f t="shared" si="123"/>
        <v>-0.37377304057394828</v>
      </c>
      <c r="S1284" s="3">
        <f t="shared" si="124"/>
        <v>-1.4526850016917314</v>
      </c>
    </row>
    <row r="1285" spans="6:19" x14ac:dyDescent="0.2">
      <c r="F1285" s="3"/>
      <c r="G1285" s="3"/>
      <c r="H1285" s="3"/>
      <c r="M1285" s="1">
        <f t="shared" si="125"/>
        <v>38.490000000000698</v>
      </c>
      <c r="N1285" s="1">
        <f t="shared" si="126"/>
        <v>3.8537242352589782</v>
      </c>
      <c r="O1285" s="1">
        <f t="shared" si="127"/>
        <v>-1.1732086009366278</v>
      </c>
      <c r="P1285" s="1">
        <f t="shared" si="128"/>
        <v>4.4253571740295534</v>
      </c>
      <c r="R1285" s="3">
        <f t="shared" si="123"/>
        <v>-0.42466007438440007</v>
      </c>
      <c r="S1285" s="3">
        <f t="shared" si="124"/>
        <v>-1.4386326220490886</v>
      </c>
    </row>
    <row r="1286" spans="6:19" x14ac:dyDescent="0.2">
      <c r="F1286" s="3"/>
      <c r="G1286" s="3"/>
      <c r="H1286" s="3"/>
      <c r="M1286" s="1">
        <f t="shared" si="125"/>
        <v>38.520000000000699</v>
      </c>
      <c r="N1286" s="1">
        <f t="shared" si="126"/>
        <v>4.3521895179282968</v>
      </c>
      <c r="O1286" s="1">
        <f t="shared" si="127"/>
        <v>-1.0426429153987788</v>
      </c>
      <c r="P1286" s="1">
        <f t="shared" si="128"/>
        <v>4.3940778865675902</v>
      </c>
      <c r="R1286" s="3">
        <f t="shared" si="123"/>
        <v>-0.46944441476440801</v>
      </c>
      <c r="S1286" s="3">
        <f t="shared" si="124"/>
        <v>-1.424648006156785</v>
      </c>
    </row>
    <row r="1287" spans="6:19" x14ac:dyDescent="0.2">
      <c r="F1287" s="3"/>
      <c r="G1287" s="3"/>
      <c r="H1287" s="3"/>
      <c r="M1287" s="1">
        <f t="shared" si="125"/>
        <v>38.550000000000701</v>
      </c>
      <c r="N1287" s="1">
        <f t="shared" si="126"/>
        <v>4.7882820100299703</v>
      </c>
      <c r="O1287" s="1">
        <f t="shared" si="127"/>
        <v>-0.89899445509787967</v>
      </c>
      <c r="P1287" s="1">
        <f t="shared" si="128"/>
        <v>4.367108052914654</v>
      </c>
      <c r="R1287" s="3">
        <f t="shared" si="123"/>
        <v>-0.50769155676756827</v>
      </c>
      <c r="S1287" s="3">
        <f t="shared" si="124"/>
        <v>-1.4114706101038459</v>
      </c>
    </row>
    <row r="1288" spans="6:19" x14ac:dyDescent="0.2">
      <c r="F1288" s="3"/>
      <c r="G1288" s="3"/>
      <c r="H1288" s="3"/>
      <c r="M1288" s="1">
        <f t="shared" si="125"/>
        <v>38.580000000000702</v>
      </c>
      <c r="N1288" s="1">
        <f t="shared" si="126"/>
        <v>5.1578250686344909</v>
      </c>
      <c r="O1288" s="1">
        <f t="shared" si="127"/>
        <v>-0.74425970303884492</v>
      </c>
      <c r="P1288" s="1">
        <f t="shared" si="128"/>
        <v>4.3447802618234883</v>
      </c>
      <c r="R1288" s="3">
        <f t="shared" si="123"/>
        <v>-0.5390774146713454</v>
      </c>
      <c r="S1288" s="3">
        <f t="shared" si="124"/>
        <v>-1.3997841051359521</v>
      </c>
    </row>
    <row r="1289" spans="6:19" x14ac:dyDescent="0.2">
      <c r="F1289" s="3"/>
      <c r="G1289" s="3"/>
      <c r="H1289" s="3"/>
      <c r="M1289" s="1">
        <f t="shared" si="125"/>
        <v>38.610000000000703</v>
      </c>
      <c r="N1289" s="1">
        <f t="shared" si="126"/>
        <v>5.4577575199869495</v>
      </c>
      <c r="O1289" s="1">
        <f t="shared" si="127"/>
        <v>-0.58052697743923642</v>
      </c>
      <c r="P1289" s="1">
        <f t="shared" si="128"/>
        <v>4.3273644525003112</v>
      </c>
      <c r="R1289" s="3">
        <f t="shared" si="123"/>
        <v>-0.56337280355898967</v>
      </c>
      <c r="S1289" s="3">
        <f t="shared" si="124"/>
        <v>-1.3901838310849699</v>
      </c>
    </row>
    <row r="1290" spans="6:19" x14ac:dyDescent="0.2">
      <c r="F1290" s="3"/>
      <c r="G1290" s="3"/>
      <c r="H1290" s="3"/>
      <c r="M1290" s="1">
        <f t="shared" si="125"/>
        <v>38.640000000000704</v>
      </c>
      <c r="N1290" s="1">
        <f t="shared" si="126"/>
        <v>5.6859754635594282</v>
      </c>
      <c r="O1290" s="1">
        <f t="shared" si="127"/>
        <v>-0.40994771353245357</v>
      </c>
      <c r="P1290" s="1">
        <f t="shared" si="128"/>
        <v>4.3150660210943377</v>
      </c>
      <c r="R1290" s="3">
        <f t="shared" si="123"/>
        <v>-0.58042684812774481</v>
      </c>
      <c r="S1290" s="3">
        <f t="shared" si="124"/>
        <v>-1.3831502716525388</v>
      </c>
    </row>
    <row r="1291" spans="6:19" x14ac:dyDescent="0.2">
      <c r="F1291" s="3"/>
      <c r="G1291" s="3"/>
      <c r="H1291" s="3"/>
      <c r="M1291" s="1">
        <f t="shared" si="125"/>
        <v>38.670000000000705</v>
      </c>
      <c r="N1291" s="1">
        <f t="shared" si="126"/>
        <v>5.8411637754953691</v>
      </c>
      <c r="O1291" s="1">
        <f t="shared" si="127"/>
        <v>-0.2347128002675925</v>
      </c>
      <c r="P1291" s="1">
        <f t="shared" si="128"/>
        <v>4.3080246370863096</v>
      </c>
      <c r="R1291" s="3">
        <f t="shared" si="123"/>
        <v>-0.59015167081259068</v>
      </c>
      <c r="S1291" s="3">
        <f t="shared" si="124"/>
        <v>-1.3790290081927601</v>
      </c>
    </row>
    <row r="1292" spans="6:19" x14ac:dyDescent="0.2">
      <c r="F1292" s="3"/>
      <c r="G1292" s="3"/>
      <c r="H1292" s="3"/>
      <c r="M1292" s="1">
        <f t="shared" si="125"/>
        <v>38.700000000000706</v>
      </c>
      <c r="N1292" s="1">
        <f t="shared" si="126"/>
        <v>5.9226408601499907</v>
      </c>
      <c r="O1292" s="1">
        <f t="shared" si="127"/>
        <v>-5.703357446309279E-2</v>
      </c>
      <c r="P1292" s="1">
        <f t="shared" si="128"/>
        <v>4.3063136298524167</v>
      </c>
      <c r="R1292" s="3">
        <f t="shared" si="123"/>
        <v>-0.59251033442228707</v>
      </c>
      <c r="S1292" s="3">
        <f t="shared" si="124"/>
        <v>-1.3780172363228225</v>
      </c>
    </row>
    <row r="1293" spans="6:19" x14ac:dyDescent="0.2">
      <c r="F1293" s="3"/>
      <c r="G1293" s="3"/>
      <c r="H1293" s="3"/>
      <c r="M1293" s="1">
        <f t="shared" si="125"/>
        <v>38.730000000000707</v>
      </c>
      <c r="N1293" s="1">
        <f t="shared" si="126"/>
        <v>5.9302363659245492</v>
      </c>
      <c r="O1293" s="1">
        <f t="shared" si="127"/>
        <v>0.12087351651464368</v>
      </c>
      <c r="P1293" s="1">
        <f t="shared" si="128"/>
        <v>4.3099398353478557</v>
      </c>
      <c r="R1293" s="3">
        <f t="shared" si="123"/>
        <v>-0.58750947613484739</v>
      </c>
      <c r="S1293" s="3">
        <f t="shared" si="124"/>
        <v>-1.3801567358281295</v>
      </c>
    </row>
    <row r="1294" spans="6:19" x14ac:dyDescent="0.2">
      <c r="F1294" s="3"/>
      <c r="G1294" s="3"/>
      <c r="H1294" s="3"/>
      <c r="M1294" s="1">
        <f t="shared" si="125"/>
        <v>38.760000000000709</v>
      </c>
      <c r="N1294" s="1">
        <f t="shared" si="126"/>
        <v>5.8642161448621559</v>
      </c>
      <c r="O1294" s="1">
        <f t="shared" si="127"/>
        <v>0.29680000086050834</v>
      </c>
      <c r="P1294" s="1">
        <f t="shared" si="128"/>
        <v>4.3188438353736709</v>
      </c>
      <c r="R1294" s="3">
        <f t="shared" si="123"/>
        <v>-0.57519743382368227</v>
      </c>
      <c r="S1294" s="3">
        <f t="shared" si="124"/>
        <v>-1.3853331412056273</v>
      </c>
    </row>
    <row r="1295" spans="6:19" x14ac:dyDescent="0.2">
      <c r="F1295" s="3"/>
      <c r="G1295" s="3"/>
      <c r="H1295" s="3"/>
      <c r="M1295" s="1">
        <f t="shared" si="125"/>
        <v>38.79000000000071</v>
      </c>
      <c r="N1295" s="1">
        <f t="shared" si="126"/>
        <v>5.7252623381593768</v>
      </c>
      <c r="O1295" s="1">
        <f t="shared" si="127"/>
        <v>0.46855787100528967</v>
      </c>
      <c r="P1295" s="1">
        <f t="shared" si="128"/>
        <v>4.3329005715038296</v>
      </c>
      <c r="R1295" s="3">
        <f t="shared" si="123"/>
        <v>-0.55566798647073024</v>
      </c>
      <c r="S1295" s="3">
        <f t="shared" si="124"/>
        <v>-1.393281410488048</v>
      </c>
    </row>
    <row r="1296" spans="6:19" x14ac:dyDescent="0.2">
      <c r="F1296" s="3"/>
      <c r="G1296" s="3"/>
      <c r="H1296" s="3"/>
      <c r="M1296" s="1">
        <f t="shared" si="125"/>
        <v>38.820000000000711</v>
      </c>
      <c r="N1296" s="1">
        <f t="shared" si="126"/>
        <v>5.5145096563168261</v>
      </c>
      <c r="O1296" s="1">
        <f t="shared" si="127"/>
        <v>0.63399316069479439</v>
      </c>
      <c r="P1296" s="1">
        <f t="shared" si="128"/>
        <v>4.3519203663246735</v>
      </c>
      <c r="R1296" s="3">
        <f t="shared" si="123"/>
        <v>-0.52906915348467032</v>
      </c>
      <c r="S1296" s="3">
        <f t="shared" si="124"/>
        <v>-1.4035974603963255</v>
      </c>
    </row>
    <row r="1297" spans="6:19" x14ac:dyDescent="0.2">
      <c r="F1297" s="3"/>
      <c r="G1297" s="3"/>
      <c r="H1297" s="3"/>
      <c r="M1297" s="1">
        <f t="shared" si="125"/>
        <v>38.850000000000712</v>
      </c>
      <c r="N1297" s="1">
        <f t="shared" si="126"/>
        <v>5.233632150384171</v>
      </c>
      <c r="O1297" s="1">
        <f t="shared" si="127"/>
        <v>0.79100212520631952</v>
      </c>
      <c r="P1297" s="1">
        <f t="shared" si="128"/>
        <v>4.3756504300808627</v>
      </c>
      <c r="R1297" s="3">
        <f t="shared" si="123"/>
        <v>-0.49561586552377268</v>
      </c>
      <c r="S1297" s="3">
        <f t="shared" si="124"/>
        <v>-1.4157559513705467</v>
      </c>
    </row>
    <row r="1298" spans="6:19" x14ac:dyDescent="0.2">
      <c r="F1298" s="3"/>
      <c r="G1298" s="3"/>
      <c r="H1298" s="3"/>
      <c r="M1298" s="1">
        <f t="shared" si="125"/>
        <v>38.880000000000713</v>
      </c>
      <c r="N1298" s="1">
        <f t="shared" si="126"/>
        <v>4.8849684639691588</v>
      </c>
      <c r="O1298" s="1">
        <f t="shared" si="127"/>
        <v>0.93755117912539432</v>
      </c>
      <c r="P1298" s="1">
        <f t="shared" si="128"/>
        <v>4.4037769654546244</v>
      </c>
      <c r="R1298" s="3">
        <f t="shared" si="123"/>
        <v>-0.45560477736478067</v>
      </c>
      <c r="S1298" s="3">
        <f t="shared" si="124"/>
        <v>-1.4291341038693286</v>
      </c>
    </row>
    <row r="1299" spans="6:19" x14ac:dyDescent="0.2">
      <c r="F1299" s="3"/>
      <c r="G1299" s="3"/>
      <c r="H1299" s="3"/>
      <c r="M1299" s="1">
        <f t="shared" si="125"/>
        <v>38.910000000000714</v>
      </c>
      <c r="N1299" s="1">
        <f t="shared" si="126"/>
        <v>4.4716681675265209</v>
      </c>
      <c r="O1299" s="1">
        <f t="shared" si="127"/>
        <v>1.0717012241511898</v>
      </c>
      <c r="P1299" s="1">
        <f t="shared" si="128"/>
        <v>4.4359280021791605</v>
      </c>
      <c r="R1299" s="3">
        <f t="shared" si="123"/>
        <v>-0.40942909333721189</v>
      </c>
      <c r="S1299" s="3">
        <f t="shared" si="124"/>
        <v>-1.443041169727693</v>
      </c>
    </row>
    <row r="1300" spans="6:19" x14ac:dyDescent="0.2">
      <c r="F1300" s="3"/>
      <c r="G1300" s="3"/>
      <c r="H1300" s="3"/>
      <c r="M1300" s="1">
        <f t="shared" si="125"/>
        <v>38.940000000000715</v>
      </c>
      <c r="N1300" s="1">
        <f t="shared" si="126"/>
        <v>3.9978378231985121</v>
      </c>
      <c r="O1300" s="1">
        <f t="shared" si="127"/>
        <v>1.1916363588471452</v>
      </c>
      <c r="P1300" s="1">
        <f t="shared" si="128"/>
        <v>4.4716770929445753</v>
      </c>
      <c r="R1300" s="3">
        <f t="shared" si="123"/>
        <v>-0.35759107416183555</v>
      </c>
      <c r="S1300" s="3">
        <f t="shared" si="124"/>
        <v>-1.456752766834436</v>
      </c>
    </row>
    <row r="1301" spans="6:19" x14ac:dyDescent="0.2">
      <c r="F1301" s="3"/>
      <c r="G1301" s="3"/>
      <c r="H1301" s="3"/>
      <c r="M1301" s="1">
        <f t="shared" si="125"/>
        <v>38.970000000000717</v>
      </c>
      <c r="N1301" s="1">
        <f t="shared" si="126"/>
        <v>3.4686634693221126</v>
      </c>
      <c r="O1301" s="1">
        <f t="shared" si="127"/>
        <v>1.2956962629268087</v>
      </c>
      <c r="P1301" s="1">
        <f t="shared" si="128"/>
        <v>4.5105479808323796</v>
      </c>
      <c r="R1301" s="3">
        <f t="shared" si="123"/>
        <v>-0.30070994285107816</v>
      </c>
      <c r="S1301" s="3">
        <f t="shared" si="124"/>
        <v>-1.4695487505593345</v>
      </c>
    </row>
    <row r="1302" spans="6:19" x14ac:dyDescent="0.2">
      <c r="F1302" s="3"/>
      <c r="G1302" s="3"/>
      <c r="H1302" s="3"/>
      <c r="M1302" s="1">
        <f t="shared" si="125"/>
        <v>39.000000000000718</v>
      </c>
      <c r="N1302" s="1">
        <f t="shared" si="126"/>
        <v>2.8904867648473691</v>
      </c>
      <c r="O1302" s="1">
        <f t="shared" si="127"/>
        <v>1.3824108658722298</v>
      </c>
      <c r="P1302" s="1">
        <f t="shared" si="128"/>
        <v>4.5520203068085463</v>
      </c>
      <c r="R1302" s="3">
        <f t="shared" si="123"/>
        <v>-0.23952324058762189</v>
      </c>
      <c r="S1302" s="3">
        <f t="shared" si="124"/>
        <v>-1.4807527198078698</v>
      </c>
    </row>
    <row r="1303" spans="6:19" x14ac:dyDescent="0.2">
      <c r="F1303" s="3"/>
      <c r="G1303" s="3"/>
      <c r="H1303" s="3"/>
      <c r="M1303" s="1">
        <f t="shared" si="125"/>
        <v>39.030000000000719</v>
      </c>
      <c r="N1303" s="1">
        <f t="shared" si="126"/>
        <v>2.2708154279477184</v>
      </c>
      <c r="O1303" s="1">
        <f t="shared" si="127"/>
        <v>1.4505353287106613</v>
      </c>
      <c r="P1303" s="1">
        <f t="shared" si="128"/>
        <v>4.5955363666698661</v>
      </c>
      <c r="R1303" s="3">
        <f t="shared" si="123"/>
        <v>-0.17488030084067968</v>
      </c>
      <c r="S1303" s="3">
        <f t="shared" si="124"/>
        <v>-1.4897707475910089</v>
      </c>
    </row>
    <row r="1304" spans="6:19" x14ac:dyDescent="0.2">
      <c r="F1304" s="3"/>
      <c r="G1304" s="3"/>
      <c r="H1304" s="3"/>
      <c r="M1304" s="1">
        <f t="shared" si="125"/>
        <v>39.06000000000072</v>
      </c>
      <c r="N1304" s="1">
        <f t="shared" si="126"/>
        <v>1.6182548288228373</v>
      </c>
      <c r="O1304" s="1">
        <f t="shared" si="127"/>
        <v>1.4990829735753464</v>
      </c>
      <c r="P1304" s="1">
        <f t="shared" si="128"/>
        <v>4.6405088558771261</v>
      </c>
      <c r="R1304" s="3">
        <f t="shared" si="123"/>
        <v>-0.10772736404454808</v>
      </c>
      <c r="S1304" s="3">
        <f t="shared" si="124"/>
        <v>-1.4961266039463417</v>
      </c>
    </row>
    <row r="1305" spans="6:19" x14ac:dyDescent="0.2">
      <c r="F1305" s="3"/>
      <c r="G1305" s="3"/>
      <c r="H1305" s="3"/>
      <c r="M1305" s="1">
        <f t="shared" si="125"/>
        <v>39.090000000000721</v>
      </c>
      <c r="N1305" s="1">
        <f t="shared" si="126"/>
        <v>0.94235617282369966</v>
      </c>
      <c r="O1305" s="1">
        <f t="shared" si="127"/>
        <v>1.5273536587600574</v>
      </c>
      <c r="P1305" s="1">
        <f t="shared" si="128"/>
        <v>4.6863294656399281</v>
      </c>
      <c r="R1305" s="3">
        <f t="shared" si="123"/>
        <v>-3.9084848024267566E-2</v>
      </c>
      <c r="S1305" s="3">
        <f t="shared" si="124"/>
        <v>-1.4994907050912052</v>
      </c>
    </row>
    <row r="1306" spans="6:19" x14ac:dyDescent="0.2">
      <c r="F1306" s="3"/>
      <c r="G1306" s="3"/>
      <c r="H1306" s="3"/>
      <c r="M1306" s="1">
        <f t="shared" si="125"/>
        <v>39.120000000000722</v>
      </c>
      <c r="N1306" s="1">
        <f t="shared" si="126"/>
        <v>0.25338665095427043</v>
      </c>
      <c r="O1306" s="1">
        <f t="shared" si="127"/>
        <v>1.5349552582886854</v>
      </c>
      <c r="P1306" s="1">
        <f t="shared" si="128"/>
        <v>4.7323781233885889</v>
      </c>
      <c r="R1306" s="3">
        <f t="shared" si="123"/>
        <v>2.9981717801070729E-2</v>
      </c>
      <c r="S1306" s="3">
        <f t="shared" si="124"/>
        <v>-1.4997003355996481</v>
      </c>
    </row>
    <row r="1307" spans="6:19" x14ac:dyDescent="0.2">
      <c r="F1307" s="3"/>
      <c r="G1307" s="3"/>
      <c r="H1307" s="3"/>
      <c r="M1307" s="1">
        <f t="shared" si="125"/>
        <v>39.150000000000723</v>
      </c>
      <c r="N1307" s="1">
        <f t="shared" si="126"/>
        <v>-0.43796315125668894</v>
      </c>
      <c r="O1307" s="1">
        <f t="shared" si="127"/>
        <v>1.5218163637509847</v>
      </c>
      <c r="P1307" s="1">
        <f t="shared" si="128"/>
        <v>4.778032614301118</v>
      </c>
      <c r="R1307" s="3">
        <f t="shared" si="123"/>
        <v>9.8394750082122145E-2</v>
      </c>
      <c r="S1307" s="3">
        <f t="shared" si="124"/>
        <v>-1.496769345342253</v>
      </c>
    </row>
    <row r="1308" spans="6:19" x14ac:dyDescent="0.2">
      <c r="F1308" s="3"/>
      <c r="G1308" s="3"/>
      <c r="H1308" s="3"/>
      <c r="M1308" s="1">
        <f t="shared" si="125"/>
        <v>39.180000000000724</v>
      </c>
      <c r="N1308" s="1">
        <f t="shared" si="126"/>
        <v>-1.1209109735588101</v>
      </c>
      <c r="O1308" s="1">
        <f t="shared" si="127"/>
        <v>1.4881890345442204</v>
      </c>
      <c r="P1308" s="1">
        <f t="shared" si="128"/>
        <v>4.822678285337445</v>
      </c>
      <c r="R1308" s="3">
        <f t="shared" si="123"/>
        <v>0.16509877899157033</v>
      </c>
      <c r="S1308" s="3">
        <f t="shared" si="124"/>
        <v>-1.4908864454328816</v>
      </c>
    </row>
    <row r="1309" spans="6:19" x14ac:dyDescent="0.2">
      <c r="F1309" s="3"/>
      <c r="G1309" s="3"/>
      <c r="H1309" s="3"/>
      <c r="M1309" s="1">
        <f t="shared" si="125"/>
        <v>39.210000000000726</v>
      </c>
      <c r="N1309" s="1">
        <f t="shared" si="126"/>
        <v>-1.7849248030246829</v>
      </c>
      <c r="O1309" s="1">
        <f t="shared" si="127"/>
        <v>1.4346412904534798</v>
      </c>
      <c r="P1309" s="1">
        <f t="shared" si="128"/>
        <v>4.8657175240510497</v>
      </c>
      <c r="R1309" s="3">
        <f t="shared" si="123"/>
        <v>0.22909269941754001</v>
      </c>
      <c r="S1309" s="3">
        <f t="shared" si="124"/>
        <v>-1.4824022851687677</v>
      </c>
    </row>
    <row r="1310" spans="6:19" x14ac:dyDescent="0.2">
      <c r="F1310" s="3"/>
      <c r="G1310" s="3"/>
      <c r="H1310" s="3"/>
      <c r="M1310" s="1">
        <f t="shared" si="125"/>
        <v>39.240000000000727</v>
      </c>
      <c r="N1310" s="1">
        <f t="shared" si="126"/>
        <v>-2.4200447103162133</v>
      </c>
      <c r="O1310" s="1">
        <f t="shared" si="127"/>
        <v>1.3620399491439934</v>
      </c>
      <c r="P1310" s="1">
        <f t="shared" si="128"/>
        <v>4.9065787225253699</v>
      </c>
      <c r="R1310" s="3">
        <f t="shared" si="123"/>
        <v>0.28945735478879048</v>
      </c>
      <c r="S1310" s="3">
        <f t="shared" si="124"/>
        <v>-1.4718065225289214</v>
      </c>
    </row>
    <row r="1311" spans="6:19" x14ac:dyDescent="0.2">
      <c r="F1311" s="3"/>
      <c r="G1311" s="3"/>
      <c r="H1311" s="3"/>
      <c r="M1311" s="1">
        <f t="shared" si="125"/>
        <v>39.270000000000728</v>
      </c>
      <c r="N1311" s="1">
        <f t="shared" si="126"/>
        <v>-3.0171571433108642</v>
      </c>
      <c r="O1311" s="1">
        <f t="shared" si="127"/>
        <v>1.2715252348446675</v>
      </c>
      <c r="P1311" s="1">
        <f t="shared" si="128"/>
        <v>4.9447244795707102</v>
      </c>
      <c r="R1311" s="3">
        <f t="shared" si="123"/>
        <v>0.34537634517457833</v>
      </c>
      <c r="S1311" s="3">
        <f t="shared" si="124"/>
        <v>-1.4596969480662245</v>
      </c>
    </row>
    <row r="1312" spans="6:19" x14ac:dyDescent="0.2">
      <c r="F1312" s="3"/>
      <c r="G1312" s="3"/>
      <c r="H1312" s="3"/>
      <c r="M1312" s="1">
        <f t="shared" si="125"/>
        <v>39.300000000000729</v>
      </c>
      <c r="N1312" s="1">
        <f t="shared" si="126"/>
        <v>-3.5682007228818033</v>
      </c>
      <c r="O1312" s="1">
        <f t="shared" si="127"/>
        <v>1.1644792131582133</v>
      </c>
      <c r="P1312" s="1">
        <f t="shared" si="128"/>
        <v>4.9796588559654564</v>
      </c>
      <c r="R1312" s="3">
        <f t="shared" si="123"/>
        <v>0.39614884717114474</v>
      </c>
      <c r="S1312" s="3">
        <f t="shared" si="124"/>
        <v>-1.4467432705511276</v>
      </c>
    </row>
    <row r="1313" spans="6:19" x14ac:dyDescent="0.2">
      <c r="F1313" s="3"/>
      <c r="G1313" s="3"/>
      <c r="H1313" s="3"/>
      <c r="M1313" s="1">
        <f t="shared" si="125"/>
        <v>39.33000000000073</v>
      </c>
      <c r="N1313" s="1">
        <f t="shared" si="126"/>
        <v>-4.0662916008956858</v>
      </c>
      <c r="O1313" s="1">
        <f t="shared" si="127"/>
        <v>1.0424904651313427</v>
      </c>
      <c r="P1313" s="1">
        <f t="shared" si="128"/>
        <v>5.0109335699193966</v>
      </c>
      <c r="R1313" s="3">
        <f t="shared" si="123"/>
        <v>0.44119423115963863</v>
      </c>
      <c r="S1313" s="3">
        <f t="shared" si="124"/>
        <v>-1.4336483705537615</v>
      </c>
    </row>
    <row r="1314" spans="6:19" x14ac:dyDescent="0.2">
      <c r="F1314" s="3"/>
      <c r="G1314" s="3"/>
      <c r="H1314" s="3"/>
      <c r="M1314" s="1">
        <f t="shared" si="125"/>
        <v>39.360000000000731</v>
      </c>
      <c r="N1314" s="1">
        <f t="shared" si="126"/>
        <v>-4.5057664534582065</v>
      </c>
      <c r="O1314" s="1">
        <f t="shared" si="127"/>
        <v>0.90731747152759645</v>
      </c>
      <c r="P1314" s="1">
        <f t="shared" si="128"/>
        <v>5.0381530940652244</v>
      </c>
      <c r="R1314" s="3">
        <f t="shared" si="123"/>
        <v>0.48004920818039665</v>
      </c>
      <c r="S1314" s="3">
        <f t="shared" si="124"/>
        <v>-1.4211096923620548</v>
      </c>
    </row>
    <row r="1315" spans="6:19" x14ac:dyDescent="0.2">
      <c r="F1315" s="3"/>
      <c r="G1315" s="3"/>
      <c r="H1315" s="3"/>
      <c r="M1315" s="1">
        <f t="shared" si="125"/>
        <v>39.390000000000732</v>
      </c>
      <c r="N1315" s="1">
        <f t="shared" si="126"/>
        <v>-4.8821506542414506</v>
      </c>
      <c r="O1315" s="1">
        <f t="shared" si="127"/>
        <v>0.76085295190035296</v>
      </c>
      <c r="P1315" s="1">
        <f t="shared" si="128"/>
        <v>5.0609786826222347</v>
      </c>
      <c r="R1315" s="3">
        <f t="shared" si="123"/>
        <v>0.51235900748711916</v>
      </c>
      <c r="S1315" s="3">
        <f t="shared" si="124"/>
        <v>-1.4097830497799348</v>
      </c>
    </row>
    <row r="1316" spans="6:19" x14ac:dyDescent="0.2">
      <c r="F1316" s="3"/>
      <c r="G1316" s="3"/>
      <c r="H1316" s="3"/>
      <c r="M1316" s="1">
        <f t="shared" si="125"/>
        <v>39.420000000000734</v>
      </c>
      <c r="N1316" s="1">
        <f t="shared" si="126"/>
        <v>-5.192066840542223</v>
      </c>
      <c r="O1316" s="1">
        <f t="shared" si="127"/>
        <v>0.60509094668408625</v>
      </c>
      <c r="P1316" s="1">
        <f t="shared" si="128"/>
        <v>5.0791314110227574</v>
      </c>
      <c r="R1316" s="3">
        <f t="shared" si="123"/>
        <v>0.53786459648114526</v>
      </c>
      <c r="S1316" s="3">
        <f t="shared" si="124"/>
        <v>-1.4002505760942128</v>
      </c>
    </row>
    <row r="1317" spans="6:19" x14ac:dyDescent="0.2">
      <c r="F1317" s="3"/>
      <c r="G1317" s="3"/>
      <c r="H1317" s="3"/>
      <c r="M1317" s="1">
        <f t="shared" si="125"/>
        <v>39.450000000000735</v>
      </c>
      <c r="N1317" s="1">
        <f t="shared" si="126"/>
        <v>-5.4331041500130208</v>
      </c>
      <c r="O1317" s="1">
        <f t="shared" si="127"/>
        <v>0.44209782218369564</v>
      </c>
      <c r="P1317" s="1">
        <f t="shared" si="128"/>
        <v>5.0923943456882679</v>
      </c>
      <c r="R1317" s="3">
        <f t="shared" si="123"/>
        <v>0.55638817796300388</v>
      </c>
      <c r="S1317" s="3">
        <f t="shared" si="124"/>
        <v>-1.3929939681933332</v>
      </c>
    </row>
    <row r="1318" spans="6:19" x14ac:dyDescent="0.2">
      <c r="F1318" s="3"/>
      <c r="G1318" s="3"/>
      <c r="H1318" s="3"/>
      <c r="M1318" s="1">
        <f t="shared" si="125"/>
        <v>39.480000000000736</v>
      </c>
      <c r="N1318" s="1">
        <f t="shared" si="126"/>
        <v>-5.6036705836265712</v>
      </c>
      <c r="O1318" s="1">
        <f t="shared" si="127"/>
        <v>0.27398770467489852</v>
      </c>
      <c r="P1318" s="1">
        <f t="shared" si="128"/>
        <v>5.100613976828515</v>
      </c>
      <c r="R1318" s="3">
        <f t="shared" si="123"/>
        <v>0.56781915029557017</v>
      </c>
      <c r="S1318" s="3">
        <f t="shared" si="124"/>
        <v>-1.3883736573983305</v>
      </c>
    </row>
    <row r="1319" spans="6:19" x14ac:dyDescent="0.2">
      <c r="F1319" s="3"/>
      <c r="G1319" s="3"/>
      <c r="H1319" s="3"/>
      <c r="M1319" s="1">
        <f t="shared" si="125"/>
        <v>39.510000000000737</v>
      </c>
      <c r="N1319" s="1">
        <f t="shared" si="126"/>
        <v>-5.7028503963764416</v>
      </c>
      <c r="O1319" s="1">
        <f t="shared" si="127"/>
        <v>0.1029021927836053</v>
      </c>
      <c r="P1319" s="1">
        <f t="shared" si="128"/>
        <v>5.1037010426120233</v>
      </c>
      <c r="R1319" s="3">
        <f t="shared" si="123"/>
        <v>0.57210243865142407</v>
      </c>
      <c r="S1319" s="3">
        <f t="shared" si="124"/>
        <v>-1.3866141495344311</v>
      </c>
    </row>
    <row r="1320" spans="6:19" x14ac:dyDescent="0.2">
      <c r="F1320" s="3"/>
      <c r="G1320" s="3"/>
      <c r="H1320" s="3"/>
      <c r="M1320" s="1">
        <f t="shared" si="125"/>
        <v>39.540000000000738</v>
      </c>
      <c r="N1320" s="1">
        <f t="shared" si="126"/>
        <v>-5.7302855838647657</v>
      </c>
      <c r="O1320" s="1">
        <f t="shared" si="127"/>
        <v>-6.9006374732337672E-2</v>
      </c>
      <c r="P1320" s="1">
        <f t="shared" si="128"/>
        <v>5.1016308513700528</v>
      </c>
      <c r="R1320" s="3">
        <f t="shared" si="123"/>
        <v>0.56923065830653075</v>
      </c>
      <c r="S1320" s="3">
        <f t="shared" si="124"/>
        <v>-1.3877955388471004</v>
      </c>
    </row>
    <row r="1321" spans="6:19" x14ac:dyDescent="0.2">
      <c r="F1321" s="3"/>
      <c r="G1321" s="3"/>
      <c r="H1321" s="3"/>
      <c r="M1321" s="1">
        <f t="shared" si="125"/>
        <v>39.570000000000739</v>
      </c>
      <c r="N1321" s="1">
        <f t="shared" si="126"/>
        <v>-5.6860960093393969</v>
      </c>
      <c r="O1321" s="1">
        <f t="shared" si="127"/>
        <v>-0.23958925501251957</v>
      </c>
      <c r="P1321" s="1">
        <f t="shared" si="128"/>
        <v>5.0944431737196769</v>
      </c>
      <c r="R1321" s="3">
        <f t="shared" si="123"/>
        <v>0.55924101328202469</v>
      </c>
      <c r="S1321" s="3">
        <f t="shared" si="124"/>
        <v>-1.3918511016137087</v>
      </c>
    </row>
    <row r="1322" spans="6:19" x14ac:dyDescent="0.2">
      <c r="F1322" s="3"/>
      <c r="G1322" s="3"/>
      <c r="H1322" s="3"/>
      <c r="M1322" s="1">
        <f t="shared" si="125"/>
        <v>39.60000000000074</v>
      </c>
      <c r="N1322" s="1">
        <f t="shared" si="126"/>
        <v>-5.5708470998691197</v>
      </c>
      <c r="O1322" s="1">
        <f t="shared" si="127"/>
        <v>-0.40671466800859313</v>
      </c>
      <c r="P1322" s="1">
        <f t="shared" si="128"/>
        <v>5.0822417336794192</v>
      </c>
      <c r="R1322" s="3">
        <f t="shared" si="123"/>
        <v>0.54221721887307706</v>
      </c>
      <c r="S1322" s="3">
        <f t="shared" si="124"/>
        <v>-1.3985708732694047</v>
      </c>
    </row>
    <row r="1323" spans="6:19" x14ac:dyDescent="0.2">
      <c r="F1323" s="3"/>
      <c r="G1323" s="3"/>
      <c r="H1323" s="3"/>
      <c r="M1323" s="1">
        <f t="shared" si="125"/>
        <v>39.630000000000742</v>
      </c>
      <c r="N1323" s="1">
        <f t="shared" si="126"/>
        <v>-5.3855678686099973</v>
      </c>
      <c r="O1323" s="1">
        <f t="shared" si="127"/>
        <v>-0.56828170406689305</v>
      </c>
      <c r="P1323" s="1">
        <f t="shared" si="128"/>
        <v>5.0651932825574129</v>
      </c>
      <c r="R1323" s="3">
        <f t="shared" si="123"/>
        <v>0.51829611097514794</v>
      </c>
      <c r="S1323" s="3">
        <f t="shared" si="124"/>
        <v>-1.4076111470672705</v>
      </c>
    </row>
    <row r="1324" spans="6:19" x14ac:dyDescent="0.2">
      <c r="F1324" s="3"/>
      <c r="G1324" s="3"/>
      <c r="H1324" s="3"/>
      <c r="M1324" s="1">
        <f t="shared" si="125"/>
        <v>39.660000000000743</v>
      </c>
      <c r="N1324" s="1">
        <f t="shared" si="126"/>
        <v>-5.1318157563854596</v>
      </c>
      <c r="O1324" s="1">
        <f t="shared" si="127"/>
        <v>-0.72223617675845686</v>
      </c>
      <c r="P1324" s="1">
        <f t="shared" si="128"/>
        <v>5.0435261972546588</v>
      </c>
      <c r="R1324" s="3">
        <f t="shared" si="123"/>
        <v>0.48767801090919161</v>
      </c>
      <c r="S1324" s="3">
        <f t="shared" si="124"/>
        <v>-1.4185098370034852</v>
      </c>
    </row>
    <row r="1325" spans="6:19" x14ac:dyDescent="0.2">
      <c r="F1325" s="3"/>
      <c r="G1325" s="3"/>
      <c r="H1325" s="3"/>
      <c r="M1325" s="1">
        <f t="shared" si="125"/>
        <v>39.690000000000744</v>
      </c>
      <c r="N1325" s="1">
        <f t="shared" si="126"/>
        <v>-4.8117788531836547</v>
      </c>
      <c r="O1325" s="1">
        <f t="shared" si="127"/>
        <v>-0.86658954235396646</v>
      </c>
      <c r="P1325" s="1">
        <f t="shared" si="128"/>
        <v>5.0175285109840395</v>
      </c>
      <c r="R1325" s="3">
        <f t="shared" si="123"/>
        <v>0.45063939468395581</v>
      </c>
      <c r="S1325" s="3">
        <f t="shared" si="124"/>
        <v>-1.430707564794035</v>
      </c>
    </row>
    <row r="1326" spans="6:19" x14ac:dyDescent="0.2">
      <c r="F1326" s="3"/>
      <c r="G1326" s="3"/>
      <c r="H1326" s="3"/>
      <c r="M1326" s="1">
        <f t="shared" si="125"/>
        <v>39.720000000000745</v>
      </c>
      <c r="N1326" s="1">
        <f t="shared" si="126"/>
        <v>-4.428400888027701</v>
      </c>
      <c r="O1326" s="1">
        <f t="shared" si="127"/>
        <v>-0.99944156899479752</v>
      </c>
      <c r="P1326" s="1">
        <f t="shared" si="128"/>
        <v>4.9875452639141953</v>
      </c>
      <c r="R1326" s="3">
        <f t="shared" si="123"/>
        <v>0.40754601726909917</v>
      </c>
      <c r="S1326" s="3">
        <f t="shared" si="124"/>
        <v>-1.4435741213419195</v>
      </c>
    </row>
    <row r="1327" spans="6:19" x14ac:dyDescent="0.2">
      <c r="F1327" s="3"/>
      <c r="G1327" s="3"/>
      <c r="H1327" s="3"/>
      <c r="M1327" s="1">
        <f t="shared" si="125"/>
        <v>39.750000000000746</v>
      </c>
      <c r="N1327" s="1">
        <f t="shared" si="126"/>
        <v>-3.98551043148146</v>
      </c>
      <c r="O1327" s="1">
        <f t="shared" si="127"/>
        <v>-1.1190068819392414</v>
      </c>
      <c r="P1327" s="1">
        <f t="shared" si="128"/>
        <v>4.9539750574560184</v>
      </c>
      <c r="R1327" s="3">
        <f t="shared" si="123"/>
        <v>0.35886441552676052</v>
      </c>
      <c r="S1327" s="3">
        <f t="shared" si="124"/>
        <v>-1.4564396078343367</v>
      </c>
    </row>
    <row r="1328" spans="6:19" x14ac:dyDescent="0.2">
      <c r="F1328" s="3"/>
      <c r="G1328" s="3"/>
      <c r="H1328" s="3"/>
      <c r="M1328" s="1">
        <f t="shared" si="125"/>
        <v>39.780000000000747</v>
      </c>
      <c r="N1328" s="1">
        <f t="shared" si="126"/>
        <v>-3.4879335358930734</v>
      </c>
      <c r="O1328" s="1">
        <f t="shared" si="127"/>
        <v>-1.2236448880160335</v>
      </c>
      <c r="P1328" s="1">
        <f t="shared" si="128"/>
        <v>4.9172657108155375</v>
      </c>
      <c r="R1328" s="3">
        <f t="shared" si="123"/>
        <v>0.30516970489906081</v>
      </c>
      <c r="S1328" s="3">
        <f t="shared" si="124"/>
        <v>-1.4686291060753971</v>
      </c>
    </row>
    <row r="1329" spans="6:19" x14ac:dyDescent="0.2">
      <c r="F1329" s="3"/>
      <c r="G1329" s="3"/>
      <c r="H1329" s="3"/>
      <c r="M1329" s="1">
        <f t="shared" si="125"/>
        <v>39.810000000000748</v>
      </c>
      <c r="N1329" s="1">
        <f t="shared" si="126"/>
        <v>-2.9415690090691649</v>
      </c>
      <c r="O1329" s="1">
        <f t="shared" si="127"/>
        <v>-1.3118919582881086</v>
      </c>
      <c r="P1329" s="1">
        <f t="shared" si="128"/>
        <v>4.8779089520668943</v>
      </c>
      <c r="R1329" s="3">
        <f t="shared" si="123"/>
        <v>0.24714782756168868</v>
      </c>
      <c r="S1329" s="3">
        <f t="shared" si="124"/>
        <v>-1.4794992231601671</v>
      </c>
    </row>
    <row r="1330" spans="6:19" x14ac:dyDescent="0.2">
      <c r="F1330" s="3"/>
      <c r="G1330" s="3"/>
      <c r="H1330" s="3"/>
      <c r="M1330" s="1">
        <f t="shared" si="125"/>
        <v>39.840000000000749</v>
      </c>
      <c r="N1330" s="1">
        <f t="shared" si="126"/>
        <v>-2.3534079993709573</v>
      </c>
      <c r="O1330" s="1">
        <f t="shared" si="127"/>
        <v>-1.3824941982692374</v>
      </c>
      <c r="P1330" s="1">
        <f t="shared" si="128"/>
        <v>4.8364341261188173</v>
      </c>
      <c r="R1330" s="3">
        <f t="shared" si="123"/>
        <v>0.18559090877725237</v>
      </c>
      <c r="S1330" s="3">
        <f t="shared" si="124"/>
        <v>-1.4884743916437508</v>
      </c>
    </row>
    <row r="1331" spans="6:19" x14ac:dyDescent="0.2">
      <c r="F1331" s="3"/>
      <c r="G1331" s="3"/>
      <c r="H1331" s="3"/>
      <c r="M1331" s="1">
        <f t="shared" si="125"/>
        <v>39.870000000000751</v>
      </c>
      <c r="N1331" s="1">
        <f t="shared" si="126"/>
        <v>-1.7314846099282926</v>
      </c>
      <c r="O1331" s="1">
        <f t="shared" si="127"/>
        <v>-1.4344387365670861</v>
      </c>
      <c r="P1331" s="1">
        <f t="shared" si="128"/>
        <v>4.7934009640218047</v>
      </c>
      <c r="R1331" s="3">
        <f t="shared" si="123"/>
        <v>0.12138509983870593</v>
      </c>
      <c r="S1331" s="3">
        <f t="shared" si="124"/>
        <v>-1.4950804853041015</v>
      </c>
    </row>
    <row r="1332" spans="6:19" x14ac:dyDescent="0.2">
      <c r="F1332" s="3"/>
      <c r="G1332" s="3"/>
      <c r="H1332" s="3"/>
      <c r="M1332" s="1">
        <f t="shared" si="125"/>
        <v>39.900000000000752</v>
      </c>
      <c r="N1332" s="1">
        <f t="shared" si="126"/>
        <v>-1.0847515120960216</v>
      </c>
      <c r="O1332" s="1">
        <f t="shared" si="127"/>
        <v>-1.4669812819299668</v>
      </c>
      <c r="P1332" s="1">
        <f t="shared" si="128"/>
        <v>4.7493915255639054</v>
      </c>
      <c r="R1332" s="3">
        <f t="shared" si="123"/>
        <v>5.5491152772450189E-2</v>
      </c>
      <c r="S1332" s="3">
        <f t="shared" si="124"/>
        <v>-1.4989732258996438</v>
      </c>
    </row>
    <row r="1333" spans="6:19" x14ac:dyDescent="0.2">
      <c r="F1333" s="3"/>
      <c r="G1333" s="3"/>
      <c r="H1333" s="3"/>
      <c r="M1333" s="1">
        <f t="shared" si="125"/>
        <v>39.930000000000753</v>
      </c>
      <c r="N1333" s="1">
        <f t="shared" si="126"/>
        <v>-0.42288321235080495</v>
      </c>
      <c r="O1333" s="1">
        <f t="shared" si="127"/>
        <v>-1.479667778300491</v>
      </c>
      <c r="P1333" s="1">
        <f t="shared" si="128"/>
        <v>4.7050014922148904</v>
      </c>
      <c r="R1333" s="3">
        <f t="shared" si="123"/>
        <v>-1.1081131461966766E-2</v>
      </c>
      <c r="S1333" s="3">
        <f t="shared" si="124"/>
        <v>-1.4999590689500573</v>
      </c>
    </row>
    <row r="1334" spans="6:19" x14ac:dyDescent="0.2">
      <c r="F1334" s="3"/>
      <c r="G1334" s="3"/>
      <c r="H1334" s="3"/>
      <c r="M1334" s="1">
        <f t="shared" si="125"/>
        <v>39.960000000000754</v>
      </c>
      <c r="N1334" s="1">
        <f t="shared" si="126"/>
        <v>0.24398141466671186</v>
      </c>
      <c r="O1334" s="1">
        <f t="shared" si="127"/>
        <v>-1.4723483358604896</v>
      </c>
      <c r="P1334" s="1">
        <f t="shared" si="128"/>
        <v>4.6608310421390753</v>
      </c>
      <c r="R1334" s="3">
        <f t="shared" si="123"/>
        <v>-7.7302648823587505E-2</v>
      </c>
      <c r="S1334" s="3">
        <f t="shared" si="124"/>
        <v>-1.4980067758474449</v>
      </c>
    </row>
    <row r="1335" spans="6:19" x14ac:dyDescent="0.2">
      <c r="F1335" s="3"/>
      <c r="G1335" s="3"/>
      <c r="H1335" s="3"/>
      <c r="M1335" s="1">
        <f t="shared" si="125"/>
        <v>39.990000000000755</v>
      </c>
      <c r="N1335" s="1">
        <f t="shared" si="126"/>
        <v>0.90553783846331914</v>
      </c>
      <c r="O1335" s="1">
        <f t="shared" si="127"/>
        <v>-1.44518220070659</v>
      </c>
      <c r="P1335" s="1">
        <f t="shared" si="128"/>
        <v>4.6174755761178776</v>
      </c>
      <c r="R1335" s="3">
        <f t="shared" si="123"/>
        <v>-0.14215644452290005</v>
      </c>
      <c r="S1335" s="3">
        <f t="shared" si="124"/>
        <v>-1.4932486548731956</v>
      </c>
    </row>
    <row r="1336" spans="6:19" x14ac:dyDescent="0.2">
      <c r="F1336" s="3"/>
      <c r="G1336" s="3"/>
      <c r="H1336" s="3"/>
      <c r="M1336" s="1">
        <f t="shared" si="125"/>
        <v>40.020000000000756</v>
      </c>
      <c r="N1336" s="1">
        <f t="shared" si="126"/>
        <v>1.5516308432925934</v>
      </c>
      <c r="O1336" s="1">
        <f t="shared" si="127"/>
        <v>-1.3986332754078121</v>
      </c>
      <c r="P1336" s="1">
        <f t="shared" si="128"/>
        <v>4.5755165778556437</v>
      </c>
      <c r="R1336" s="3">
        <f t="shared" si="123"/>
        <v>-0.20466816022857875</v>
      </c>
      <c r="S1336" s="3">
        <f t="shared" si="124"/>
        <v>-1.4859713806761718</v>
      </c>
    </row>
    <row r="1337" spans="6:19" x14ac:dyDescent="0.2">
      <c r="F1337" s="3"/>
      <c r="G1337" s="3"/>
      <c r="H1337" s="3"/>
      <c r="M1337" s="1">
        <f t="shared" si="125"/>
        <v>40.050000000000757</v>
      </c>
      <c r="N1337" s="1">
        <f t="shared" si="126"/>
        <v>2.1725585970724905</v>
      </c>
      <c r="O1337" s="1">
        <f t="shared" si="127"/>
        <v>-1.3334565174956374</v>
      </c>
      <c r="P1337" s="1">
        <f t="shared" si="128"/>
        <v>4.5355128823307744</v>
      </c>
      <c r="R1337" s="3">
        <f t="shared" si="123"/>
        <v>-0.26393291046777212</v>
      </c>
      <c r="S1337" s="3">
        <f t="shared" si="124"/>
        <v>-1.4765972432494958</v>
      </c>
    </row>
    <row r="1338" spans="6:19" x14ac:dyDescent="0.2">
      <c r="F1338" s="3"/>
      <c r="G1338" s="3"/>
      <c r="H1338" s="3"/>
      <c r="M1338" s="1">
        <f t="shared" si="125"/>
        <v>40.080000000000759</v>
      </c>
      <c r="N1338" s="1">
        <f t="shared" si="126"/>
        <v>2.759340191252329</v>
      </c>
      <c r="O1338" s="1">
        <f t="shared" si="127"/>
        <v>-1.2506763117580675</v>
      </c>
      <c r="P1338" s="1">
        <f t="shared" si="128"/>
        <v>4.497992592978032</v>
      </c>
      <c r="R1338" s="3">
        <f t="shared" si="123"/>
        <v>-0.31913651132292109</v>
      </c>
      <c r="S1338" s="3">
        <f t="shared" si="124"/>
        <v>-1.465657493120625</v>
      </c>
    </row>
    <row r="1339" spans="6:19" x14ac:dyDescent="0.2">
      <c r="F1339" s="3"/>
      <c r="G1339" s="3"/>
      <c r="H1339" s="3"/>
      <c r="M1339" s="1">
        <f t="shared" si="125"/>
        <v>40.11000000000076</v>
      </c>
      <c r="N1339" s="1">
        <f t="shared" si="126"/>
        <v>3.3039259812874366</v>
      </c>
      <c r="O1339" s="1">
        <f t="shared" si="127"/>
        <v>-1.1515585323194444</v>
      </c>
      <c r="P1339" s="1">
        <f t="shared" si="128"/>
        <v>4.4634458370084484</v>
      </c>
      <c r="R1339" s="3">
        <f t="shared" si="123"/>
        <v>-0.36956972964901924</v>
      </c>
      <c r="S1339" s="3">
        <f t="shared" si="124"/>
        <v>-1.4537600265955695</v>
      </c>
    </row>
    <row r="1340" spans="6:19" x14ac:dyDescent="0.2">
      <c r="F1340" s="3"/>
      <c r="G1340" s="3"/>
      <c r="H1340" s="3"/>
      <c r="M1340" s="1">
        <f t="shared" si="125"/>
        <v>40.140000000000761</v>
      </c>
      <c r="N1340" s="1">
        <f t="shared" si="126"/>
        <v>3.7993375643989418</v>
      </c>
      <c r="O1340" s="1">
        <f t="shared" si="127"/>
        <v>-1.0375784053874761</v>
      </c>
      <c r="P1340" s="1">
        <f t="shared" si="128"/>
        <v>4.4323184848468244</v>
      </c>
      <c r="R1340" s="3">
        <f t="shared" si="123"/>
        <v>-0.41463509699611256</v>
      </c>
      <c r="S1340" s="3">
        <f t="shared" si="124"/>
        <v>-1.4415539311239882</v>
      </c>
    </row>
    <row r="1341" spans="6:19" x14ac:dyDescent="0.2">
      <c r="F1341" s="3"/>
      <c r="G1341" s="3"/>
      <c r="H1341" s="3"/>
      <c r="M1341" s="1">
        <f t="shared" si="125"/>
        <v>40.170000000000762</v>
      </c>
      <c r="N1341" s="1">
        <f t="shared" si="126"/>
        <v>4.2397330264459985</v>
      </c>
      <c r="O1341" s="1">
        <f t="shared" si="127"/>
        <v>-0.91038641459409619</v>
      </c>
      <c r="P1341" s="1">
        <f t="shared" si="128"/>
        <v>4.405006892409002</v>
      </c>
      <c r="R1341" s="3">
        <f t="shared" si="123"/>
        <v>-0.45384670265091331</v>
      </c>
      <c r="S1341" s="3">
        <f t="shared" si="124"/>
        <v>-1.4296933833843162</v>
      </c>
    </row>
    <row r="1342" spans="6:19" x14ac:dyDescent="0.2">
      <c r="F1342" s="3"/>
      <c r="G1342" s="3"/>
      <c r="H1342" s="3"/>
      <c r="M1342" s="1">
        <f t="shared" si="125"/>
        <v>40.200000000000763</v>
      </c>
      <c r="N1342" s="1">
        <f t="shared" si="126"/>
        <v>4.6204018038226007</v>
      </c>
      <c r="O1342" s="1">
        <f t="shared" si="127"/>
        <v>-0.77177436047941816</v>
      </c>
      <c r="P1342" s="1">
        <f t="shared" si="128"/>
        <v>4.3818536615946195</v>
      </c>
      <c r="R1342" s="3">
        <f t="shared" si="123"/>
        <v>-0.48682412427522564</v>
      </c>
      <c r="S1342" s="3">
        <f t="shared" si="124"/>
        <v>-1.4188031124943516</v>
      </c>
    </row>
    <row r="1343" spans="6:19" x14ac:dyDescent="0.2">
      <c r="F1343" s="3"/>
      <c r="G1343" s="3"/>
      <c r="H1343" s="3"/>
      <c r="M1343" s="1">
        <f t="shared" si="125"/>
        <v>40.230000000000764</v>
      </c>
      <c r="N1343" s="1">
        <f t="shared" si="126"/>
        <v>4.9377009351954042</v>
      </c>
      <c r="O1343" s="1">
        <f t="shared" si="127"/>
        <v>-0.62364333242355607</v>
      </c>
      <c r="P1343" s="1">
        <f t="shared" si="128"/>
        <v>4.363144361621913</v>
      </c>
      <c r="R1343" s="3">
        <f t="shared" si="123"/>
        <v>-0.51328218775801393</v>
      </c>
      <c r="S1343" s="3">
        <f t="shared" si="124"/>
        <v>-1.4094471950840679</v>
      </c>
    </row>
    <row r="1344" spans="6:19" x14ac:dyDescent="0.2">
      <c r="F1344" s="3"/>
      <c r="G1344" s="3"/>
      <c r="H1344" s="3"/>
      <c r="M1344" s="1">
        <f t="shared" si="125"/>
        <v>40.260000000000765</v>
      </c>
      <c r="N1344" s="1">
        <f t="shared" si="126"/>
        <v>5.1889497774982596</v>
      </c>
      <c r="O1344" s="1">
        <f t="shared" si="127"/>
        <v>-0.46797483909860826</v>
      </c>
      <c r="P1344" s="1">
        <f t="shared" si="128"/>
        <v>4.3491051164489551</v>
      </c>
      <c r="R1344" s="3">
        <f t="shared" si="123"/>
        <v>-0.53301852923866688</v>
      </c>
      <c r="S1344" s="3">
        <f t="shared" si="124"/>
        <v>-1.4021024383005147</v>
      </c>
    </row>
    <row r="1345" spans="6:19" x14ac:dyDescent="0.2">
      <c r="F1345" s="3"/>
      <c r="G1345" s="3"/>
      <c r="H1345" s="3"/>
      <c r="M1345" s="1">
        <f t="shared" si="125"/>
        <v>40.290000000000767</v>
      </c>
      <c r="N1345" s="1">
        <f t="shared" si="126"/>
        <v>5.3723030279055424</v>
      </c>
      <c r="O1345" s="1">
        <f t="shared" si="127"/>
        <v>-0.30680574826144202</v>
      </c>
      <c r="P1345" s="1">
        <f t="shared" si="128"/>
        <v>4.339900944001112</v>
      </c>
      <c r="R1345" s="3">
        <f t="shared" si="123"/>
        <v>-0.54590096200655047</v>
      </c>
      <c r="S1345" s="3">
        <f t="shared" si="124"/>
        <v>-1.397137122719285</v>
      </c>
    </row>
    <row r="1346" spans="6:19" x14ac:dyDescent="0.2">
      <c r="F1346" s="3"/>
      <c r="G1346" s="3"/>
      <c r="H1346" s="3"/>
      <c r="M1346" s="1">
        <f t="shared" si="125"/>
        <v>40.320000000000768</v>
      </c>
      <c r="N1346" s="1">
        <f t="shared" si="126"/>
        <v>5.486622137409034</v>
      </c>
      <c r="O1346" s="1">
        <f t="shared" si="127"/>
        <v>-0.14220708413917102</v>
      </c>
      <c r="P1346" s="1">
        <f t="shared" si="128"/>
        <v>4.3356347314769366</v>
      </c>
      <c r="R1346" s="3">
        <f t="shared" ref="R1346:R1409" si="129">$B$3*COS(P1346)</f>
        <v>-0.55185645997019184</v>
      </c>
      <c r="S1346" s="3">
        <f t="shared" ref="S1346:S1409" si="130">$B$3*SIN(P1346)</f>
        <v>-1.3947954859366187</v>
      </c>
    </row>
    <row r="1347" spans="6:19" x14ac:dyDescent="0.2">
      <c r="F1347" s="3"/>
      <c r="G1347" s="3"/>
      <c r="H1347" s="3"/>
      <c r="M1347" s="1">
        <f t="shared" ref="M1347:M1410" si="131">M1346+B$13</f>
        <v>40.350000000000769</v>
      </c>
      <c r="N1347" s="1">
        <f t="shared" ref="N1347:N1410" si="132">-$B$12*$B$3*COS(P1346)-B$10*O1346</f>
        <v>5.5313632372744435</v>
      </c>
      <c r="O1347" s="1">
        <f t="shared" ref="O1347:O1410" si="133">N1347*$B$13+O1346</f>
        <v>2.3733812979062269E-2</v>
      </c>
      <c r="P1347" s="1">
        <f t="shared" ref="P1347:P1410" si="134">O1347*$B$13+P1346</f>
        <v>4.3363467458663081</v>
      </c>
      <c r="R1347" s="3">
        <f t="shared" si="129"/>
        <v>-0.55086320571207814</v>
      </c>
      <c r="S1347" s="3">
        <f t="shared" si="130"/>
        <v>-1.3951880620879082</v>
      </c>
    </row>
    <row r="1348" spans="6:19" x14ac:dyDescent="0.2">
      <c r="F1348" s="3"/>
      <c r="G1348" s="3"/>
      <c r="H1348" s="3"/>
      <c r="M1348" s="1">
        <f t="shared" si="131"/>
        <v>40.38000000000077</v>
      </c>
      <c r="N1348" s="1">
        <f t="shared" si="132"/>
        <v>5.506496013952666</v>
      </c>
      <c r="O1348" s="1">
        <f t="shared" si="133"/>
        <v>0.18892869339764223</v>
      </c>
      <c r="P1348" s="1">
        <f t="shared" si="134"/>
        <v>4.3420146066682372</v>
      </c>
      <c r="R1348" s="3">
        <f t="shared" si="129"/>
        <v>-0.54294666820335835</v>
      </c>
      <c r="S1348" s="3">
        <f t="shared" si="130"/>
        <v>-1.3982878514407797</v>
      </c>
    </row>
    <row r="1349" spans="6:19" x14ac:dyDescent="0.2">
      <c r="F1349" s="3"/>
      <c r="G1349" s="3"/>
      <c r="H1349" s="3"/>
      <c r="M1349" s="1">
        <f t="shared" si="131"/>
        <v>40.410000000000771</v>
      </c>
      <c r="N1349" s="1">
        <f t="shared" si="132"/>
        <v>5.4124630996277965</v>
      </c>
      <c r="O1349" s="1">
        <f t="shared" si="133"/>
        <v>0.35130258638647616</v>
      </c>
      <c r="P1349" s="1">
        <f t="shared" si="134"/>
        <v>4.3525536842598314</v>
      </c>
      <c r="R1349" s="3">
        <f t="shared" si="129"/>
        <v>-0.5281801239960876</v>
      </c>
      <c r="S1349" s="3">
        <f t="shared" si="130"/>
        <v>-1.4039322478721963</v>
      </c>
    </row>
    <row r="1350" spans="6:19" x14ac:dyDescent="0.2">
      <c r="F1350" s="3"/>
      <c r="G1350" s="3"/>
      <c r="H1350" s="3"/>
      <c r="M1350" s="1">
        <f t="shared" si="131"/>
        <v>40.440000000000772</v>
      </c>
      <c r="N1350" s="1">
        <f t="shared" si="132"/>
        <v>5.2501840071860935</v>
      </c>
      <c r="O1350" s="1">
        <f t="shared" si="133"/>
        <v>0.508808106602059</v>
      </c>
      <c r="P1350" s="1">
        <f t="shared" si="134"/>
        <v>4.3678179274578932</v>
      </c>
      <c r="R1350" s="3">
        <f t="shared" si="129"/>
        <v>-0.50668946187864417</v>
      </c>
      <c r="S1350" s="3">
        <f t="shared" si="130"/>
        <v>-1.4118306517501062</v>
      </c>
    </row>
    <row r="1351" spans="6:19" x14ac:dyDescent="0.2">
      <c r="F1351" s="3"/>
      <c r="G1351" s="3"/>
      <c r="H1351" s="3"/>
      <c r="M1351" s="1">
        <f t="shared" si="131"/>
        <v>40.470000000000773</v>
      </c>
      <c r="N1351" s="1">
        <f t="shared" si="132"/>
        <v>5.0211018891922565</v>
      </c>
      <c r="O1351" s="1">
        <f t="shared" si="133"/>
        <v>0.65944116327782665</v>
      </c>
      <c r="P1351" s="1">
        <f t="shared" si="134"/>
        <v>4.3876011623562281</v>
      </c>
      <c r="R1351" s="3">
        <f t="shared" si="129"/>
        <v>-0.47866155640682817</v>
      </c>
      <c r="S1351" s="3">
        <f t="shared" si="130"/>
        <v>-1.4215776849747581</v>
      </c>
    </row>
    <row r="1352" spans="6:19" x14ac:dyDescent="0.2">
      <c r="F1352" s="3"/>
      <c r="G1352" s="3"/>
      <c r="H1352" s="3"/>
      <c r="M1352" s="1">
        <f t="shared" si="131"/>
        <v>40.500000000000774</v>
      </c>
      <c r="N1352" s="1">
        <f t="shared" si="132"/>
        <v>4.7272658593732766</v>
      </c>
      <c r="O1352" s="1">
        <f t="shared" si="133"/>
        <v>0.80125913905902491</v>
      </c>
      <c r="P1352" s="1">
        <f t="shared" si="134"/>
        <v>4.4116389365279991</v>
      </c>
      <c r="R1352" s="3">
        <f t="shared" si="129"/>
        <v>-0.44435500160118291</v>
      </c>
      <c r="S1352" s="3">
        <f t="shared" si="130"/>
        <v>-1.4326718509665821</v>
      </c>
    </row>
    <row r="1353" spans="6:19" x14ac:dyDescent="0.2">
      <c r="F1353" s="3"/>
      <c r="G1353" s="3"/>
      <c r="H1353" s="3"/>
      <c r="M1353" s="1">
        <f t="shared" si="131"/>
        <v>40.530000000000776</v>
      </c>
      <c r="N1353" s="1">
        <f t="shared" si="132"/>
        <v>4.3714366934965172</v>
      </c>
      <c r="O1353" s="1">
        <f t="shared" si="133"/>
        <v>0.93240223986392046</v>
      </c>
      <c r="P1353" s="1">
        <f t="shared" si="134"/>
        <v>4.4396110037239165</v>
      </c>
      <c r="R1353" s="3">
        <f t="shared" si="129"/>
        <v>-0.40411160564780324</v>
      </c>
      <c r="S1353" s="3">
        <f t="shared" si="130"/>
        <v>-1.4445393072466925</v>
      </c>
    </row>
    <row r="1354" spans="6:19" x14ac:dyDescent="0.2">
      <c r="F1354" s="3"/>
      <c r="G1354" s="3"/>
      <c r="H1354" s="3"/>
      <c r="M1354" s="1">
        <f t="shared" si="131"/>
        <v>40.560000000000777</v>
      </c>
      <c r="N1354" s="1">
        <f t="shared" si="132"/>
        <v>3.9571998548902796</v>
      </c>
      <c r="O1354" s="1">
        <f t="shared" si="133"/>
        <v>1.0511182355106288</v>
      </c>
      <c r="P1354" s="1">
        <f t="shared" si="134"/>
        <v>4.4711445507892353</v>
      </c>
      <c r="R1354" s="3">
        <f t="shared" si="129"/>
        <v>-0.35836680567679591</v>
      </c>
      <c r="S1354" s="3">
        <f t="shared" si="130"/>
        <v>-1.4565621279536995</v>
      </c>
    </row>
    <row r="1355" spans="6:19" x14ac:dyDescent="0.2">
      <c r="F1355" s="3"/>
      <c r="G1355" s="3"/>
      <c r="H1355" s="3"/>
      <c r="M1355" s="1">
        <f t="shared" si="131"/>
        <v>40.590000000000778</v>
      </c>
      <c r="N1355" s="1">
        <f t="shared" si="132"/>
        <v>3.489067415572003</v>
      </c>
      <c r="O1355" s="1">
        <f t="shared" si="133"/>
        <v>1.1557902579777888</v>
      </c>
      <c r="P1355" s="1">
        <f t="shared" si="134"/>
        <v>4.5058182585285689</v>
      </c>
      <c r="R1355" s="3">
        <f t="shared" si="129"/>
        <v>-0.30765711096335507</v>
      </c>
      <c r="S1355" s="3">
        <f t="shared" si="130"/>
        <v>-1.4681100442656476</v>
      </c>
    </row>
    <row r="1356" spans="6:19" x14ac:dyDescent="0.2">
      <c r="F1356" s="3"/>
      <c r="G1356" s="3"/>
      <c r="H1356" s="3"/>
      <c r="M1356" s="1">
        <f t="shared" si="131"/>
        <v>40.620000000000779</v>
      </c>
      <c r="N1356" s="1">
        <f t="shared" si="132"/>
        <v>2.9725499864155496</v>
      </c>
      <c r="O1356" s="1">
        <f t="shared" si="133"/>
        <v>1.2449667575702552</v>
      </c>
      <c r="P1356" s="1">
        <f t="shared" si="134"/>
        <v>4.5431672612556762</v>
      </c>
      <c r="R1356" s="3">
        <f t="shared" si="129"/>
        <v>-0.25262285420243175</v>
      </c>
      <c r="S1356" s="3">
        <f t="shared" si="130"/>
        <v>-1.4785742096812784</v>
      </c>
    </row>
    <row r="1357" spans="6:19" x14ac:dyDescent="0.2">
      <c r="F1357" s="3"/>
      <c r="G1357" s="3"/>
      <c r="H1357" s="3"/>
      <c r="M1357" s="1">
        <f t="shared" si="131"/>
        <v>40.65000000000078</v>
      </c>
      <c r="N1357" s="1">
        <f t="shared" si="132"/>
        <v>2.4141815338429939</v>
      </c>
      <c r="O1357" s="1">
        <f t="shared" si="133"/>
        <v>1.317392203585545</v>
      </c>
      <c r="P1357" s="1">
        <f t="shared" si="134"/>
        <v>4.5826890273632426</v>
      </c>
      <c r="R1357" s="3">
        <f t="shared" si="129"/>
        <v>-0.19400493245780748</v>
      </c>
      <c r="S1357" s="3">
        <f t="shared" si="130"/>
        <v>-1.4874011181191311</v>
      </c>
    </row>
    <row r="1358" spans="6:19" x14ac:dyDescent="0.2">
      <c r="F1358" s="3"/>
      <c r="G1358" s="3"/>
      <c r="H1358" s="3"/>
      <c r="M1358" s="1">
        <f t="shared" si="131"/>
        <v>40.680000000000781</v>
      </c>
      <c r="N1358" s="1">
        <f t="shared" si="132"/>
        <v>1.8214840262553758</v>
      </c>
      <c r="O1358" s="1">
        <f t="shared" si="133"/>
        <v>1.3720367243732063</v>
      </c>
      <c r="P1358" s="1">
        <f t="shared" si="134"/>
        <v>4.6238501290944392</v>
      </c>
      <c r="R1358" s="3">
        <f t="shared" si="129"/>
        <v>-0.13263482808250929</v>
      </c>
      <c r="S1358" s="3">
        <f t="shared" si="130"/>
        <v>-1.4941244936013609</v>
      </c>
    </row>
    <row r="1359" spans="6:19" x14ac:dyDescent="0.2">
      <c r="F1359" s="3"/>
      <c r="G1359" s="3"/>
      <c r="H1359" s="3"/>
      <c r="M1359" s="1">
        <f t="shared" si="131"/>
        <v>40.710000000000782</v>
      </c>
      <c r="N1359" s="1">
        <f t="shared" si="132"/>
        <v>1.2028649756315042</v>
      </c>
      <c r="O1359" s="1">
        <f t="shared" si="133"/>
        <v>1.4081226736421515</v>
      </c>
      <c r="P1359" s="1">
        <f t="shared" si="134"/>
        <v>4.6660938093037041</v>
      </c>
      <c r="R1359" s="3">
        <f t="shared" si="129"/>
        <v>-6.9417953830767404E-2</v>
      </c>
      <c r="S1359" s="3">
        <f t="shared" si="130"/>
        <v>-1.4983928549235508</v>
      </c>
    </row>
    <row r="1360" spans="6:19" x14ac:dyDescent="0.2">
      <c r="F1360" s="3"/>
      <c r="G1360" s="3"/>
      <c r="H1360" s="3"/>
      <c r="M1360" s="1">
        <f t="shared" si="131"/>
        <v>40.740000000000784</v>
      </c>
      <c r="N1360" s="1">
        <f t="shared" si="132"/>
        <v>0.56744849767988037</v>
      </c>
      <c r="O1360" s="1">
        <f t="shared" si="133"/>
        <v>1.425146128572548</v>
      </c>
      <c r="P1360" s="1">
        <f t="shared" si="134"/>
        <v>4.7088481931608808</v>
      </c>
      <c r="R1360" s="3">
        <f t="shared" si="129"/>
        <v>-5.3111697378540644E-3</v>
      </c>
      <c r="S1360" s="3">
        <f t="shared" si="130"/>
        <v>-1.4999905971292005</v>
      </c>
    </row>
    <row r="1361" spans="6:19" x14ac:dyDescent="0.2">
      <c r="F1361" s="3"/>
      <c r="G1361" s="3"/>
      <c r="H1361" s="3"/>
      <c r="M1361" s="1">
        <f t="shared" si="131"/>
        <v>40.770000000000785</v>
      </c>
      <c r="N1361" s="1">
        <f t="shared" si="132"/>
        <v>-7.5151454192988659E-2</v>
      </c>
      <c r="O1361" s="1">
        <f t="shared" si="133"/>
        <v>1.4228915849467583</v>
      </c>
      <c r="P1361" s="1">
        <f t="shared" si="134"/>
        <v>4.7515349407092833</v>
      </c>
      <c r="R1361" s="3">
        <f t="shared" si="129"/>
        <v>5.8703944757741822E-2</v>
      </c>
      <c r="S1361" s="3">
        <f t="shared" si="130"/>
        <v>-1.4988508421020017</v>
      </c>
    </row>
    <row r="1362" spans="6:19" x14ac:dyDescent="0.2">
      <c r="F1362" s="3"/>
      <c r="G1362" s="3"/>
      <c r="H1362" s="3"/>
      <c r="M1362" s="1">
        <f t="shared" si="131"/>
        <v>40.800000000000786</v>
      </c>
      <c r="N1362" s="1">
        <f t="shared" si="132"/>
        <v>-0.71509969022262643</v>
      </c>
      <c r="O1362" s="1">
        <f t="shared" si="133"/>
        <v>1.4014385942400795</v>
      </c>
      <c r="P1362" s="1">
        <f t="shared" si="134"/>
        <v>4.7935780985364858</v>
      </c>
      <c r="R1362" s="3">
        <f t="shared" si="129"/>
        <v>0.1216499282891664</v>
      </c>
      <c r="S1362" s="3">
        <f t="shared" si="130"/>
        <v>-1.4950589603581661</v>
      </c>
    </row>
    <row r="1363" spans="6:19" x14ac:dyDescent="0.2">
      <c r="F1363" s="3"/>
      <c r="G1363" s="3"/>
      <c r="H1363" s="3"/>
      <c r="M1363" s="1">
        <f t="shared" si="131"/>
        <v>40.830000000000787</v>
      </c>
      <c r="N1363" s="1">
        <f t="shared" si="132"/>
        <v>-1.3426287563732713</v>
      </c>
      <c r="O1363" s="1">
        <f t="shared" si="133"/>
        <v>1.3611597315488815</v>
      </c>
      <c r="P1363" s="1">
        <f t="shared" si="134"/>
        <v>4.8344128904829518</v>
      </c>
      <c r="R1363" s="3">
        <f t="shared" si="129"/>
        <v>0.18258197423649514</v>
      </c>
      <c r="S1363" s="3">
        <f t="shared" si="130"/>
        <v>-1.4888464738460792</v>
      </c>
    </row>
    <row r="1364" spans="6:19" x14ac:dyDescent="0.2">
      <c r="F1364" s="3"/>
      <c r="G1364" s="3"/>
      <c r="H1364" s="3"/>
      <c r="M1364" s="1">
        <f t="shared" si="131"/>
        <v>40.860000000000788</v>
      </c>
      <c r="N1364" s="1">
        <f t="shared" si="132"/>
        <v>-1.9483241182043509</v>
      </c>
      <c r="O1364" s="1">
        <f t="shared" si="133"/>
        <v>1.3027100080027509</v>
      </c>
      <c r="P1364" s="1">
        <f t="shared" si="134"/>
        <v>4.8734941907230347</v>
      </c>
      <c r="R1364" s="3">
        <f t="shared" si="129"/>
        <v>0.24061380433383378</v>
      </c>
      <c r="S1364" s="3">
        <f t="shared" si="130"/>
        <v>-1.4805759005076369</v>
      </c>
    </row>
    <row r="1365" spans="6:19" x14ac:dyDescent="0.2">
      <c r="F1365" s="3"/>
      <c r="G1365" s="3"/>
      <c r="H1365" s="3"/>
      <c r="M1365" s="1">
        <f t="shared" si="131"/>
        <v>40.890000000000789</v>
      </c>
      <c r="N1365" s="1">
        <f t="shared" si="132"/>
        <v>-2.5233819440585856</v>
      </c>
      <c r="O1365" s="1">
        <f t="shared" si="133"/>
        <v>1.2270085496809933</v>
      </c>
      <c r="P1365" s="1">
        <f t="shared" si="134"/>
        <v>4.9103044472134645</v>
      </c>
      <c r="R1365" s="3">
        <f t="shared" si="129"/>
        <v>0.29493887901969235</v>
      </c>
      <c r="S1365" s="3">
        <f t="shared" si="130"/>
        <v>-1.4707178715316569</v>
      </c>
    </row>
    <row r="1366" spans="6:19" x14ac:dyDescent="0.2">
      <c r="F1366" s="3"/>
      <c r="G1366" s="3"/>
      <c r="H1366" s="3"/>
      <c r="M1366" s="1">
        <f t="shared" si="131"/>
        <v>40.92000000000079</v>
      </c>
      <c r="N1366" s="1">
        <f t="shared" si="132"/>
        <v>-3.0598195596682127</v>
      </c>
      <c r="O1366" s="1">
        <f t="shared" si="133"/>
        <v>1.1352139628909468</v>
      </c>
      <c r="P1366" s="1">
        <f t="shared" si="134"/>
        <v>4.944360866100193</v>
      </c>
      <c r="R1366" s="3">
        <f t="shared" si="129"/>
        <v>0.34484555688116014</v>
      </c>
      <c r="S1366" s="3">
        <f t="shared" si="130"/>
        <v>-1.4598224350582241</v>
      </c>
    </row>
    <row r="1367" spans="6:19" x14ac:dyDescent="0.2">
      <c r="F1367" s="3"/>
      <c r="G1367" s="3"/>
      <c r="H1367" s="3"/>
      <c r="M1367" s="1">
        <f t="shared" si="131"/>
        <v>40.950000000000792</v>
      </c>
      <c r="N1367" s="1">
        <f t="shared" si="132"/>
        <v>-3.5506248254717865</v>
      </c>
      <c r="O1367" s="1">
        <f t="shared" si="133"/>
        <v>1.0286952181267932</v>
      </c>
      <c r="P1367" s="1">
        <f t="shared" si="134"/>
        <v>4.9752217226439965</v>
      </c>
      <c r="R1367" s="3">
        <f t="shared" si="129"/>
        <v>0.38972557574911093</v>
      </c>
      <c r="S1367" s="3">
        <f t="shared" si="130"/>
        <v>-1.4484867882058932</v>
      </c>
    </row>
    <row r="1368" spans="6:19" x14ac:dyDescent="0.2">
      <c r="F1368" s="3"/>
      <c r="G1368" s="3"/>
      <c r="H1368" s="3"/>
      <c r="M1368" s="1">
        <f t="shared" si="131"/>
        <v>40.980000000000793</v>
      </c>
      <c r="N1368" s="1">
        <f t="shared" si="132"/>
        <v>-3.9898383271225208</v>
      </c>
      <c r="O1368" s="1">
        <f t="shared" si="133"/>
        <v>0.90900006831311764</v>
      </c>
      <c r="P1368" s="1">
        <f t="shared" si="134"/>
        <v>5.0024917246933898</v>
      </c>
      <c r="R1368" s="3">
        <f t="shared" si="129"/>
        <v>0.42907601654985866</v>
      </c>
      <c r="S1368" s="3">
        <f t="shared" si="130"/>
        <v>-1.4373217357368897</v>
      </c>
    </row>
    <row r="1369" spans="6:19" x14ac:dyDescent="0.2">
      <c r="F1369" s="3"/>
      <c r="G1369" s="3"/>
      <c r="H1369" s="3"/>
      <c r="M1369" s="1">
        <f t="shared" si="131"/>
        <v>41.010000000000794</v>
      </c>
      <c r="N1369" s="1">
        <f t="shared" si="132"/>
        <v>-4.3725701716467675</v>
      </c>
      <c r="O1369" s="1">
        <f t="shared" si="133"/>
        <v>0.77782296316371458</v>
      </c>
      <c r="P1369" s="1">
        <f t="shared" si="134"/>
        <v>5.0258264135883008</v>
      </c>
      <c r="R1369" s="3">
        <f t="shared" si="129"/>
        <v>0.46249561613125301</v>
      </c>
      <c r="S1369" s="3">
        <f t="shared" si="130"/>
        <v>-1.4269189903632835</v>
      </c>
    </row>
    <row r="1370" spans="6:19" x14ac:dyDescent="0.2">
      <c r="F1370" s="3"/>
      <c r="G1370" s="3"/>
      <c r="H1370" s="3"/>
      <c r="M1370" s="1">
        <f t="shared" si="131"/>
        <v>41.040000000000795</v>
      </c>
      <c r="N1370" s="1">
        <f t="shared" si="132"/>
        <v>-4.6949602279972646</v>
      </c>
      <c r="O1370" s="1">
        <f t="shared" si="133"/>
        <v>0.63697415632379661</v>
      </c>
      <c r="P1370" s="1">
        <f t="shared" si="134"/>
        <v>5.0449356382780151</v>
      </c>
      <c r="R1370" s="3">
        <f t="shared" si="129"/>
        <v>0.4896768318115981</v>
      </c>
      <c r="S1370" s="3">
        <f t="shared" si="130"/>
        <v>-1.4178210748846116</v>
      </c>
    </row>
    <row r="1371" spans="6:19" x14ac:dyDescent="0.2">
      <c r="F1371" s="3"/>
      <c r="G1371" s="3"/>
      <c r="H1371" s="3"/>
      <c r="M1371" s="1">
        <f t="shared" si="131"/>
        <v>41.070000000000796</v>
      </c>
      <c r="N1371" s="1">
        <f t="shared" si="132"/>
        <v>-4.9540959921851231</v>
      </c>
      <c r="O1371" s="1">
        <f t="shared" si="133"/>
        <v>0.48835127655824295</v>
      </c>
      <c r="P1371" s="1">
        <f t="shared" si="134"/>
        <v>5.0595861765747623</v>
      </c>
      <c r="R1371" s="3">
        <f t="shared" si="129"/>
        <v>0.51039537994841666</v>
      </c>
      <c r="S1371" s="3">
        <f t="shared" si="130"/>
        <v>-1.4104951457297934</v>
      </c>
    </row>
    <row r="1372" spans="6:19" x14ac:dyDescent="0.2">
      <c r="F1372" s="3"/>
      <c r="G1372" s="3"/>
      <c r="H1372" s="3"/>
      <c r="M1372" s="1">
        <f t="shared" si="131"/>
        <v>41.100000000000797</v>
      </c>
      <c r="N1372" s="1">
        <f t="shared" si="132"/>
        <v>-5.1479054143744083</v>
      </c>
      <c r="O1372" s="1">
        <f t="shared" si="133"/>
        <v>0.33391411412701072</v>
      </c>
      <c r="P1372" s="1">
        <f t="shared" si="134"/>
        <v>5.0696035999985725</v>
      </c>
      <c r="R1372" s="3">
        <f t="shared" si="129"/>
        <v>0.5244990621874881</v>
      </c>
      <c r="S1372" s="3">
        <f t="shared" si="130"/>
        <v>-1.4053116144700597</v>
      </c>
    </row>
    <row r="1373" spans="6:19" x14ac:dyDescent="0.2">
      <c r="F1373" s="3"/>
      <c r="G1373" s="3"/>
      <c r="H1373" s="3"/>
      <c r="M1373" s="1">
        <f t="shared" si="131"/>
        <v>41.130000000000798</v>
      </c>
      <c r="N1373" s="1">
        <f t="shared" si="132"/>
        <v>-5.2750428921463106</v>
      </c>
      <c r="O1373" s="1">
        <f t="shared" si="133"/>
        <v>0.1756628273626214</v>
      </c>
      <c r="P1373" s="1">
        <f t="shared" si="134"/>
        <v>5.0748734848194514</v>
      </c>
      <c r="R1373" s="3">
        <f t="shared" si="129"/>
        <v>0.53189757515972125</v>
      </c>
      <c r="S1373" s="3">
        <f t="shared" si="130"/>
        <v>-1.4025280637260735</v>
      </c>
    </row>
    <row r="1374" spans="6:19" x14ac:dyDescent="0.2">
      <c r="F1374" s="3"/>
      <c r="G1374" s="3"/>
      <c r="H1374" s="3"/>
      <c r="M1374" s="1">
        <f t="shared" si="131"/>
        <v>41.1600000000008</v>
      </c>
      <c r="N1374" s="1">
        <f t="shared" si="132"/>
        <v>-5.334785406059849</v>
      </c>
      <c r="O1374" s="1">
        <f t="shared" si="133"/>
        <v>1.5619265180825931E-2</v>
      </c>
      <c r="P1374" s="1">
        <f t="shared" si="134"/>
        <v>5.075342062774876</v>
      </c>
      <c r="R1374" s="3">
        <f t="shared" si="129"/>
        <v>0.53255471047507386</v>
      </c>
      <c r="S1374" s="3">
        <f t="shared" si="130"/>
        <v>-1.4022786742836855</v>
      </c>
    </row>
    <row r="1375" spans="6:19" x14ac:dyDescent="0.2">
      <c r="F1375" s="3"/>
      <c r="G1375" s="3"/>
      <c r="H1375" s="3"/>
      <c r="M1375" s="1">
        <f t="shared" si="131"/>
        <v>41.190000000000801</v>
      </c>
      <c r="N1375" s="1">
        <f t="shared" si="132"/>
        <v>-5.3269528386170126</v>
      </c>
      <c r="O1375" s="1">
        <f t="shared" si="133"/>
        <v>-0.14418931997768444</v>
      </c>
      <c r="P1375" s="1">
        <f t="shared" si="134"/>
        <v>5.0710163831755457</v>
      </c>
      <c r="R1375" s="3">
        <f t="shared" si="129"/>
        <v>0.52648393869583632</v>
      </c>
      <c r="S1375" s="3">
        <f t="shared" si="130"/>
        <v>-1.4045692087951092</v>
      </c>
    </row>
    <row r="1376" spans="6:19" x14ac:dyDescent="0.2">
      <c r="F1376" s="3"/>
      <c r="G1376" s="3"/>
      <c r="H1376" s="3"/>
      <c r="M1376" s="1">
        <f t="shared" si="131"/>
        <v>41.220000000000802</v>
      </c>
      <c r="N1376" s="1">
        <f t="shared" si="132"/>
        <v>-5.2518623481603717</v>
      </c>
      <c r="O1376" s="1">
        <f t="shared" si="133"/>
        <v>-0.30174519042249559</v>
      </c>
      <c r="P1376" s="1">
        <f t="shared" si="134"/>
        <v>5.0619640274628708</v>
      </c>
      <c r="R1376" s="3">
        <f t="shared" si="129"/>
        <v>0.5137478809910504</v>
      </c>
      <c r="S1376" s="3">
        <f t="shared" si="130"/>
        <v>-1.4092775151747812</v>
      </c>
    </row>
    <row r="1377" spans="6:19" x14ac:dyDescent="0.2">
      <c r="F1377" s="3"/>
      <c r="G1377" s="3"/>
      <c r="H1377" s="3"/>
      <c r="M1377" s="1">
        <f t="shared" si="131"/>
        <v>41.250000000000803</v>
      </c>
      <c r="N1377" s="1">
        <f t="shared" si="132"/>
        <v>-5.110321742772479</v>
      </c>
      <c r="O1377" s="1">
        <f t="shared" si="133"/>
        <v>-0.45505484270566998</v>
      </c>
      <c r="P1377" s="1">
        <f t="shared" si="134"/>
        <v>5.0483123821817006</v>
      </c>
      <c r="R1377" s="3">
        <f t="shared" si="129"/>
        <v>0.49446164964159511</v>
      </c>
      <c r="S1377" s="3">
        <f t="shared" si="130"/>
        <v>-1.4161594814969507</v>
      </c>
    </row>
    <row r="1378" spans="6:19" x14ac:dyDescent="0.2">
      <c r="F1378" s="3"/>
      <c r="G1378" s="3"/>
      <c r="H1378" s="3"/>
      <c r="M1378" s="1">
        <f t="shared" si="131"/>
        <v>41.280000000000804</v>
      </c>
      <c r="N1378" s="1">
        <f t="shared" si="132"/>
        <v>-4.9036615605724414</v>
      </c>
      <c r="O1378" s="1">
        <f t="shared" si="133"/>
        <v>-0.60216468952284319</v>
      </c>
      <c r="P1378" s="1">
        <f t="shared" si="134"/>
        <v>5.030247441496015</v>
      </c>
      <c r="R1378" s="3">
        <f t="shared" si="129"/>
        <v>0.4687995244155917</v>
      </c>
      <c r="S1378" s="3">
        <f t="shared" si="130"/>
        <v>-1.4248603461068439</v>
      </c>
    </row>
    <row r="1379" spans="6:19" x14ac:dyDescent="0.2">
      <c r="F1379" s="3"/>
      <c r="G1379" s="3"/>
      <c r="H1379" s="3"/>
      <c r="M1379" s="1">
        <f t="shared" si="131"/>
        <v>41.310000000000805</v>
      </c>
      <c r="N1379" s="1">
        <f t="shared" si="132"/>
        <v>-4.6338004220988616</v>
      </c>
      <c r="O1379" s="1">
        <f t="shared" si="133"/>
        <v>-0.74117870218580906</v>
      </c>
      <c r="P1379" s="1">
        <f t="shared" si="134"/>
        <v>5.0080120804304409</v>
      </c>
      <c r="R1379" s="3">
        <f t="shared" si="129"/>
        <v>0.4370039656549719</v>
      </c>
      <c r="S1379" s="3">
        <f t="shared" si="130"/>
        <v>-1.434931194866788</v>
      </c>
    </row>
    <row r="1380" spans="6:19" x14ac:dyDescent="0.2">
      <c r="F1380" s="3"/>
      <c r="G1380" s="3"/>
      <c r="H1380" s="3"/>
      <c r="M1380" s="1">
        <f t="shared" si="131"/>
        <v>41.340000000000806</v>
      </c>
      <c r="N1380" s="1">
        <f t="shared" si="132"/>
        <v>-4.3033335733529956</v>
      </c>
      <c r="O1380" s="1">
        <f t="shared" si="133"/>
        <v>-0.87027870938639895</v>
      </c>
      <c r="P1380" s="1">
        <f t="shared" si="134"/>
        <v>4.9819037191488489</v>
      </c>
      <c r="R1380" s="3">
        <f t="shared" si="129"/>
        <v>0.39939558696929034</v>
      </c>
      <c r="S1380" s="3">
        <f t="shared" si="130"/>
        <v>-1.4458503259706572</v>
      </c>
    </row>
    <row r="1381" spans="6:19" x14ac:dyDescent="0.2">
      <c r="F1381" s="3"/>
      <c r="G1381" s="3"/>
      <c r="H1381" s="3"/>
      <c r="M1381" s="1">
        <f t="shared" si="131"/>
        <v>41.370000000000807</v>
      </c>
      <c r="N1381" s="1">
        <f t="shared" si="132"/>
        <v>-3.9156307858481276</v>
      </c>
      <c r="O1381" s="1">
        <f t="shared" si="133"/>
        <v>-0.98774763296184276</v>
      </c>
      <c r="P1381" s="1">
        <f t="shared" si="134"/>
        <v>4.9522712901599935</v>
      </c>
      <c r="R1381" s="3">
        <f t="shared" si="129"/>
        <v>0.35638246169501064</v>
      </c>
      <c r="S1381" s="3">
        <f t="shared" si="130"/>
        <v>-1.4570489151007264</v>
      </c>
    </row>
    <row r="1382" spans="6:19" x14ac:dyDescent="0.2">
      <c r="F1382" s="3"/>
      <c r="G1382" s="3"/>
      <c r="H1382" s="3"/>
      <c r="M1382" s="1">
        <f t="shared" si="131"/>
        <v>41.400000000000809</v>
      </c>
      <c r="N1382" s="1">
        <f t="shared" si="132"/>
        <v>-3.474927329983541</v>
      </c>
      <c r="O1382" s="1">
        <f t="shared" si="133"/>
        <v>-1.0919954528613489</v>
      </c>
      <c r="P1382" s="1">
        <f t="shared" si="134"/>
        <v>4.9195114265741529</v>
      </c>
      <c r="R1382" s="3">
        <f t="shared" si="129"/>
        <v>0.3084670561323356</v>
      </c>
      <c r="S1382" s="3">
        <f t="shared" si="130"/>
        <v>-1.4679400789136627</v>
      </c>
    </row>
    <row r="1383" spans="6:19" x14ac:dyDescent="0.2">
      <c r="F1383" s="3"/>
      <c r="G1383" s="3"/>
      <c r="H1383" s="3"/>
      <c r="M1383" s="1">
        <f t="shared" si="131"/>
        <v>41.43000000000081</v>
      </c>
      <c r="N1383" s="1">
        <f t="shared" si="132"/>
        <v>-2.9863909705658345</v>
      </c>
      <c r="O1383" s="1">
        <f t="shared" si="133"/>
        <v>-1.1815871819783239</v>
      </c>
      <c r="P1383" s="1">
        <f t="shared" si="134"/>
        <v>4.8840638111148031</v>
      </c>
      <c r="R1383" s="3">
        <f t="shared" si="129"/>
        <v>0.25624919800041318</v>
      </c>
      <c r="S1383" s="3">
        <f t="shared" si="130"/>
        <v>-1.4779500494009075</v>
      </c>
    </row>
    <row r="1384" spans="6:19" x14ac:dyDescent="0.2">
      <c r="F1384" s="3"/>
      <c r="G1384" s="3"/>
      <c r="H1384" s="3"/>
      <c r="M1384" s="1">
        <f t="shared" si="131"/>
        <v>41.460000000000811</v>
      </c>
      <c r="N1384" s="1">
        <f t="shared" si="132"/>
        <v>-2.4561491336260826</v>
      </c>
      <c r="O1384" s="1">
        <f t="shared" si="133"/>
        <v>-1.2552716559871064</v>
      </c>
      <c r="P1384" s="1">
        <f t="shared" si="134"/>
        <v>4.84640566143519</v>
      </c>
      <c r="R1384" s="3">
        <f t="shared" si="129"/>
        <v>0.20042381105931761</v>
      </c>
      <c r="S1384" s="3">
        <f t="shared" si="130"/>
        <v>-1.4865497959908571</v>
      </c>
    </row>
    <row r="1385" spans="6:19" x14ac:dyDescent="0.2">
      <c r="F1385" s="3"/>
      <c r="G1385" s="3"/>
      <c r="H1385" s="3"/>
      <c r="M1385" s="1">
        <f t="shared" si="131"/>
        <v>41.490000000000812</v>
      </c>
      <c r="N1385" s="1">
        <f t="shared" si="132"/>
        <v>-1.8912636615543368</v>
      </c>
      <c r="O1385" s="1">
        <f t="shared" si="133"/>
        <v>-1.3120095658337365</v>
      </c>
      <c r="P1385" s="1">
        <f t="shared" si="134"/>
        <v>4.807045374460178</v>
      </c>
      <c r="R1385" s="3">
        <f t="shared" si="129"/>
        <v>0.14177265970962383</v>
      </c>
      <c r="S1385" s="3">
        <f t="shared" si="130"/>
        <v>-1.4932851412100969</v>
      </c>
    </row>
    <row r="1386" spans="6:19" x14ac:dyDescent="0.2">
      <c r="F1386" s="3"/>
      <c r="G1386" s="3"/>
      <c r="H1386" s="3"/>
      <c r="M1386" s="1">
        <f t="shared" si="131"/>
        <v>41.520000000000813</v>
      </c>
      <c r="N1386" s="1">
        <f t="shared" si="132"/>
        <v>-1.2996457361712022</v>
      </c>
      <c r="O1386" s="1">
        <f t="shared" si="133"/>
        <v>-1.3509989379188725</v>
      </c>
      <c r="P1386" s="1">
        <f t="shared" si="134"/>
        <v>4.7665154063226121</v>
      </c>
      <c r="R1386" s="3">
        <f t="shared" si="129"/>
        <v>8.1150001572180427E-2</v>
      </c>
      <c r="S1386" s="3">
        <f t="shared" si="130"/>
        <v>-1.4978032838943955</v>
      </c>
    </row>
    <row r="1387" spans="6:19" x14ac:dyDescent="0.2">
      <c r="F1387" s="3"/>
      <c r="G1387" s="3"/>
      <c r="H1387" s="3"/>
      <c r="M1387" s="1">
        <f t="shared" si="131"/>
        <v>41.550000000000814</v>
      </c>
      <c r="N1387" s="1">
        <f t="shared" si="132"/>
        <v>-0.68991011130910573</v>
      </c>
      <c r="O1387" s="1">
        <f t="shared" si="133"/>
        <v>-1.3716962412581457</v>
      </c>
      <c r="P1387" s="1">
        <f t="shared" si="134"/>
        <v>4.7253645190848674</v>
      </c>
      <c r="R1387" s="3">
        <f t="shared" si="129"/>
        <v>1.9462761899503453E-2</v>
      </c>
      <c r="S1387" s="3">
        <f t="shared" si="130"/>
        <v>-1.4998737283182353</v>
      </c>
    </row>
    <row r="1388" spans="6:19" x14ac:dyDescent="0.2">
      <c r="F1388" s="3"/>
      <c r="G1388" s="3"/>
      <c r="H1388" s="3"/>
      <c r="M1388" s="1">
        <f t="shared" si="131"/>
        <v>41.580000000000815</v>
      </c>
      <c r="N1388" s="1">
        <f t="shared" si="132"/>
        <v>-7.1174957281801426E-2</v>
      </c>
      <c r="O1388" s="1">
        <f t="shared" si="133"/>
        <v>-1.3738314899765998</v>
      </c>
      <c r="P1388" s="1">
        <f t="shared" si="134"/>
        <v>4.684149574385569</v>
      </c>
      <c r="R1388" s="3">
        <f t="shared" si="129"/>
        <v>-4.2353479245384497E-2</v>
      </c>
      <c r="S1388" s="3">
        <f t="shared" si="130"/>
        <v>-1.4994019417073632</v>
      </c>
    </row>
    <row r="1389" spans="6:19" x14ac:dyDescent="0.2">
      <c r="F1389" s="3"/>
      <c r="G1389" s="3"/>
      <c r="H1389" s="3"/>
      <c r="M1389" s="1">
        <f t="shared" si="131"/>
        <v>41.610000000000817</v>
      </c>
      <c r="N1389" s="1">
        <f t="shared" si="132"/>
        <v>0.54717962655173902</v>
      </c>
      <c r="O1389" s="1">
        <f t="shared" si="133"/>
        <v>-1.3574161011800476</v>
      </c>
      <c r="P1389" s="1">
        <f t="shared" si="134"/>
        <v>4.6434270913501674</v>
      </c>
      <c r="R1389" s="3">
        <f t="shared" si="129"/>
        <v>-0.10336086180561582</v>
      </c>
      <c r="S1389" s="3">
        <f t="shared" si="130"/>
        <v>-1.4964346067392322</v>
      </c>
    </row>
    <row r="1390" spans="6:19" x14ac:dyDescent="0.2">
      <c r="F1390" s="3"/>
      <c r="G1390" s="3"/>
      <c r="H1390" s="3"/>
      <c r="M1390" s="1">
        <f t="shared" si="131"/>
        <v>41.640000000000818</v>
      </c>
      <c r="N1390" s="1">
        <f t="shared" si="132"/>
        <v>1.1557760671623625</v>
      </c>
      <c r="O1390" s="1">
        <f t="shared" si="133"/>
        <v>-1.3227428191651767</v>
      </c>
      <c r="P1390" s="1">
        <f t="shared" si="134"/>
        <v>4.6037448067752118</v>
      </c>
      <c r="R1390" s="3">
        <f t="shared" si="129"/>
        <v>-0.16264585266094397</v>
      </c>
      <c r="S1390" s="3">
        <f t="shared" si="130"/>
        <v>-1.491156036976746</v>
      </c>
    </row>
    <row r="1391" spans="6:19" x14ac:dyDescent="0.2">
      <c r="F1391" s="3"/>
      <c r="G1391" s="3"/>
      <c r="H1391" s="3"/>
      <c r="M1391" s="1">
        <f t="shared" si="131"/>
        <v>41.670000000000819</v>
      </c>
      <c r="N1391" s="1">
        <f t="shared" si="132"/>
        <v>1.7455053803343057</v>
      </c>
      <c r="O1391" s="1">
        <f t="shared" si="133"/>
        <v>-1.2703776577551475</v>
      </c>
      <c r="P1391" s="1">
        <f t="shared" si="134"/>
        <v>4.5656334770425575</v>
      </c>
      <c r="R1391" s="3">
        <f t="shared" si="129"/>
        <v>-0.21934393064306437</v>
      </c>
      <c r="S1391" s="3">
        <f t="shared" si="130"/>
        <v>-1.4838760865011777</v>
      </c>
    </row>
    <row r="1392" spans="6:19" x14ac:dyDescent="0.2">
      <c r="F1392" s="3"/>
      <c r="G1392" s="3"/>
      <c r="H1392" s="3"/>
      <c r="M1392" s="1">
        <f t="shared" si="131"/>
        <v>41.70000000000082</v>
      </c>
      <c r="N1392" s="1">
        <f t="shared" si="132"/>
        <v>2.307773295628607</v>
      </c>
      <c r="O1392" s="1">
        <f t="shared" si="133"/>
        <v>-1.2011444588862894</v>
      </c>
      <c r="P1392" s="1">
        <f t="shared" si="134"/>
        <v>4.529599143275969</v>
      </c>
      <c r="R1392" s="3">
        <f t="shared" si="129"/>
        <v>-0.27266045519760707</v>
      </c>
      <c r="S1392" s="3">
        <f t="shared" si="130"/>
        <v>-1.4750106020539087</v>
      </c>
    </row>
    <row r="1393" spans="6:19" x14ac:dyDescent="0.2">
      <c r="F1393" s="3"/>
      <c r="G1393" s="3"/>
      <c r="H1393" s="3"/>
      <c r="M1393" s="1">
        <f t="shared" si="131"/>
        <v>41.730000000000821</v>
      </c>
      <c r="N1393" s="1">
        <f t="shared" si="132"/>
        <v>2.8347075532758366</v>
      </c>
      <c r="O1393" s="1">
        <f t="shared" si="133"/>
        <v>-1.1161032322880142</v>
      </c>
      <c r="P1393" s="1">
        <f t="shared" si="134"/>
        <v>4.4961160463073284</v>
      </c>
      <c r="R1393" s="3">
        <f t="shared" si="129"/>
        <v>-0.32188632248995719</v>
      </c>
      <c r="S1393" s="3">
        <f t="shared" si="130"/>
        <v>-1.4650560383118085</v>
      </c>
    </row>
    <row r="1394" spans="6:19" x14ac:dyDescent="0.2">
      <c r="F1394" s="3"/>
      <c r="G1394" s="3"/>
      <c r="H1394" s="3"/>
      <c r="M1394" s="1">
        <f t="shared" si="131"/>
        <v>41.760000000000822</v>
      </c>
      <c r="N1394" s="1">
        <f t="shared" si="132"/>
        <v>3.3193125158054935</v>
      </c>
      <c r="O1394" s="1">
        <f t="shared" si="133"/>
        <v>-1.0165238568138495</v>
      </c>
      <c r="P1394" s="1">
        <f t="shared" si="134"/>
        <v>4.4656203306029125</v>
      </c>
      <c r="R1394" s="3">
        <f t="shared" si="129"/>
        <v>-0.36640766653399204</v>
      </c>
      <c r="S1394" s="3">
        <f t="shared" si="130"/>
        <v>-1.4545602159777076</v>
      </c>
    </row>
    <row r="1395" spans="6:19" x14ac:dyDescent="0.2">
      <c r="F1395" s="3"/>
      <c r="G1395" s="3"/>
      <c r="H1395" s="3"/>
      <c r="M1395" s="1">
        <f t="shared" si="131"/>
        <v>41.790000000000823</v>
      </c>
      <c r="N1395" s="1">
        <f t="shared" si="132"/>
        <v>3.7555638124531665</v>
      </c>
      <c r="O1395" s="1">
        <f t="shared" si="133"/>
        <v>-0.9038569424402545</v>
      </c>
      <c r="P1395" s="1">
        <f t="shared" si="134"/>
        <v>4.4385046223297051</v>
      </c>
      <c r="R1395" s="3">
        <f t="shared" si="129"/>
        <v>-0.40570956940209224</v>
      </c>
      <c r="S1395" s="3">
        <f t="shared" si="130"/>
        <v>-1.4440913216606381</v>
      </c>
    </row>
    <row r="1396" spans="6:19" x14ac:dyDescent="0.2">
      <c r="F1396" s="3"/>
      <c r="G1396" s="3"/>
      <c r="H1396" s="3"/>
      <c r="M1396" s="1">
        <f t="shared" si="131"/>
        <v>41.820000000000825</v>
      </c>
      <c r="N1396" s="1">
        <f t="shared" si="132"/>
        <v>4.138442818840546</v>
      </c>
      <c r="O1396" s="1">
        <f t="shared" si="133"/>
        <v>-0.77970365787503815</v>
      </c>
      <c r="P1396" s="1">
        <f t="shared" si="134"/>
        <v>4.4151135125934537</v>
      </c>
      <c r="R1396" s="3">
        <f t="shared" si="129"/>
        <v>-0.43937440201939787</v>
      </c>
      <c r="S1396" s="3">
        <f t="shared" si="130"/>
        <v>-1.4342071450282545</v>
      </c>
    </row>
    <row r="1397" spans="6:19" x14ac:dyDescent="0.2">
      <c r="F1397" s="3"/>
      <c r="G1397" s="3"/>
      <c r="H1397" s="3"/>
      <c r="M1397" s="1">
        <f t="shared" si="131"/>
        <v>41.850000000000826</v>
      </c>
      <c r="N1397" s="1">
        <f t="shared" si="132"/>
        <v>4.463917349402732</v>
      </c>
      <c r="O1397" s="1">
        <f t="shared" si="133"/>
        <v>-0.64578613739295621</v>
      </c>
      <c r="P1397" s="1">
        <f t="shared" si="134"/>
        <v>4.3957399284716647</v>
      </c>
      <c r="R1397" s="3">
        <f t="shared" si="129"/>
        <v>-0.46707594277720454</v>
      </c>
      <c r="S1397" s="3">
        <f t="shared" si="130"/>
        <v>-1.4254262743750676</v>
      </c>
    </row>
    <row r="1398" spans="6:19" x14ac:dyDescent="0.2">
      <c r="F1398" s="3"/>
      <c r="G1398" s="3"/>
      <c r="H1398" s="3"/>
      <c r="M1398" s="1">
        <f t="shared" si="131"/>
        <v>41.880000000000827</v>
      </c>
      <c r="N1398" s="1">
        <f t="shared" si="132"/>
        <v>4.7288801801374118</v>
      </c>
      <c r="O1398" s="1">
        <f t="shared" si="133"/>
        <v>-0.50391973198883389</v>
      </c>
      <c r="P1398" s="1">
        <f t="shared" si="134"/>
        <v>4.3806223365119994</v>
      </c>
      <c r="R1398" s="3">
        <f t="shared" si="129"/>
        <v>-0.4885707626415412</v>
      </c>
      <c r="S1398" s="3">
        <f t="shared" si="130"/>
        <v>-1.4182025983236184</v>
      </c>
    </row>
    <row r="1399" spans="6:19" x14ac:dyDescent="0.2">
      <c r="F1399" s="3"/>
      <c r="G1399" s="3"/>
      <c r="H1399" s="3"/>
      <c r="M1399" s="1">
        <f t="shared" si="131"/>
        <v>41.910000000000828</v>
      </c>
      <c r="N1399" s="1">
        <f t="shared" si="132"/>
        <v>4.9310604022944071</v>
      </c>
      <c r="O1399" s="1">
        <f t="shared" si="133"/>
        <v>-0.35598791992000167</v>
      </c>
      <c r="P1399" s="1">
        <f t="shared" si="134"/>
        <v>4.3699426989143992</v>
      </c>
      <c r="R1399" s="3">
        <f t="shared" si="129"/>
        <v>-0.50368850290226685</v>
      </c>
      <c r="S1399" s="3">
        <f t="shared" si="130"/>
        <v>-1.412904063283871</v>
      </c>
    </row>
    <row r="1400" spans="6:19" x14ac:dyDescent="0.2">
      <c r="F1400" s="3"/>
      <c r="G1400" s="3"/>
      <c r="H1400" s="3"/>
      <c r="M1400" s="1">
        <f t="shared" si="131"/>
        <v>41.940000000000829</v>
      </c>
      <c r="N1400" s="1">
        <f t="shared" si="132"/>
        <v>5.068923941815469</v>
      </c>
      <c r="O1400" s="1">
        <f t="shared" si="133"/>
        <v>-0.20392020166553762</v>
      </c>
      <c r="P1400" s="1">
        <f t="shared" si="134"/>
        <v>4.3638250928644329</v>
      </c>
      <c r="R1400" s="3">
        <f t="shared" si="129"/>
        <v>-0.51232261416553793</v>
      </c>
      <c r="S1400" s="3">
        <f t="shared" si="130"/>
        <v>-1.4097962757131222</v>
      </c>
    </row>
    <row r="1401" spans="6:19" x14ac:dyDescent="0.2">
      <c r="F1401" s="3"/>
      <c r="G1401" s="3"/>
      <c r="H1401" s="3"/>
      <c r="M1401" s="1">
        <f t="shared" si="131"/>
        <v>41.97000000000083</v>
      </c>
      <c r="N1401" s="1">
        <f t="shared" si="132"/>
        <v>5.1415789598052779</v>
      </c>
      <c r="O1401" s="1">
        <f t="shared" si="133"/>
        <v>-4.9672832871379302E-2</v>
      </c>
      <c r="P1401" s="1">
        <f t="shared" si="134"/>
        <v>4.3623349078782914</v>
      </c>
      <c r="R1401" s="3">
        <f t="shared" si="129"/>
        <v>-0.51442290178674621</v>
      </c>
      <c r="S1401" s="3">
        <f t="shared" si="130"/>
        <v>-1.4090312551953217</v>
      </c>
    </row>
    <row r="1402" spans="6:19" x14ac:dyDescent="0.2">
      <c r="F1402" s="3"/>
      <c r="G1402" s="3"/>
      <c r="H1402" s="3"/>
      <c r="M1402" s="1">
        <f t="shared" si="131"/>
        <v>42.000000000000831</v>
      </c>
      <c r="N1402" s="1">
        <f t="shared" si="132"/>
        <v>5.1486995728258869</v>
      </c>
      <c r="O1402" s="1">
        <f t="shared" si="133"/>
        <v>0.1047881543133973</v>
      </c>
      <c r="P1402" s="1">
        <f t="shared" si="134"/>
        <v>4.3654785525076933</v>
      </c>
      <c r="R1402" s="3">
        <f t="shared" si="129"/>
        <v>-0.50999087365396412</v>
      </c>
      <c r="S1402" s="3">
        <f t="shared" si="130"/>
        <v>-1.4106414529531117</v>
      </c>
    </row>
    <row r="1403" spans="6:19" x14ac:dyDescent="0.2">
      <c r="F1403" s="3"/>
      <c r="G1403" s="3"/>
      <c r="H1403" s="3"/>
      <c r="M1403" s="1">
        <f t="shared" si="131"/>
        <v>42.030000000000832</v>
      </c>
      <c r="N1403" s="1">
        <f t="shared" si="132"/>
        <v>5.0904778026514359</v>
      </c>
      <c r="O1403" s="1">
        <f t="shared" si="133"/>
        <v>0.25750248839294038</v>
      </c>
      <c r="P1403" s="1">
        <f t="shared" si="134"/>
        <v>4.3732036271594819</v>
      </c>
      <c r="R1403" s="3">
        <f t="shared" si="129"/>
        <v>-0.49907845427824093</v>
      </c>
      <c r="S1403" s="3">
        <f t="shared" si="130"/>
        <v>-1.4145390402796387</v>
      </c>
    </row>
    <row r="1404" spans="6:19" x14ac:dyDescent="0.2">
      <c r="F1404" s="3"/>
      <c r="G1404" s="3"/>
      <c r="H1404" s="3"/>
      <c r="M1404" s="1">
        <f t="shared" si="131"/>
        <v>42.060000000000834</v>
      </c>
      <c r="N1404" s="1">
        <f t="shared" si="132"/>
        <v>4.9676093188270443</v>
      </c>
      <c r="O1404" s="1">
        <f t="shared" si="133"/>
        <v>0.40653076795775167</v>
      </c>
      <c r="P1404" s="1">
        <f t="shared" si="134"/>
        <v>4.3853995501982146</v>
      </c>
      <c r="R1404" s="3">
        <f t="shared" si="129"/>
        <v>-0.48179015653444146</v>
      </c>
      <c r="S1404" s="3">
        <f t="shared" si="130"/>
        <v>-1.4205204134635019</v>
      </c>
    </row>
    <row r="1405" spans="6:19" x14ac:dyDescent="0.2">
      <c r="F1405" s="3"/>
      <c r="G1405" s="3"/>
      <c r="H1405" s="3"/>
      <c r="M1405" s="1">
        <f t="shared" si="131"/>
        <v>42.090000000000835</v>
      </c>
      <c r="N1405" s="1">
        <f t="shared" si="132"/>
        <v>4.7813137962282175</v>
      </c>
      <c r="O1405" s="1">
        <f t="shared" si="133"/>
        <v>0.54997018184459823</v>
      </c>
      <c r="P1405" s="1">
        <f t="shared" si="134"/>
        <v>4.4018986556535529</v>
      </c>
      <c r="R1405" s="3">
        <f t="shared" si="129"/>
        <v>-0.4582883286832421</v>
      </c>
      <c r="S1405" s="3">
        <f t="shared" si="130"/>
        <v>-1.4282758164278777</v>
      </c>
    </row>
    <row r="1406" spans="6:19" x14ac:dyDescent="0.2">
      <c r="F1406" s="3"/>
      <c r="G1406" s="3"/>
      <c r="H1406" s="3"/>
      <c r="M1406" s="1">
        <f t="shared" si="131"/>
        <v>42.120000000000836</v>
      </c>
      <c r="N1406" s="1">
        <f t="shared" si="132"/>
        <v>4.5333859704664068</v>
      </c>
      <c r="O1406" s="1">
        <f t="shared" si="133"/>
        <v>0.68597176095859047</v>
      </c>
      <c r="P1406" s="1">
        <f t="shared" si="134"/>
        <v>4.4224778084823102</v>
      </c>
      <c r="R1406" s="3">
        <f t="shared" si="129"/>
        <v>-0.4288006574944293</v>
      </c>
      <c r="S1406" s="3">
        <f t="shared" si="130"/>
        <v>-1.4374039084865273</v>
      </c>
    </row>
    <row r="1407" spans="6:19" x14ac:dyDescent="0.2">
      <c r="F1407" s="3"/>
      <c r="G1407" s="3"/>
      <c r="H1407" s="3"/>
      <c r="M1407" s="1">
        <f t="shared" si="131"/>
        <v>42.150000000000837</v>
      </c>
      <c r="N1407" s="1">
        <f t="shared" si="132"/>
        <v>4.2262691164580204</v>
      </c>
      <c r="O1407" s="1">
        <f t="shared" si="133"/>
        <v>0.81275983445233102</v>
      </c>
      <c r="P1407" s="1">
        <f t="shared" si="134"/>
        <v>4.44686060351588</v>
      </c>
      <c r="R1407" s="3">
        <f t="shared" si="129"/>
        <v>-0.39362874617900062</v>
      </c>
      <c r="S1407" s="3">
        <f t="shared" si="130"/>
        <v>-1.4474309690557088</v>
      </c>
    </row>
    <row r="1408" spans="6:19" x14ac:dyDescent="0.2">
      <c r="F1408" s="3"/>
      <c r="G1408" s="3"/>
      <c r="H1408" s="3"/>
      <c r="M1408" s="1">
        <f t="shared" si="131"/>
        <v>42.180000000000838</v>
      </c>
      <c r="N1408" s="1">
        <f t="shared" si="132"/>
        <v>3.8631390766892966</v>
      </c>
      <c r="O1408" s="1">
        <f t="shared" si="133"/>
        <v>0.92865400675300991</v>
      </c>
      <c r="P1408" s="1">
        <f t="shared" si="134"/>
        <v>4.47472022371847</v>
      </c>
      <c r="R1408" s="3">
        <f t="shared" si="129"/>
        <v>-0.35315633606863095</v>
      </c>
      <c r="S1408" s="3">
        <f t="shared" si="130"/>
        <v>-1.4578342163272819</v>
      </c>
    </row>
    <row r="1409" spans="6:19" x14ac:dyDescent="0.2">
      <c r="F1409" s="3"/>
      <c r="G1409" s="3"/>
      <c r="H1409" s="3"/>
      <c r="M1409" s="1">
        <f t="shared" si="131"/>
        <v>42.210000000000839</v>
      </c>
      <c r="N1409" s="1">
        <f t="shared" si="132"/>
        <v>3.4479845000785381</v>
      </c>
      <c r="O1409" s="1">
        <f t="shared" si="133"/>
        <v>1.0320935417553661</v>
      </c>
      <c r="P1409" s="1">
        <f t="shared" si="134"/>
        <v>4.5056830299711308</v>
      </c>
      <c r="R1409" s="3">
        <f t="shared" si="129"/>
        <v>-0.30785563855317005</v>
      </c>
      <c r="S1409" s="3">
        <f t="shared" si="130"/>
        <v>-1.4680684268149833</v>
      </c>
    </row>
    <row r="1410" spans="6:19" x14ac:dyDescent="0.2">
      <c r="F1410" s="3"/>
      <c r="G1410" s="3"/>
      <c r="H1410" s="3"/>
      <c r="M1410" s="1">
        <f t="shared" si="131"/>
        <v>42.24000000000084</v>
      </c>
      <c r="N1410" s="1">
        <f t="shared" si="132"/>
        <v>2.9856679667737178</v>
      </c>
      <c r="O1410" s="1">
        <f t="shared" si="133"/>
        <v>1.1216635807585775</v>
      </c>
      <c r="P1410" s="1">
        <f t="shared" si="134"/>
        <v>4.5393329373938878</v>
      </c>
      <c r="R1410" s="3">
        <f t="shared" ref="R1410:R1473" si="135">$B$3*COS(P1410)</f>
        <v>-0.25829031565094396</v>
      </c>
      <c r="S1410" s="3">
        <f t="shared" ref="S1410:S1473" si="136">$B$3*SIN(P1410)</f>
        <v>-1.4775947052019833</v>
      </c>
    </row>
    <row r="1411" spans="6:19" x14ac:dyDescent="0.2">
      <c r="F1411" s="3"/>
      <c r="G1411" s="3"/>
      <c r="H1411" s="3"/>
      <c r="M1411" s="1">
        <f t="shared" ref="M1411:M1474" si="137">M1410+B$13</f>
        <v>42.270000000000842</v>
      </c>
      <c r="N1411" s="1">
        <f t="shared" ref="N1411:N1474" si="138">-$B$12*$B$3*COS(P1410)-B$10*O1410</f>
        <v>2.4819534342411673</v>
      </c>
      <c r="O1411" s="1">
        <f t="shared" ref="O1411:O1474" si="139">N1411*$B$13+O1410</f>
        <v>1.1961221837858125</v>
      </c>
      <c r="P1411" s="1">
        <f t="shared" ref="P1411:P1474" si="140">O1411*$B$13+P1410</f>
        <v>4.5752166029074619</v>
      </c>
      <c r="R1411" s="3">
        <f t="shared" si="135"/>
        <v>-0.20511390520128248</v>
      </c>
      <c r="S1411" s="3">
        <f t="shared" si="136"/>
        <v>-1.4859099184987894</v>
      </c>
    </row>
    <row r="1412" spans="6:19" x14ac:dyDescent="0.2">
      <c r="F1412" s="3"/>
      <c r="G1412" s="3"/>
      <c r="H1412" s="3"/>
      <c r="M1412" s="1">
        <f t="shared" si="137"/>
        <v>42.300000000000843</v>
      </c>
      <c r="N1412" s="1">
        <f t="shared" si="138"/>
        <v>1.9434880554721017</v>
      </c>
      <c r="O1412" s="1">
        <f t="shared" si="139"/>
        <v>1.2544268254499755</v>
      </c>
      <c r="P1412" s="1">
        <f t="shared" si="140"/>
        <v>4.6128494076709607</v>
      </c>
      <c r="R1412" s="3">
        <f t="shared" si="135"/>
        <v>-0.14906291852004117</v>
      </c>
      <c r="S1412" s="3">
        <f t="shared" si="136"/>
        <v>-1.4925750387576122</v>
      </c>
    </row>
    <row r="1413" spans="6:19" x14ac:dyDescent="0.2">
      <c r="F1413" s="3"/>
      <c r="G1413" s="3"/>
      <c r="H1413" s="3"/>
      <c r="M1413" s="1">
        <f t="shared" si="137"/>
        <v>42.330000000000844</v>
      </c>
      <c r="N1413" s="1">
        <f t="shared" si="138"/>
        <v>1.3777307709099136</v>
      </c>
      <c r="O1413" s="1">
        <f t="shared" si="139"/>
        <v>1.295758748577273</v>
      </c>
      <c r="P1413" s="1">
        <f t="shared" si="140"/>
        <v>4.6517221701282789</v>
      </c>
      <c r="R1413" s="3">
        <f t="shared" si="135"/>
        <v>-9.0944405185541352E-2</v>
      </c>
      <c r="S1413" s="3">
        <f t="shared" si="136"/>
        <v>-1.4972405001085991</v>
      </c>
    </row>
    <row r="1414" spans="6:19" x14ac:dyDescent="0.2">
      <c r="F1414" s="3"/>
      <c r="G1414" s="3"/>
      <c r="H1414" s="3"/>
      <c r="M1414" s="1">
        <f t="shared" si="137"/>
        <v>42.360000000000845</v>
      </c>
      <c r="N1414" s="1">
        <f t="shared" si="138"/>
        <v>0.79282576448345887</v>
      </c>
      <c r="O1414" s="1">
        <f t="shared" si="139"/>
        <v>1.3195435215117768</v>
      </c>
      <c r="P1414" s="1">
        <f t="shared" si="140"/>
        <v>4.6913084757736323</v>
      </c>
      <c r="R1414" s="3">
        <f t="shared" si="135"/>
        <v>-3.1618414989516938E-2</v>
      </c>
      <c r="S1414" s="3">
        <f t="shared" si="136"/>
        <v>-1.4996667215863499</v>
      </c>
    </row>
    <row r="1415" spans="6:19" x14ac:dyDescent="0.2">
      <c r="F1415" s="3"/>
      <c r="G1415" s="3"/>
      <c r="H1415" s="3"/>
      <c r="M1415" s="1">
        <f t="shared" si="137"/>
        <v>42.390000000000846</v>
      </c>
      <c r="N1415" s="1">
        <f t="shared" si="138"/>
        <v>0.19742523295910952</v>
      </c>
      <c r="O1415" s="1">
        <f t="shared" si="139"/>
        <v>1.32546627850055</v>
      </c>
      <c r="P1415" s="1">
        <f t="shared" si="140"/>
        <v>4.7310724641286486</v>
      </c>
      <c r="R1415" s="3">
        <f t="shared" si="135"/>
        <v>2.8023595171497974E-2</v>
      </c>
      <c r="S1415" s="3">
        <f t="shared" si="136"/>
        <v>-1.4997382031920317</v>
      </c>
    </row>
    <row r="1416" spans="6:19" x14ac:dyDescent="0.2">
      <c r="F1416" s="3"/>
      <c r="G1416" s="3"/>
      <c r="H1416" s="3"/>
      <c r="M1416" s="1">
        <f t="shared" si="137"/>
        <v>42.420000000000847</v>
      </c>
      <c r="N1416" s="1">
        <f t="shared" si="138"/>
        <v>-0.39952791678002919</v>
      </c>
      <c r="O1416" s="1">
        <f t="shared" si="139"/>
        <v>1.3134804409971492</v>
      </c>
      <c r="P1416" s="1">
        <f t="shared" si="140"/>
        <v>4.7704768773585631</v>
      </c>
      <c r="R1416" s="3">
        <f t="shared" si="135"/>
        <v>8.7082853626651344E-2</v>
      </c>
      <c r="S1416" s="3">
        <f t="shared" si="136"/>
        <v>-1.4974700586670302</v>
      </c>
    </row>
    <row r="1417" spans="6:19" x14ac:dyDescent="0.2">
      <c r="F1417" s="3"/>
      <c r="G1417" s="3"/>
      <c r="H1417" s="3"/>
      <c r="M1417" s="1">
        <f t="shared" si="137"/>
        <v>42.450000000000848</v>
      </c>
      <c r="N1417" s="1">
        <f t="shared" si="138"/>
        <v>-0.98904177595625675</v>
      </c>
      <c r="O1417" s="1">
        <f t="shared" si="139"/>
        <v>1.2838091877184614</v>
      </c>
      <c r="P1417" s="1">
        <f t="shared" si="140"/>
        <v>4.8089911529901173</v>
      </c>
      <c r="R1417" s="3">
        <f t="shared" si="135"/>
        <v>0.14467799166361275</v>
      </c>
      <c r="S1417" s="3">
        <f t="shared" si="136"/>
        <v>-1.4930064563585062</v>
      </c>
    </row>
    <row r="1418" spans="6:19" x14ac:dyDescent="0.2">
      <c r="F1418" s="3"/>
      <c r="G1418" s="3"/>
      <c r="H1418" s="3"/>
      <c r="M1418" s="1">
        <f t="shared" si="137"/>
        <v>42.48000000000085</v>
      </c>
      <c r="N1418" s="1">
        <f t="shared" si="138"/>
        <v>-1.5623227435307889</v>
      </c>
      <c r="O1418" s="1">
        <f t="shared" si="139"/>
        <v>1.2369395054125378</v>
      </c>
      <c r="P1418" s="1">
        <f t="shared" si="140"/>
        <v>4.8460993381524933</v>
      </c>
      <c r="R1418" s="3">
        <f t="shared" si="135"/>
        <v>0.19996843684975976</v>
      </c>
      <c r="S1418" s="3">
        <f t="shared" si="136"/>
        <v>-1.4866111207252095</v>
      </c>
    </row>
    <row r="1419" spans="6:19" x14ac:dyDescent="0.2">
      <c r="F1419" s="3"/>
      <c r="G1419" s="3"/>
      <c r="H1419" s="3"/>
      <c r="M1419" s="1">
        <f t="shared" si="137"/>
        <v>42.510000000000851</v>
      </c>
      <c r="N1419" s="1">
        <f t="shared" si="138"/>
        <v>-2.1110089239847261</v>
      </c>
      <c r="O1419" s="1">
        <f t="shared" si="139"/>
        <v>1.1736092376929961</v>
      </c>
      <c r="P1419" s="1">
        <f t="shared" si="140"/>
        <v>4.8813076152832835</v>
      </c>
      <c r="R1419" s="3">
        <f t="shared" si="135"/>
        <v>0.25217471007985842</v>
      </c>
      <c r="S1419" s="3">
        <f t="shared" si="136"/>
        <v>-1.4786507077725082</v>
      </c>
    </row>
    <row r="1420" spans="6:19" x14ac:dyDescent="0.2">
      <c r="F1420" s="3"/>
      <c r="G1420" s="3"/>
      <c r="H1420" s="3"/>
      <c r="M1420" s="1">
        <f t="shared" si="137"/>
        <v>42.540000000000852</v>
      </c>
      <c r="N1420" s="1">
        <f t="shared" si="138"/>
        <v>-2.6273719321909543</v>
      </c>
      <c r="O1420" s="1">
        <f t="shared" si="139"/>
        <v>1.0947880797272675</v>
      </c>
      <c r="P1420" s="1">
        <f t="shared" si="140"/>
        <v>4.9141512576751012</v>
      </c>
      <c r="R1420" s="3">
        <f t="shared" si="135"/>
        <v>0.3005942557178039</v>
      </c>
      <c r="S1420" s="3">
        <f t="shared" si="136"/>
        <v>-1.4695724185726471</v>
      </c>
    </row>
    <row r="1421" spans="6:19" x14ac:dyDescent="0.2">
      <c r="F1421" s="3"/>
      <c r="G1421" s="3"/>
      <c r="H1421" s="3"/>
      <c r="M1421" s="1">
        <f t="shared" si="137"/>
        <v>42.570000000000853</v>
      </c>
      <c r="N1421" s="1">
        <f t="shared" si="138"/>
        <v>-3.1044734843534934</v>
      </c>
      <c r="O1421" s="1">
        <f t="shared" si="139"/>
        <v>1.0016538751966628</v>
      </c>
      <c r="P1421" s="1">
        <f t="shared" si="140"/>
        <v>4.9442008739310008</v>
      </c>
      <c r="R1421" s="3">
        <f t="shared" si="135"/>
        <v>0.34461199231054518</v>
      </c>
      <c r="S1421" s="3">
        <f t="shared" si="136"/>
        <v>-1.459877588962772</v>
      </c>
    </row>
    <row r="1422" spans="6:19" x14ac:dyDescent="0.2">
      <c r="F1422" s="3"/>
      <c r="G1422" s="3"/>
      <c r="H1422" s="3"/>
      <c r="M1422" s="1">
        <f t="shared" si="137"/>
        <v>42.600000000000854</v>
      </c>
      <c r="N1422" s="1">
        <f t="shared" si="138"/>
        <v>-3.5362687718731514</v>
      </c>
      <c r="O1422" s="1">
        <f t="shared" si="139"/>
        <v>0.89556581204046826</v>
      </c>
      <c r="P1422" s="1">
        <f t="shared" si="140"/>
        <v>4.9710678482922148</v>
      </c>
      <c r="R1422" s="3">
        <f t="shared" si="135"/>
        <v>0.38370539864506986</v>
      </c>
      <c r="S1422" s="3">
        <f t="shared" si="136"/>
        <v>-1.4500931580593805</v>
      </c>
    </row>
    <row r="1423" spans="6:19" x14ac:dyDescent="0.2">
      <c r="F1423" s="3"/>
      <c r="G1423" s="3"/>
      <c r="H1423" s="3"/>
      <c r="M1423" s="1">
        <f t="shared" si="137"/>
        <v>42.630000000000855</v>
      </c>
      <c r="N1423" s="1">
        <f t="shared" si="138"/>
        <v>-3.9176549095343405</v>
      </c>
      <c r="O1423" s="1">
        <f t="shared" si="139"/>
        <v>0.77803616475443804</v>
      </c>
      <c r="P1423" s="1">
        <f t="shared" si="140"/>
        <v>4.9944089332348476</v>
      </c>
      <c r="R1423" s="3">
        <f t="shared" si="135"/>
        <v>0.41744455518219714</v>
      </c>
      <c r="S1423" s="3">
        <f t="shared" si="136"/>
        <v>-1.4407428789859549</v>
      </c>
    </row>
    <row r="1424" spans="6:19" x14ac:dyDescent="0.2">
      <c r="F1424" s="3"/>
      <c r="G1424" s="3"/>
      <c r="H1424" s="3"/>
      <c r="M1424" s="1">
        <f t="shared" si="137"/>
        <v>42.660000000000856</v>
      </c>
      <c r="N1424" s="1">
        <f t="shared" si="138"/>
        <v>-4.2444688066498699</v>
      </c>
      <c r="O1424" s="1">
        <f t="shared" si="139"/>
        <v>0.65070210055494193</v>
      </c>
      <c r="P1424" s="1">
        <f t="shared" si="140"/>
        <v>5.0139299962514956</v>
      </c>
      <c r="R1424" s="3">
        <f t="shared" si="135"/>
        <v>0.44548806581441902</v>
      </c>
      <c r="S1424" s="3">
        <f t="shared" si="136"/>
        <v>-1.432319930468374</v>
      </c>
    </row>
    <row r="1425" spans="6:19" x14ac:dyDescent="0.2">
      <c r="F1425" s="3"/>
      <c r="G1425" s="3"/>
      <c r="H1425" s="3"/>
      <c r="M1425" s="1">
        <f t="shared" si="137"/>
        <v>42.690000000000857</v>
      </c>
      <c r="N1425" s="1">
        <f t="shared" si="138"/>
        <v>-4.5134438471941358</v>
      </c>
      <c r="O1425" s="1">
        <f t="shared" si="139"/>
        <v>0.51529878513911787</v>
      </c>
      <c r="P1425" s="1">
        <f t="shared" si="140"/>
        <v>5.0293889598056696</v>
      </c>
      <c r="R1425" s="3">
        <f t="shared" si="135"/>
        <v>0.46757613529694897</v>
      </c>
      <c r="S1425" s="3">
        <f t="shared" si="136"/>
        <v>-1.425262276811103</v>
      </c>
    </row>
    <row r="1426" spans="6:19" x14ac:dyDescent="0.2">
      <c r="F1426" s="3"/>
      <c r="G1426" s="3"/>
      <c r="H1426" s="3"/>
      <c r="M1426" s="1">
        <f t="shared" si="137"/>
        <v>42.720000000000859</v>
      </c>
      <c r="N1426" s="1">
        <f t="shared" si="138"/>
        <v>-4.7221382436320107</v>
      </c>
      <c r="O1426" s="1">
        <f t="shared" si="139"/>
        <v>0.37363463783015755</v>
      </c>
      <c r="P1426" s="1">
        <f t="shared" si="140"/>
        <v>5.0405979989405747</v>
      </c>
      <c r="R1426" s="3">
        <f t="shared" si="135"/>
        <v>0.48352224797345622</v>
      </c>
      <c r="S1426" s="3">
        <f t="shared" si="136"/>
        <v>-1.4199317714998476</v>
      </c>
    </row>
    <row r="1427" spans="6:19" x14ac:dyDescent="0.2">
      <c r="F1427" s="3"/>
      <c r="G1427" s="3"/>
      <c r="H1427" s="3"/>
      <c r="M1427" s="1">
        <f t="shared" si="137"/>
        <v>42.75000000000086</v>
      </c>
      <c r="N1427" s="1">
        <f t="shared" si="138"/>
        <v>-4.8688495971392767</v>
      </c>
      <c r="O1427" s="1">
        <f t="shared" si="139"/>
        <v>0.22756914991597926</v>
      </c>
      <c r="P1427" s="1">
        <f t="shared" si="140"/>
        <v>5.0474250734380544</v>
      </c>
      <c r="R1427" s="3">
        <f t="shared" si="135"/>
        <v>0.49320488446718114</v>
      </c>
      <c r="S1427" s="3">
        <f t="shared" si="136"/>
        <v>-1.4165976641014606</v>
      </c>
    </row>
    <row r="1428" spans="6:19" x14ac:dyDescent="0.2">
      <c r="F1428" s="3"/>
      <c r="G1428" s="3"/>
      <c r="H1428" s="3"/>
      <c r="M1428" s="1">
        <f t="shared" si="137"/>
        <v>42.780000000000861</v>
      </c>
      <c r="N1428" s="1">
        <f t="shared" si="138"/>
        <v>-4.9525300681642488</v>
      </c>
      <c r="O1428" s="1">
        <f t="shared" si="139"/>
        <v>7.8993247871051803E-2</v>
      </c>
      <c r="P1428" s="1">
        <f t="shared" si="140"/>
        <v>5.0497948708741855</v>
      </c>
      <c r="R1428" s="3">
        <f t="shared" si="135"/>
        <v>0.49656054593359056</v>
      </c>
      <c r="S1428" s="3">
        <f t="shared" si="136"/>
        <v>-1.4154248917629415</v>
      </c>
    </row>
    <row r="1429" spans="6:19" x14ac:dyDescent="0.2">
      <c r="F1429" s="3"/>
      <c r="G1429" s="3"/>
      <c r="H1429" s="3"/>
      <c r="M1429" s="1">
        <f t="shared" si="137"/>
        <v>42.810000000000862</v>
      </c>
      <c r="N1429" s="1">
        <f t="shared" si="138"/>
        <v>-4.9727148516443007</v>
      </c>
      <c r="O1429" s="1">
        <f t="shared" si="139"/>
        <v>-7.018819767827722E-2</v>
      </c>
      <c r="P1429" s="1">
        <f t="shared" si="140"/>
        <v>5.047689224943837</v>
      </c>
      <c r="R1429" s="3">
        <f t="shared" si="135"/>
        <v>0.49357906366195359</v>
      </c>
      <c r="S1429" s="3">
        <f t="shared" si="136"/>
        <v>-1.4164673338678124</v>
      </c>
    </row>
    <row r="1430" spans="6:19" x14ac:dyDescent="0.2">
      <c r="F1430" s="3"/>
      <c r="G1430" s="3"/>
      <c r="H1430" s="3"/>
      <c r="M1430" s="1">
        <f t="shared" si="137"/>
        <v>42.840000000000863</v>
      </c>
      <c r="N1430" s="1">
        <f t="shared" si="138"/>
        <v>-4.9294736988284917</v>
      </c>
      <c r="O1430" s="1">
        <f t="shared" si="139"/>
        <v>-0.21807240864313196</v>
      </c>
      <c r="P1430" s="1">
        <f t="shared" si="140"/>
        <v>5.0411470526845434</v>
      </c>
      <c r="R1430" s="3">
        <f t="shared" si="135"/>
        <v>0.48430179390829775</v>
      </c>
      <c r="S1430" s="3">
        <f t="shared" si="136"/>
        <v>-1.4196660777863239</v>
      </c>
    </row>
    <row r="1431" spans="6:19" x14ac:dyDescent="0.2">
      <c r="F1431" s="3"/>
      <c r="G1431" s="3"/>
      <c r="H1431" s="3"/>
      <c r="M1431" s="1">
        <f t="shared" si="137"/>
        <v>42.870000000000864</v>
      </c>
      <c r="N1431" s="1">
        <f t="shared" si="138"/>
        <v>-4.8233914223050967</v>
      </c>
      <c r="O1431" s="1">
        <f t="shared" si="139"/>
        <v>-0.36277415131228485</v>
      </c>
      <c r="P1431" s="1">
        <f t="shared" si="140"/>
        <v>5.0302638281451753</v>
      </c>
      <c r="R1431" s="3">
        <f t="shared" si="135"/>
        <v>0.46882287303924314</v>
      </c>
      <c r="S1431" s="3">
        <f t="shared" si="136"/>
        <v>-1.4248526638622079</v>
      </c>
    </row>
    <row r="1432" spans="6:19" x14ac:dyDescent="0.2">
      <c r="F1432" s="3"/>
      <c r="G1432" s="3"/>
      <c r="H1432" s="3"/>
      <c r="M1432" s="1">
        <f t="shared" si="137"/>
        <v>42.900000000000865</v>
      </c>
      <c r="N1432" s="1">
        <f t="shared" si="138"/>
        <v>-4.655579056774326</v>
      </c>
      <c r="O1432" s="1">
        <f t="shared" si="139"/>
        <v>-0.50244152301551459</v>
      </c>
      <c r="P1432" s="1">
        <f t="shared" si="140"/>
        <v>5.0151905824547098</v>
      </c>
      <c r="R1432" s="3">
        <f t="shared" si="135"/>
        <v>0.44729327412165887</v>
      </c>
      <c r="S1432" s="3">
        <f t="shared" si="136"/>
        <v>-1.4317572164740524</v>
      </c>
    </row>
    <row r="1433" spans="6:19" x14ac:dyDescent="0.2">
      <c r="F1433" s="3"/>
      <c r="G1433" s="3"/>
      <c r="H1433" s="3"/>
      <c r="M1433" s="1">
        <f t="shared" si="137"/>
        <v>42.930000000000867</v>
      </c>
      <c r="N1433" s="1">
        <f t="shared" si="138"/>
        <v>-4.4277130041451924</v>
      </c>
      <c r="O1433" s="1">
        <f t="shared" si="139"/>
        <v>-0.63527291313987033</v>
      </c>
      <c r="P1433" s="1">
        <f t="shared" si="140"/>
        <v>4.9961323950605134</v>
      </c>
      <c r="R1433" s="3">
        <f t="shared" si="135"/>
        <v>0.41992699933353861</v>
      </c>
      <c r="S1433" s="3">
        <f t="shared" si="136"/>
        <v>-1.4400212898532891</v>
      </c>
    </row>
    <row r="1434" spans="6:19" x14ac:dyDescent="0.2">
      <c r="F1434" s="3"/>
      <c r="G1434" s="3"/>
      <c r="H1434" s="3"/>
      <c r="M1434" s="1">
        <f t="shared" si="137"/>
        <v>42.960000000000868</v>
      </c>
      <c r="N1434" s="1">
        <f t="shared" si="138"/>
        <v>-4.1420954311527982</v>
      </c>
      <c r="O1434" s="1">
        <f t="shared" si="139"/>
        <v>-0.75953577607445433</v>
      </c>
      <c r="P1434" s="1">
        <f t="shared" si="140"/>
        <v>4.9733463217782798</v>
      </c>
      <c r="R1434" s="3">
        <f t="shared" si="135"/>
        <v>0.38700839860766023</v>
      </c>
      <c r="S1434" s="3">
        <f t="shared" si="136"/>
        <v>-1.4492151322033366</v>
      </c>
    </row>
    <row r="1435" spans="6:19" x14ac:dyDescent="0.2">
      <c r="F1435" s="3"/>
      <c r="G1435" s="3"/>
      <c r="H1435" s="3"/>
      <c r="M1435" s="1">
        <f t="shared" si="137"/>
        <v>42.990000000000869</v>
      </c>
      <c r="N1435" s="1">
        <f t="shared" si="138"/>
        <v>-3.801725766229902</v>
      </c>
      <c r="O1435" s="1">
        <f t="shared" si="139"/>
        <v>-0.87358754906135139</v>
      </c>
      <c r="P1435" s="1">
        <f t="shared" si="140"/>
        <v>4.9471386953064389</v>
      </c>
      <c r="R1435" s="3">
        <f t="shared" si="135"/>
        <v>0.34889935859098514</v>
      </c>
      <c r="S1435" s="3">
        <f t="shared" si="136"/>
        <v>-1.4588588819946908</v>
      </c>
    </row>
    <row r="1436" spans="6:19" x14ac:dyDescent="0.2">
      <c r="F1436" s="3"/>
      <c r="G1436" s="3"/>
      <c r="H1436" s="3"/>
      <c r="M1436" s="1">
        <f t="shared" si="137"/>
        <v>43.02000000000087</v>
      </c>
      <c r="N1436" s="1">
        <f t="shared" si="138"/>
        <v>-3.4103707064943301</v>
      </c>
      <c r="O1436" s="1">
        <f t="shared" si="139"/>
        <v>-0.97589867025618127</v>
      </c>
      <c r="P1436" s="1">
        <f t="shared" si="140"/>
        <v>4.9178617351987537</v>
      </c>
      <c r="R1436" s="3">
        <f t="shared" si="135"/>
        <v>0.30604498939934177</v>
      </c>
      <c r="S1436" s="3">
        <f t="shared" si="136"/>
        <v>-1.468446956639414</v>
      </c>
    </row>
    <row r="1437" spans="6:19" x14ac:dyDescent="0.2">
      <c r="F1437" s="3"/>
      <c r="G1437" s="3"/>
      <c r="H1437" s="3"/>
      <c r="M1437" s="1">
        <f t="shared" si="137"/>
        <v>43.050000000000871</v>
      </c>
      <c r="N1437" s="1">
        <f t="shared" si="138"/>
        <v>-2.9726190136703616</v>
      </c>
      <c r="O1437" s="1">
        <f t="shared" si="139"/>
        <v>-1.0650772406662921</v>
      </c>
      <c r="P1437" s="1">
        <f t="shared" si="140"/>
        <v>4.8859094179787652</v>
      </c>
      <c r="R1437" s="3">
        <f t="shared" si="135"/>
        <v>0.25897647478145336</v>
      </c>
      <c r="S1437" s="3">
        <f t="shared" si="136"/>
        <v>-1.4774745972468599</v>
      </c>
    </row>
    <row r="1438" spans="6:19" x14ac:dyDescent="0.2">
      <c r="F1438" s="3"/>
      <c r="G1438" s="3"/>
      <c r="H1438" s="3"/>
      <c r="M1438" s="1">
        <f t="shared" si="137"/>
        <v>43.080000000000872</v>
      </c>
      <c r="N1438" s="1">
        <f t="shared" si="138"/>
        <v>-2.4939077961545668</v>
      </c>
      <c r="O1438" s="1">
        <f t="shared" si="139"/>
        <v>-1.139894474550929</v>
      </c>
      <c r="P1438" s="1">
        <f t="shared" si="140"/>
        <v>4.8517125837422377</v>
      </c>
      <c r="R1438" s="3">
        <f t="shared" si="135"/>
        <v>0.20830995599822277</v>
      </c>
      <c r="S1438" s="3">
        <f t="shared" si="136"/>
        <v>-1.4854652342724211</v>
      </c>
    </row>
    <row r="1439" spans="6:19" x14ac:dyDescent="0.2">
      <c r="F1439" s="3"/>
      <c r="G1439" s="3"/>
      <c r="H1439" s="3"/>
      <c r="M1439" s="1">
        <f t="shared" si="137"/>
        <v>43.110000000000873</v>
      </c>
      <c r="N1439" s="1">
        <f t="shared" si="138"/>
        <v>-1.9805090572726438</v>
      </c>
      <c r="O1439" s="1">
        <f t="shared" si="139"/>
        <v>-1.1993097462691082</v>
      </c>
      <c r="P1439" s="1">
        <f t="shared" si="140"/>
        <v>4.8157332913541646</v>
      </c>
      <c r="R1439" s="3">
        <f t="shared" si="135"/>
        <v>0.15474068324978518</v>
      </c>
      <c r="S1439" s="3">
        <f t="shared" si="136"/>
        <v>-1.4919970914674698</v>
      </c>
    </row>
    <row r="1440" spans="6:19" x14ac:dyDescent="0.2">
      <c r="F1440" s="3"/>
      <c r="G1440" s="3"/>
      <c r="H1440" s="3"/>
      <c r="M1440" s="1">
        <f t="shared" si="137"/>
        <v>43.140000000000875</v>
      </c>
      <c r="N1440" s="1">
        <f t="shared" si="138"/>
        <v>-1.4394689553336322</v>
      </c>
      <c r="O1440" s="1">
        <f t="shared" si="139"/>
        <v>-1.2424938149291171</v>
      </c>
      <c r="P1440" s="1">
        <f t="shared" si="140"/>
        <v>4.778458476906291</v>
      </c>
      <c r="R1440" s="3">
        <f t="shared" si="135"/>
        <v>9.9032159233221145E-2</v>
      </c>
      <c r="S1440" s="3">
        <f t="shared" si="136"/>
        <v>-1.4967273069726517</v>
      </c>
    </row>
    <row r="1441" spans="6:19" x14ac:dyDescent="0.2">
      <c r="F1441" s="3"/>
      <c r="G1441" s="3"/>
      <c r="H1441" s="3"/>
      <c r="M1441" s="1">
        <f t="shared" si="137"/>
        <v>43.170000000000876</v>
      </c>
      <c r="N1441" s="1">
        <f t="shared" si="138"/>
        <v>-0.87849714898859099</v>
      </c>
      <c r="O1441" s="1">
        <f t="shared" si="139"/>
        <v>-1.2688487293987749</v>
      </c>
      <c r="P1441" s="1">
        <f t="shared" si="140"/>
        <v>4.7403930150243276</v>
      </c>
      <c r="R1441" s="3">
        <f t="shared" si="135"/>
        <v>4.2000561802027325E-2</v>
      </c>
      <c r="S1441" s="3">
        <f t="shared" si="136"/>
        <v>-1.4994118689700686</v>
      </c>
    </row>
    <row r="1442" spans="6:19" x14ac:dyDescent="0.2">
      <c r="F1442" s="3"/>
      <c r="G1442" s="3"/>
      <c r="H1442" s="3"/>
      <c r="M1442" s="1">
        <f t="shared" si="137"/>
        <v>43.200000000000877</v>
      </c>
      <c r="N1442" s="1">
        <f t="shared" si="138"/>
        <v>-0.30580923237438346</v>
      </c>
      <c r="O1442" s="1">
        <f t="shared" si="139"/>
        <v>-1.2780230063700064</v>
      </c>
      <c r="P1442" s="1">
        <f t="shared" si="140"/>
        <v>4.7020523248332271</v>
      </c>
      <c r="R1442" s="3">
        <f t="shared" si="135"/>
        <v>-1.5504707219936749E-2</v>
      </c>
      <c r="S1442" s="3">
        <f t="shared" si="136"/>
        <v>-1.4999198658775155</v>
      </c>
    </row>
    <row r="1443" spans="6:19" x14ac:dyDescent="0.2">
      <c r="F1443" s="3"/>
      <c r="G1443" s="3"/>
      <c r="H1443" s="3"/>
      <c r="M1443" s="1">
        <f t="shared" si="137"/>
        <v>43.230000000000878</v>
      </c>
      <c r="N1443" s="1">
        <f t="shared" si="138"/>
        <v>0.27006914277266802</v>
      </c>
      <c r="O1443" s="1">
        <f t="shared" si="139"/>
        <v>-1.2699209320868263</v>
      </c>
      <c r="P1443" s="1">
        <f t="shared" si="140"/>
        <v>4.663954696870622</v>
      </c>
      <c r="R1443" s="3">
        <f t="shared" si="135"/>
        <v>-7.262302335061388E-2</v>
      </c>
      <c r="S1443" s="3">
        <f t="shared" si="136"/>
        <v>-1.498240934055473</v>
      </c>
    </row>
    <row r="1444" spans="6:19" x14ac:dyDescent="0.2">
      <c r="F1444" s="3"/>
      <c r="G1444" s="3"/>
      <c r="H1444" s="3"/>
      <c r="M1444" s="1">
        <f t="shared" si="137"/>
        <v>43.260000000000879</v>
      </c>
      <c r="N1444" s="1">
        <f t="shared" si="138"/>
        <v>0.84052311739395313</v>
      </c>
      <c r="O1444" s="1">
        <f t="shared" si="139"/>
        <v>-1.2447052385650077</v>
      </c>
      <c r="P1444" s="1">
        <f t="shared" si="140"/>
        <v>4.6266135397136718</v>
      </c>
      <c r="R1444" s="3">
        <f t="shared" si="135"/>
        <v>-0.1285054474169075</v>
      </c>
      <c r="S1444" s="3">
        <f t="shared" si="136"/>
        <v>-1.4944853127361877</v>
      </c>
    </row>
    <row r="1445" spans="6:19" x14ac:dyDescent="0.2">
      <c r="F1445" s="3"/>
      <c r="G1445" s="3"/>
      <c r="H1445" s="3"/>
      <c r="M1445" s="1">
        <f t="shared" si="137"/>
        <v>43.29000000000088</v>
      </c>
      <c r="N1445" s="1">
        <f t="shared" si="138"/>
        <v>1.397077945639926</v>
      </c>
      <c r="O1445" s="1">
        <f t="shared" si="139"/>
        <v>-1.20279290019581</v>
      </c>
      <c r="P1445" s="1">
        <f t="shared" si="140"/>
        <v>4.5905297527077975</v>
      </c>
      <c r="R1445" s="3">
        <f t="shared" si="135"/>
        <v>-0.18233678491940397</v>
      </c>
      <c r="S1445" s="3">
        <f t="shared" si="136"/>
        <v>-1.4888765216985775</v>
      </c>
    </row>
    <row r="1446" spans="6:19" x14ac:dyDescent="0.2">
      <c r="F1446" s="3"/>
      <c r="G1446" s="3"/>
      <c r="H1446" s="3"/>
      <c r="M1446" s="1">
        <f t="shared" si="137"/>
        <v>43.320000000000881</v>
      </c>
      <c r="N1446" s="1">
        <f t="shared" si="138"/>
        <v>1.9316192102116627</v>
      </c>
      <c r="O1446" s="1">
        <f t="shared" si="139"/>
        <v>-1.1448443238894601</v>
      </c>
      <c r="P1446" s="1">
        <f t="shared" si="140"/>
        <v>4.5561844229911141</v>
      </c>
      <c r="R1446" s="3">
        <f t="shared" si="135"/>
        <v>-0.23335515539719165</v>
      </c>
      <c r="S1446" s="3">
        <f t="shared" si="136"/>
        <v>-1.4817372815211045</v>
      </c>
    </row>
    <row r="1447" spans="6:19" x14ac:dyDescent="0.2">
      <c r="F1447" s="3"/>
      <c r="G1447" s="3"/>
      <c r="H1447" s="3"/>
      <c r="M1447" s="1">
        <f t="shared" si="137"/>
        <v>43.350000000000882</v>
      </c>
      <c r="N1447" s="1">
        <f t="shared" si="138"/>
        <v>2.4365875431219677</v>
      </c>
      <c r="O1447" s="1">
        <f t="shared" si="139"/>
        <v>-1.071746697595801</v>
      </c>
      <c r="P1447" s="1">
        <f t="shared" si="140"/>
        <v>4.5240320220632402</v>
      </c>
      <c r="R1447" s="3">
        <f t="shared" si="135"/>
        <v>-0.2808677503429331</v>
      </c>
      <c r="S1447" s="3">
        <f t="shared" si="136"/>
        <v>-1.473469818767015</v>
      </c>
    </row>
    <row r="1448" spans="6:19" x14ac:dyDescent="0.2">
      <c r="F1448" s="3"/>
      <c r="G1448" s="3"/>
      <c r="H1448" s="3"/>
      <c r="M1448" s="1">
        <f t="shared" si="137"/>
        <v>43.380000000000884</v>
      </c>
      <c r="N1448" s="1">
        <f t="shared" si="138"/>
        <v>2.9051347062129529</v>
      </c>
      <c r="O1448" s="1">
        <f t="shared" si="139"/>
        <v>-0.9845926564094124</v>
      </c>
      <c r="P1448" s="1">
        <f t="shared" si="140"/>
        <v>4.4944942423709575</v>
      </c>
      <c r="R1448" s="3">
        <f t="shared" si="135"/>
        <v>-0.32426193177796597</v>
      </c>
      <c r="S1448" s="3">
        <f t="shared" si="136"/>
        <v>-1.4645320753058368</v>
      </c>
    </row>
    <row r="1449" spans="6:19" x14ac:dyDescent="0.2">
      <c r="F1449" s="3"/>
      <c r="G1449" s="3"/>
      <c r="H1449" s="3"/>
      <c r="M1449" s="1">
        <f t="shared" si="137"/>
        <v>43.410000000000885</v>
      </c>
      <c r="N1449" s="1">
        <f t="shared" si="138"/>
        <v>3.3312326568565065</v>
      </c>
      <c r="O1449" s="1">
        <f t="shared" si="139"/>
        <v>-0.88465567670371725</v>
      </c>
      <c r="P1449" s="1">
        <f t="shared" si="140"/>
        <v>4.4679545720698464</v>
      </c>
      <c r="R1449" s="3">
        <f t="shared" si="135"/>
        <v>-0.36301137662581806</v>
      </c>
      <c r="S1449" s="3">
        <f t="shared" si="136"/>
        <v>-1.455411536452913</v>
      </c>
    </row>
    <row r="1450" spans="6:19" x14ac:dyDescent="0.2">
      <c r="F1450" s="3"/>
      <c r="G1450" s="3"/>
      <c r="H1450" s="3"/>
      <c r="M1450" s="1">
        <f t="shared" si="137"/>
        <v>43.440000000000886</v>
      </c>
      <c r="N1450" s="1">
        <f t="shared" si="138"/>
        <v>3.7097327771615149</v>
      </c>
      <c r="O1450" s="1">
        <f t="shared" si="139"/>
        <v>-0.77336369338887179</v>
      </c>
      <c r="P1450" s="1">
        <f t="shared" si="140"/>
        <v>4.4447536612681802</v>
      </c>
      <c r="R1450" s="3">
        <f t="shared" si="135"/>
        <v>-0.39667752368284298</v>
      </c>
      <c r="S1450" s="3">
        <f t="shared" si="136"/>
        <v>-1.4465984039134177</v>
      </c>
    </row>
    <row r="1451" spans="6:19" x14ac:dyDescent="0.2">
      <c r="F1451" s="3"/>
      <c r="G1451" s="3"/>
      <c r="H1451" s="3"/>
      <c r="M1451" s="1">
        <f t="shared" si="137"/>
        <v>43.470000000000887</v>
      </c>
      <c r="N1451" s="1">
        <f t="shared" si="138"/>
        <v>4.0363779692334285</v>
      </c>
      <c r="O1451" s="1">
        <f t="shared" si="139"/>
        <v>-0.65227235431186892</v>
      </c>
      <c r="P1451" s="1">
        <f t="shared" si="140"/>
        <v>4.4251854906388237</v>
      </c>
      <c r="R1451" s="3">
        <f t="shared" si="135"/>
        <v>-0.42490705745128704</v>
      </c>
      <c r="S1451" s="3">
        <f t="shared" si="136"/>
        <v>-1.4385596937659864</v>
      </c>
    </row>
    <row r="1452" spans="6:19" x14ac:dyDescent="0.2">
      <c r="F1452" s="3"/>
      <c r="G1452" s="3"/>
      <c r="H1452" s="3"/>
      <c r="M1452" s="1">
        <f t="shared" si="137"/>
        <v>43.500000000000888</v>
      </c>
      <c r="N1452" s="1">
        <f t="shared" si="138"/>
        <v>4.3077750864009392</v>
      </c>
      <c r="O1452" s="1">
        <f t="shared" si="139"/>
        <v>-0.5230391017198408</v>
      </c>
      <c r="P1452" s="1">
        <f t="shared" si="140"/>
        <v>4.4094943175872281</v>
      </c>
      <c r="R1452" s="3">
        <f t="shared" si="135"/>
        <v>-0.44742651255270482</v>
      </c>
      <c r="S1452" s="3">
        <f t="shared" si="136"/>
        <v>-1.4317155848369203</v>
      </c>
    </row>
    <row r="1453" spans="6:19" x14ac:dyDescent="0.2">
      <c r="F1453" s="3"/>
      <c r="G1453" s="3"/>
      <c r="H1453" s="3"/>
      <c r="M1453" s="1">
        <f t="shared" si="137"/>
        <v>43.530000000000889</v>
      </c>
      <c r="N1453" s="1">
        <f t="shared" si="138"/>
        <v>4.5213386446818342</v>
      </c>
      <c r="O1453" s="1">
        <f t="shared" si="139"/>
        <v>-0.38739894237938577</v>
      </c>
      <c r="P1453" s="1">
        <f t="shared" si="140"/>
        <v>4.3978723493158469</v>
      </c>
      <c r="R1453" s="3">
        <f t="shared" si="135"/>
        <v>-0.46403527443369108</v>
      </c>
      <c r="S1453" s="3">
        <f t="shared" si="136"/>
        <v>-1.4264190352351755</v>
      </c>
    </row>
    <row r="1454" spans="6:19" x14ac:dyDescent="0.2">
      <c r="F1454" s="3"/>
      <c r="G1454" s="3"/>
      <c r="H1454" s="3"/>
      <c r="M1454" s="1">
        <f t="shared" si="137"/>
        <v>43.56000000000089</v>
      </c>
      <c r="N1454" s="1">
        <f t="shared" si="138"/>
        <v>4.6752186491510557</v>
      </c>
      <c r="O1454" s="1">
        <f t="shared" si="139"/>
        <v>-0.2471423829048541</v>
      </c>
      <c r="P1454" s="1">
        <f t="shared" si="140"/>
        <v>4.3904580778287015</v>
      </c>
      <c r="R1454" s="3">
        <f t="shared" si="135"/>
        <v>-0.47459828123968473</v>
      </c>
      <c r="S1454" s="3">
        <f t="shared" si="136"/>
        <v>-1.422939377290662</v>
      </c>
    </row>
    <row r="1455" spans="6:19" x14ac:dyDescent="0.2">
      <c r="F1455" s="3"/>
      <c r="G1455" s="3"/>
      <c r="H1455" s="3"/>
      <c r="M1455" s="1">
        <f t="shared" si="137"/>
        <v>43.590000000000892</v>
      </c>
      <c r="N1455" s="1">
        <f t="shared" si="138"/>
        <v>4.7682256268582845</v>
      </c>
      <c r="O1455" s="1">
        <f t="shared" si="139"/>
        <v>-0.10409561409910556</v>
      </c>
      <c r="P1455" s="1">
        <f t="shared" si="140"/>
        <v>4.3873352094057285</v>
      </c>
      <c r="R1455" s="3">
        <f t="shared" si="135"/>
        <v>-0.47903961225395619</v>
      </c>
      <c r="S1455" s="3">
        <f t="shared" si="136"/>
        <v>-1.4214503332482564</v>
      </c>
    </row>
    <row r="1456" spans="6:19" x14ac:dyDescent="0.2">
      <c r="F1456" s="3"/>
      <c r="G1456" s="3"/>
      <c r="H1456" s="3"/>
      <c r="M1456" s="1">
        <f t="shared" si="137"/>
        <v>43.620000000000893</v>
      </c>
      <c r="N1456" s="1">
        <f t="shared" si="138"/>
        <v>4.7997647278084816</v>
      </c>
      <c r="O1456" s="1">
        <f t="shared" si="139"/>
        <v>3.9897327735148896E-2</v>
      </c>
      <c r="P1456" s="1">
        <f t="shared" si="140"/>
        <v>4.3885321292377828</v>
      </c>
      <c r="R1456" s="3">
        <f t="shared" si="135"/>
        <v>-0.47733790742591931</v>
      </c>
      <c r="S1456" s="3">
        <f t="shared" si="136"/>
        <v>-1.4220226869267045</v>
      </c>
    </row>
    <row r="1457" spans="6:19" x14ac:dyDescent="0.2">
      <c r="F1457" s="3"/>
      <c r="G1457" s="3"/>
      <c r="H1457" s="3"/>
      <c r="M1457" s="1">
        <f t="shared" si="137"/>
        <v>43.650000000000894</v>
      </c>
      <c r="N1457" s="1">
        <f t="shared" si="138"/>
        <v>4.7697883147630291</v>
      </c>
      <c r="O1457" s="1">
        <f t="shared" si="139"/>
        <v>0.18299097717803978</v>
      </c>
      <c r="P1457" s="1">
        <f t="shared" si="140"/>
        <v>4.3940218585531241</v>
      </c>
      <c r="R1457" s="3">
        <f t="shared" si="135"/>
        <v>-0.4695242342266388</v>
      </c>
      <c r="S1457" s="3">
        <f t="shared" si="136"/>
        <v>-1.4246217018822536</v>
      </c>
    </row>
    <row r="1458" spans="6:19" x14ac:dyDescent="0.2">
      <c r="F1458" s="3"/>
      <c r="G1458" s="3"/>
      <c r="H1458" s="3"/>
      <c r="M1458" s="1">
        <f t="shared" si="137"/>
        <v>43.680000000000895</v>
      </c>
      <c r="N1458" s="1">
        <f t="shared" si="138"/>
        <v>4.6787731543203641</v>
      </c>
      <c r="O1458" s="1">
        <f t="shared" si="139"/>
        <v>0.32335417180765069</v>
      </c>
      <c r="P1458" s="1">
        <f t="shared" si="140"/>
        <v>4.4037224837073534</v>
      </c>
      <c r="R1458" s="3">
        <f t="shared" si="135"/>
        <v>-0.45568263841162859</v>
      </c>
      <c r="S1458" s="3">
        <f t="shared" si="136"/>
        <v>-1.4291092796039835</v>
      </c>
    </row>
    <row r="1459" spans="6:19" x14ac:dyDescent="0.2">
      <c r="F1459" s="3"/>
      <c r="G1459" s="3"/>
      <c r="H1459" s="3"/>
      <c r="M1459" s="1">
        <f t="shared" si="137"/>
        <v>43.710000000000896</v>
      </c>
      <c r="N1459" s="1">
        <f t="shared" si="138"/>
        <v>4.5277245086535967</v>
      </c>
      <c r="O1459" s="1">
        <f t="shared" si="139"/>
        <v>0.45918590706725859</v>
      </c>
      <c r="P1459" s="1">
        <f t="shared" si="140"/>
        <v>4.417498060919371</v>
      </c>
      <c r="R1459" s="3">
        <f t="shared" si="135"/>
        <v>-0.43595321985733204</v>
      </c>
      <c r="S1459" s="3">
        <f t="shared" si="136"/>
        <v>-1.4352507760304556</v>
      </c>
    </row>
    <row r="1460" spans="6:19" x14ac:dyDescent="0.2">
      <c r="F1460" s="3"/>
      <c r="G1460" s="3"/>
      <c r="H1460" s="3"/>
      <c r="M1460" s="1">
        <f t="shared" si="137"/>
        <v>43.740000000000897</v>
      </c>
      <c r="N1460" s="1">
        <f t="shared" si="138"/>
        <v>4.3182054669372665</v>
      </c>
      <c r="O1460" s="1">
        <f t="shared" si="139"/>
        <v>0.58873207107537662</v>
      </c>
      <c r="P1460" s="1">
        <f t="shared" si="140"/>
        <v>4.4351600230516324</v>
      </c>
      <c r="R1460" s="3">
        <f t="shared" si="135"/>
        <v>-0.41053719798780564</v>
      </c>
      <c r="S1460" s="3">
        <f t="shared" si="136"/>
        <v>-1.442726311213711</v>
      </c>
    </row>
    <row r="1461" spans="6:19" x14ac:dyDescent="0.2">
      <c r="F1461" s="3"/>
      <c r="G1461" s="3"/>
      <c r="H1461" s="3"/>
      <c r="M1461" s="1">
        <f t="shared" si="137"/>
        <v>43.770000000000898</v>
      </c>
      <c r="N1461" s="1">
        <f t="shared" si="138"/>
        <v>4.0523860934812728</v>
      </c>
      <c r="O1461" s="1">
        <f t="shared" si="139"/>
        <v>0.71030365387981476</v>
      </c>
      <c r="P1461" s="1">
        <f t="shared" si="140"/>
        <v>4.456469132668027</v>
      </c>
      <c r="R1461" s="3">
        <f t="shared" si="135"/>
        <v>-0.37970310700047116</v>
      </c>
      <c r="S1461" s="3">
        <f t="shared" si="136"/>
        <v>-1.4511462884679094</v>
      </c>
    </row>
    <row r="1462" spans="6:19" x14ac:dyDescent="0.2">
      <c r="F1462" s="3"/>
      <c r="G1462" s="3"/>
      <c r="H1462" s="3"/>
      <c r="M1462" s="1">
        <f t="shared" si="137"/>
        <v>43.8000000000009</v>
      </c>
      <c r="N1462" s="1">
        <f t="shared" si="138"/>
        <v>3.7331037411555279</v>
      </c>
      <c r="O1462" s="1">
        <f t="shared" si="139"/>
        <v>0.82229676611448055</v>
      </c>
      <c r="P1462" s="1">
        <f t="shared" si="140"/>
        <v>4.4811380356514618</v>
      </c>
      <c r="R1462" s="3">
        <f t="shared" si="135"/>
        <v>-0.34379302153429869</v>
      </c>
      <c r="S1462" s="3">
        <f t="shared" si="136"/>
        <v>-1.4600706689555536</v>
      </c>
    </row>
    <row r="1463" spans="6:19" x14ac:dyDescent="0.2">
      <c r="F1463" s="3"/>
      <c r="G1463" s="3"/>
      <c r="H1463" s="3"/>
      <c r="M1463" s="1">
        <f t="shared" si="137"/>
        <v>43.830000000000901</v>
      </c>
      <c r="N1463" s="1">
        <f t="shared" si="138"/>
        <v>3.3639235063926836</v>
      </c>
      <c r="O1463" s="1">
        <f t="shared" si="139"/>
        <v>0.92321447130626111</v>
      </c>
      <c r="P1463" s="1">
        <f t="shared" si="140"/>
        <v>4.5088344697906493</v>
      </c>
      <c r="R1463" s="3">
        <f t="shared" si="135"/>
        <v>-0.30322758816914375</v>
      </c>
      <c r="S1463" s="3">
        <f t="shared" si="136"/>
        <v>-1.4690313236187731</v>
      </c>
    </row>
    <row r="1464" spans="6:19" x14ac:dyDescent="0.2">
      <c r="F1464" s="3"/>
      <c r="G1464" s="3"/>
      <c r="H1464" s="3"/>
      <c r="M1464" s="1">
        <f t="shared" si="137"/>
        <v>43.860000000000902</v>
      </c>
      <c r="N1464" s="1">
        <f t="shared" si="138"/>
        <v>2.9491865792738738</v>
      </c>
      <c r="O1464" s="1">
        <f t="shared" si="139"/>
        <v>1.0116900686844774</v>
      </c>
      <c r="P1464" s="1">
        <f t="shared" si="140"/>
        <v>4.5391851718511838</v>
      </c>
      <c r="R1464" s="3">
        <f t="shared" si="135"/>
        <v>-0.2585086504138201</v>
      </c>
      <c r="S1464" s="3">
        <f t="shared" si="136"/>
        <v>-1.477556522662069</v>
      </c>
    </row>
    <row r="1465" spans="6:19" x14ac:dyDescent="0.2">
      <c r="F1465" s="3"/>
      <c r="G1465" s="3"/>
      <c r="H1465" s="3"/>
      <c r="M1465" s="1">
        <f t="shared" si="137"/>
        <v>43.890000000000903</v>
      </c>
      <c r="N1465" s="1">
        <f t="shared" si="138"/>
        <v>2.494034397956598</v>
      </c>
      <c r="O1465" s="1">
        <f t="shared" si="139"/>
        <v>1.0865111006231754</v>
      </c>
      <c r="P1465" s="1">
        <f t="shared" si="140"/>
        <v>4.5717805048698787</v>
      </c>
      <c r="R1465" s="3">
        <f t="shared" si="135"/>
        <v>-0.21021841644410194</v>
      </c>
      <c r="S1465" s="3">
        <f t="shared" si="136"/>
        <v>-1.4851963565090422</v>
      </c>
    </row>
    <row r="1466" spans="6:19" x14ac:dyDescent="0.2">
      <c r="F1466" s="3"/>
      <c r="G1466" s="3"/>
      <c r="H1466" s="3"/>
      <c r="M1466" s="1">
        <f t="shared" si="137"/>
        <v>43.920000000000904</v>
      </c>
      <c r="N1466" s="1">
        <f t="shared" si="138"/>
        <v>2.0043981653849334</v>
      </c>
      <c r="O1466" s="1">
        <f t="shared" si="139"/>
        <v>1.1466430455847234</v>
      </c>
      <c r="P1466" s="1">
        <f t="shared" si="140"/>
        <v>4.60617979623742</v>
      </c>
      <c r="R1466" s="3">
        <f t="shared" si="135"/>
        <v>-0.15901442483496825</v>
      </c>
      <c r="S1466" s="3">
        <f t="shared" si="136"/>
        <v>-1.4915476568633013</v>
      </c>
    </row>
    <row r="1467" spans="6:19" x14ac:dyDescent="0.2">
      <c r="F1467" s="3"/>
      <c r="G1467" s="3"/>
      <c r="H1467" s="3"/>
      <c r="M1467" s="1">
        <f t="shared" si="137"/>
        <v>43.950000000000905</v>
      </c>
      <c r="N1467" s="1">
        <f t="shared" si="138"/>
        <v>1.4869463742470574</v>
      </c>
      <c r="O1467" s="1">
        <f t="shared" si="139"/>
        <v>1.1912514368121352</v>
      </c>
      <c r="P1467" s="1">
        <f t="shared" si="140"/>
        <v>4.6419173393417843</v>
      </c>
      <c r="R1467" s="3">
        <f t="shared" si="135"/>
        <v>-0.10561998830245958</v>
      </c>
      <c r="S1467" s="3">
        <f t="shared" si="136"/>
        <v>-1.496276852080185</v>
      </c>
    </row>
    <row r="1468" spans="6:19" x14ac:dyDescent="0.2">
      <c r="F1468" s="3"/>
      <c r="G1468" s="3"/>
      <c r="H1468" s="3"/>
      <c r="M1468" s="1">
        <f t="shared" si="137"/>
        <v>43.980000000000906</v>
      </c>
      <c r="N1468" s="1">
        <f t="shared" si="138"/>
        <v>0.94898725371150361</v>
      </c>
      <c r="O1468" s="1">
        <f t="shared" si="139"/>
        <v>1.2197210544234802</v>
      </c>
      <c r="P1468" s="1">
        <f t="shared" si="140"/>
        <v>4.6785089709744891</v>
      </c>
      <c r="R1468" s="3">
        <f t="shared" si="135"/>
        <v>-5.0810292338408218E-2</v>
      </c>
      <c r="S1468" s="3">
        <f t="shared" si="136"/>
        <v>-1.4991391910668221</v>
      </c>
    </row>
    <row r="1469" spans="6:19" x14ac:dyDescent="0.2">
      <c r="F1469" s="3"/>
      <c r="G1469" s="3"/>
      <c r="H1469" s="3"/>
      <c r="M1469" s="1">
        <f t="shared" si="137"/>
        <v>44.010000000000908</v>
      </c>
      <c r="N1469" s="1">
        <f t="shared" si="138"/>
        <v>0.39832802848596893</v>
      </c>
      <c r="O1469" s="1">
        <f t="shared" si="139"/>
        <v>1.2316708952780593</v>
      </c>
      <c r="P1469" s="1">
        <f t="shared" si="140"/>
        <v>4.7154590978328308</v>
      </c>
      <c r="R1469" s="3">
        <f t="shared" si="135"/>
        <v>4.6051689377738271E-3</v>
      </c>
      <c r="S1469" s="3">
        <f t="shared" si="136"/>
        <v>-1.4999929307896935</v>
      </c>
    </row>
    <row r="1470" spans="6:19" x14ac:dyDescent="0.2">
      <c r="F1470" s="3"/>
      <c r="G1470" s="3"/>
      <c r="H1470" s="3"/>
      <c r="M1470" s="1">
        <f t="shared" si="137"/>
        <v>44.040000000000909</v>
      </c>
      <c r="N1470" s="1">
        <f t="shared" si="138"/>
        <v>-0.1569020699527636</v>
      </c>
      <c r="O1470" s="1">
        <f t="shared" si="139"/>
        <v>1.2269638331794763</v>
      </c>
      <c r="P1470" s="1">
        <f t="shared" si="140"/>
        <v>4.7522680128282149</v>
      </c>
      <c r="R1470" s="3">
        <f t="shared" si="135"/>
        <v>5.98026946485175E-2</v>
      </c>
      <c r="S1470" s="3">
        <f t="shared" si="136"/>
        <v>-1.4988074051434281</v>
      </c>
    </row>
    <row r="1471" spans="6:19" x14ac:dyDescent="0.2">
      <c r="F1471" s="3"/>
      <c r="G1471" s="3"/>
      <c r="H1471" s="3"/>
      <c r="M1471" s="1">
        <f t="shared" si="137"/>
        <v>44.07000000000091</v>
      </c>
      <c r="N1471" s="1">
        <f t="shared" si="138"/>
        <v>-0.70845369147132786</v>
      </c>
      <c r="O1471" s="1">
        <f t="shared" si="139"/>
        <v>1.2057102224353364</v>
      </c>
      <c r="P1471" s="1">
        <f t="shared" si="140"/>
        <v>4.7884393195012747</v>
      </c>
      <c r="R1471" s="3">
        <f t="shared" si="135"/>
        <v>0.1139655782561444</v>
      </c>
      <c r="S1471" s="3">
        <f t="shared" si="136"/>
        <v>-1.4956643497030817</v>
      </c>
    </row>
    <row r="1472" spans="6:19" x14ac:dyDescent="0.2">
      <c r="F1472" s="3"/>
      <c r="G1472" s="3"/>
      <c r="H1472" s="3"/>
      <c r="M1472" s="1">
        <f t="shared" si="137"/>
        <v>44.100000000000911</v>
      </c>
      <c r="N1472" s="1">
        <f t="shared" si="138"/>
        <v>-1.2481697025806242</v>
      </c>
      <c r="O1472" s="1">
        <f t="shared" si="139"/>
        <v>1.1682651313579178</v>
      </c>
      <c r="P1472" s="1">
        <f t="shared" si="140"/>
        <v>4.8234872734420122</v>
      </c>
      <c r="R1472" s="3">
        <f t="shared" si="135"/>
        <v>0.16630483423421202</v>
      </c>
      <c r="S1472" s="3">
        <f t="shared" si="136"/>
        <v>-1.4907523946351156</v>
      </c>
    </row>
    <row r="1473" spans="6:19" x14ac:dyDescent="0.2">
      <c r="F1473" s="3"/>
      <c r="G1473" s="3"/>
      <c r="H1473" s="3"/>
      <c r="M1473" s="1">
        <f t="shared" si="137"/>
        <v>44.130000000000912</v>
      </c>
      <c r="N1473" s="1">
        <f t="shared" si="138"/>
        <v>-1.768192204164333</v>
      </c>
      <c r="O1473" s="1">
        <f t="shared" si="139"/>
        <v>1.1152193652329878</v>
      </c>
      <c r="P1473" s="1">
        <f t="shared" si="140"/>
        <v>4.8569438543990016</v>
      </c>
      <c r="R1473" s="3">
        <f t="shared" si="135"/>
        <v>0.21607794092807592</v>
      </c>
      <c r="S1473" s="3">
        <f t="shared" si="136"/>
        <v>-1.4843551877648027</v>
      </c>
    </row>
    <row r="1474" spans="6:19" x14ac:dyDescent="0.2">
      <c r="F1474" s="3"/>
      <c r="G1474" s="3"/>
      <c r="H1474" s="3"/>
      <c r="M1474" s="1">
        <f t="shared" si="137"/>
        <v>44.160000000000913</v>
      </c>
      <c r="N1474" s="1">
        <f t="shared" si="138"/>
        <v>-2.2611491521517282</v>
      </c>
      <c r="O1474" s="1">
        <f t="shared" si="139"/>
        <v>1.047384890668436</v>
      </c>
      <c r="P1474" s="1">
        <f t="shared" si="140"/>
        <v>4.8883654011190547</v>
      </c>
      <c r="R1474" s="3">
        <f t="shared" ref="R1474:R1537" si="141">$B$3*COS(P1474)</f>
        <v>0.26260434278093747</v>
      </c>
      <c r="S1474" s="3">
        <f t="shared" ref="S1474:S1537" si="142">$B$3*SIN(P1474)</f>
        <v>-1.4768341000777954</v>
      </c>
    </row>
    <row r="1475" spans="6:19" x14ac:dyDescent="0.2">
      <c r="F1475" s="3"/>
      <c r="G1475" s="3"/>
      <c r="H1475" s="3"/>
      <c r="M1475" s="1">
        <f t="shared" ref="M1475:M1538" si="143">M1474+B$13</f>
        <v>44.190000000000914</v>
      </c>
      <c r="N1475" s="1">
        <f t="shared" ref="N1475:N1538" si="144">-$B$12*$B$3*COS(P1474)-B$10*O1474</f>
        <v>-2.7203080679695342</v>
      </c>
      <c r="O1475" s="1">
        <f t="shared" ref="O1475:O1538" si="145">N1475*$B$13+O1474</f>
        <v>0.96577564862934995</v>
      </c>
      <c r="P1475" s="1">
        <f t="shared" ref="P1475:P1538" si="146">O1475*$B$13+P1474</f>
        <v>4.9173386705779354</v>
      </c>
      <c r="R1475" s="3">
        <f t="shared" si="141"/>
        <v>0.30527685491736706</v>
      </c>
      <c r="S1475" s="3">
        <f t="shared" si="142"/>
        <v>-1.4686068370574068</v>
      </c>
    </row>
    <row r="1476" spans="6:19" x14ac:dyDescent="0.2">
      <c r="F1476" s="3"/>
      <c r="G1476" s="3"/>
      <c r="H1476" s="3"/>
      <c r="M1476" s="1">
        <f t="shared" si="143"/>
        <v>44.220000000000915</v>
      </c>
      <c r="N1476" s="1">
        <f t="shared" si="144"/>
        <v>-3.1396883575503121</v>
      </c>
      <c r="O1476" s="1">
        <f t="shared" si="145"/>
        <v>0.87158499790284061</v>
      </c>
      <c r="P1476" s="1">
        <f t="shared" si="146"/>
        <v>4.9434862205150205</v>
      </c>
      <c r="R1476" s="3">
        <f t="shared" si="141"/>
        <v>0.34356859789173533</v>
      </c>
      <c r="S1476" s="3">
        <f t="shared" si="142"/>
        <v>-1.4601234942780379</v>
      </c>
    </row>
    <row r="1477" spans="6:19" x14ac:dyDescent="0.2">
      <c r="F1477" s="3"/>
      <c r="G1477" s="3"/>
      <c r="H1477" s="3"/>
      <c r="M1477" s="1">
        <f t="shared" si="143"/>
        <v>44.250000000000917</v>
      </c>
      <c r="N1477" s="1">
        <f t="shared" si="144"/>
        <v>-3.5141286287286095</v>
      </c>
      <c r="O1477" s="1">
        <f t="shared" si="145"/>
        <v>0.76616113904098238</v>
      </c>
      <c r="P1477" s="1">
        <f t="shared" si="146"/>
        <v>4.9664710546862496</v>
      </c>
      <c r="R1477" s="3">
        <f t="shared" si="141"/>
        <v>0.37703558922472119</v>
      </c>
      <c r="S1477" s="3">
        <f t="shared" si="142"/>
        <v>-1.4518416457926695</v>
      </c>
    </row>
    <row r="1478" spans="6:19" x14ac:dyDescent="0.2">
      <c r="F1478" s="3"/>
      <c r="G1478" s="3"/>
      <c r="H1478" s="3"/>
      <c r="M1478" s="1">
        <f t="shared" si="143"/>
        <v>44.280000000000918</v>
      </c>
      <c r="N1478" s="1">
        <f t="shared" si="144"/>
        <v>-3.8393103947609006</v>
      </c>
      <c r="O1478" s="1">
        <f t="shared" si="145"/>
        <v>0.65098182719815534</v>
      </c>
      <c r="P1478" s="1">
        <f t="shared" si="146"/>
        <v>4.986000509502194</v>
      </c>
      <c r="R1478" s="3">
        <f t="shared" si="141"/>
        <v>0.40531556440644301</v>
      </c>
      <c r="S1478" s="3">
        <f t="shared" si="142"/>
        <v>-1.4442019572240881</v>
      </c>
    </row>
    <row r="1479" spans="6:19" x14ac:dyDescent="0.2">
      <c r="F1479" s="3"/>
      <c r="G1479" s="3"/>
      <c r="H1479" s="3"/>
      <c r="M1479" s="1">
        <f t="shared" si="143"/>
        <v>44.310000000000919</v>
      </c>
      <c r="N1479" s="1">
        <f t="shared" si="144"/>
        <v>-4.1117440085122645</v>
      </c>
      <c r="O1479" s="1">
        <f t="shared" si="145"/>
        <v>0.52762950694278743</v>
      </c>
      <c r="P1479" s="1">
        <f t="shared" si="146"/>
        <v>5.0018293947104775</v>
      </c>
      <c r="R1479" s="3">
        <f t="shared" si="141"/>
        <v>0.42812394122504538</v>
      </c>
      <c r="S1479" s="3">
        <f t="shared" si="142"/>
        <v>-1.4376056103639598</v>
      </c>
    </row>
    <row r="1480" spans="6:19" x14ac:dyDescent="0.2">
      <c r="F1480" s="3"/>
      <c r="G1480" s="3"/>
      <c r="H1480" s="3"/>
      <c r="M1480" s="1">
        <f t="shared" si="143"/>
        <v>44.34000000000092</v>
      </c>
      <c r="N1480" s="1">
        <f t="shared" si="144"/>
        <v>-4.3287260678753041</v>
      </c>
      <c r="O1480" s="1">
        <f t="shared" si="145"/>
        <v>0.39776772490652834</v>
      </c>
      <c r="P1480" s="1">
        <f t="shared" si="146"/>
        <v>5.0137624264576734</v>
      </c>
      <c r="R1480" s="3">
        <f t="shared" si="141"/>
        <v>0.44524804600553514</v>
      </c>
      <c r="S1480" s="3">
        <f t="shared" si="142"/>
        <v>-1.4323945607018524</v>
      </c>
    </row>
    <row r="1481" spans="6:19" x14ac:dyDescent="0.2">
      <c r="F1481" s="3"/>
      <c r="G1481" s="3"/>
      <c r="H1481" s="3"/>
      <c r="M1481" s="1">
        <f t="shared" si="143"/>
        <v>44.370000000000921</v>
      </c>
      <c r="N1481" s="1">
        <f t="shared" si="144"/>
        <v>-4.4882795552969386</v>
      </c>
      <c r="O1481" s="1">
        <f t="shared" si="145"/>
        <v>0.26311933824762018</v>
      </c>
      <c r="P1481" s="1">
        <f t="shared" si="146"/>
        <v>5.0216560066051024</v>
      </c>
      <c r="R1481" s="3">
        <f t="shared" si="141"/>
        <v>0.45654077853501218</v>
      </c>
      <c r="S1481" s="3">
        <f t="shared" si="142"/>
        <v>-1.4288353710398707</v>
      </c>
    </row>
    <row r="1482" spans="6:19" x14ac:dyDescent="0.2">
      <c r="F1482" s="3"/>
      <c r="G1482" s="3"/>
      <c r="H1482" s="3"/>
      <c r="M1482" s="1">
        <f t="shared" si="143"/>
        <v>44.400000000000922</v>
      </c>
      <c r="N1482" s="1">
        <f t="shared" si="144"/>
        <v>-4.5890885257924072</v>
      </c>
      <c r="O1482" s="1">
        <f t="shared" si="145"/>
        <v>0.12544668247384796</v>
      </c>
      <c r="P1482" s="1">
        <f t="shared" si="146"/>
        <v>5.0254194070793181</v>
      </c>
      <c r="R1482" s="3">
        <f t="shared" si="141"/>
        <v>0.46191481252322558</v>
      </c>
      <c r="S1482" s="3">
        <f t="shared" si="142"/>
        <v>-1.4271071108965974</v>
      </c>
    </row>
    <row r="1483" spans="6:19" x14ac:dyDescent="0.2">
      <c r="F1483" s="3"/>
      <c r="G1483" s="3"/>
      <c r="H1483" s="3"/>
      <c r="M1483" s="1">
        <f t="shared" si="143"/>
        <v>44.430000000000923</v>
      </c>
      <c r="N1483" s="1">
        <f t="shared" si="144"/>
        <v>-4.6304383266549021</v>
      </c>
      <c r="O1483" s="1">
        <f t="shared" si="145"/>
        <v>-1.3466467325799092E-2</v>
      </c>
      <c r="P1483" s="1">
        <f t="shared" si="146"/>
        <v>5.0250154130595446</v>
      </c>
      <c r="R1483" s="3">
        <f t="shared" si="141"/>
        <v>0.46133823210570263</v>
      </c>
      <c r="S1483" s="3">
        <f t="shared" si="142"/>
        <v>-1.4272936052535179</v>
      </c>
    </row>
    <row r="1484" spans="6:19" x14ac:dyDescent="0.2">
      <c r="F1484" s="3"/>
      <c r="G1484" s="3"/>
      <c r="H1484" s="3"/>
      <c r="M1484" s="1">
        <f t="shared" si="143"/>
        <v>44.460000000000925</v>
      </c>
      <c r="N1484" s="1">
        <f t="shared" si="144"/>
        <v>-4.6121703389977045</v>
      </c>
      <c r="O1484" s="1">
        <f t="shared" si="145"/>
        <v>-0.15183157749573023</v>
      </c>
      <c r="P1484" s="1">
        <f t="shared" si="146"/>
        <v>5.020460465734673</v>
      </c>
      <c r="R1484" s="3">
        <f t="shared" si="141"/>
        <v>0.45483222158782188</v>
      </c>
      <c r="S1484" s="3">
        <f t="shared" si="142"/>
        <v>-1.4293801629396872</v>
      </c>
    </row>
    <row r="1485" spans="6:19" x14ac:dyDescent="0.2">
      <c r="F1485" s="3"/>
      <c r="G1485" s="3"/>
      <c r="H1485" s="3"/>
      <c r="M1485" s="1">
        <f t="shared" si="143"/>
        <v>44.490000000000926</v>
      </c>
      <c r="N1485" s="1">
        <f t="shared" si="144"/>
        <v>-4.5346573739036025</v>
      </c>
      <c r="O1485" s="1">
        <f t="shared" si="145"/>
        <v>-0.28787129871283829</v>
      </c>
      <c r="P1485" s="1">
        <f t="shared" si="146"/>
        <v>5.0118243267732883</v>
      </c>
      <c r="R1485" s="3">
        <f t="shared" si="141"/>
        <v>0.44247108807062507</v>
      </c>
      <c r="S1485" s="3">
        <f t="shared" si="142"/>
        <v>-1.4332548050579133</v>
      </c>
    </row>
    <row r="1486" spans="6:19" x14ac:dyDescent="0.2">
      <c r="F1486" s="3"/>
      <c r="G1486" s="3"/>
      <c r="H1486" s="3"/>
      <c r="M1486" s="1">
        <f t="shared" si="143"/>
        <v>44.520000000000927</v>
      </c>
      <c r="N1486" s="1">
        <f t="shared" si="144"/>
        <v>-4.3988024638220953</v>
      </c>
      <c r="O1486" s="1">
        <f t="shared" si="145"/>
        <v>-0.41983537262750115</v>
      </c>
      <c r="P1486" s="1">
        <f t="shared" si="146"/>
        <v>4.9992292655944635</v>
      </c>
      <c r="R1486" s="3">
        <f t="shared" si="141"/>
        <v>0.42438453803021348</v>
      </c>
      <c r="S1486" s="3">
        <f t="shared" si="142"/>
        <v>-1.4387139270476541</v>
      </c>
    </row>
    <row r="1487" spans="6:19" x14ac:dyDescent="0.2">
      <c r="F1487" s="3"/>
      <c r="G1487" s="3"/>
      <c r="H1487" s="3"/>
      <c r="M1487" s="1">
        <f t="shared" si="143"/>
        <v>44.550000000000928</v>
      </c>
      <c r="N1487" s="1">
        <f t="shared" si="144"/>
        <v>-4.2060601967656588</v>
      </c>
      <c r="O1487" s="1">
        <f t="shared" si="145"/>
        <v>-0.54601717853047094</v>
      </c>
      <c r="P1487" s="1">
        <f t="shared" si="146"/>
        <v>4.9828487502385492</v>
      </c>
      <c r="R1487" s="3">
        <f t="shared" si="141"/>
        <v>0.40076178192816192</v>
      </c>
      <c r="S1487" s="3">
        <f t="shared" si="142"/>
        <v>-1.4454722391473882</v>
      </c>
    </row>
    <row r="1488" spans="6:19" x14ac:dyDescent="0.2">
      <c r="F1488" s="3"/>
      <c r="G1488" s="3"/>
      <c r="H1488" s="3"/>
      <c r="M1488" s="1">
        <f t="shared" si="143"/>
        <v>44.580000000000929</v>
      </c>
      <c r="N1488" s="1">
        <f t="shared" si="144"/>
        <v>-3.958476273213877</v>
      </c>
      <c r="O1488" s="1">
        <f t="shared" si="145"/>
        <v>-0.66477146672688725</v>
      </c>
      <c r="P1488" s="1">
        <f t="shared" si="146"/>
        <v>4.9629056062367427</v>
      </c>
      <c r="R1488" s="3">
        <f t="shared" si="141"/>
        <v>0.37185673713202239</v>
      </c>
      <c r="S1488" s="3">
        <f t="shared" si="142"/>
        <v>-1.453176715698929</v>
      </c>
    </row>
    <row r="1489" spans="6:19" x14ac:dyDescent="0.2">
      <c r="F1489" s="3"/>
      <c r="G1489" s="3"/>
      <c r="H1489" s="3"/>
      <c r="M1489" s="1">
        <f t="shared" si="143"/>
        <v>44.61000000000093</v>
      </c>
      <c r="N1489" s="1">
        <f t="shared" si="144"/>
        <v>-3.6587379393148036</v>
      </c>
      <c r="O1489" s="1">
        <f t="shared" si="145"/>
        <v>-0.77453360490633139</v>
      </c>
      <c r="P1489" s="1">
        <f t="shared" si="146"/>
        <v>4.9396695980895524</v>
      </c>
      <c r="R1489" s="3">
        <f t="shared" si="141"/>
        <v>0.33799336903754085</v>
      </c>
      <c r="S1489" s="3">
        <f t="shared" si="142"/>
        <v>-1.4614241282005209</v>
      </c>
    </row>
    <row r="1490" spans="6:19" x14ac:dyDescent="0.2">
      <c r="F1490" s="3"/>
      <c r="G1490" s="3"/>
      <c r="H1490" s="3"/>
      <c r="M1490" s="1">
        <f t="shared" si="143"/>
        <v>44.640000000000931</v>
      </c>
      <c r="N1490" s="1">
        <f t="shared" si="144"/>
        <v>-3.3102256659338387</v>
      </c>
      <c r="O1490" s="1">
        <f t="shared" si="145"/>
        <v>-0.87384037488434652</v>
      </c>
      <c r="P1490" s="1">
        <f t="shared" si="146"/>
        <v>4.9134543868430223</v>
      </c>
      <c r="R1490" s="3">
        <f t="shared" si="141"/>
        <v>0.29957008065792745</v>
      </c>
      <c r="S1490" s="3">
        <f t="shared" si="142"/>
        <v>-1.4697815370913472</v>
      </c>
    </row>
    <row r="1491" spans="6:19" x14ac:dyDescent="0.2">
      <c r="F1491" s="3"/>
      <c r="G1491" s="3"/>
      <c r="H1491" s="3"/>
      <c r="M1491" s="1">
        <f t="shared" si="143"/>
        <v>44.670000000000933</v>
      </c>
      <c r="N1491" s="1">
        <f t="shared" si="144"/>
        <v>-2.9170551728396834</v>
      </c>
      <c r="O1491" s="1">
        <f t="shared" si="145"/>
        <v>-0.96135203006953707</v>
      </c>
      <c r="P1491" s="1">
        <f t="shared" si="146"/>
        <v>4.884613825940936</v>
      </c>
      <c r="R1491" s="3">
        <f t="shared" si="141"/>
        <v>0.25706205363910195</v>
      </c>
      <c r="S1491" s="3">
        <f t="shared" si="142"/>
        <v>-1.4778088849979376</v>
      </c>
    </row>
    <row r="1492" spans="6:19" x14ac:dyDescent="0.2">
      <c r="F1492" s="3"/>
      <c r="G1492" s="3"/>
      <c r="H1492" s="3"/>
      <c r="M1492" s="1">
        <f t="shared" si="143"/>
        <v>44.700000000000934</v>
      </c>
      <c r="N1492" s="1">
        <f t="shared" si="144"/>
        <v>-2.484098853684761</v>
      </c>
      <c r="O1492" s="1">
        <f t="shared" si="145"/>
        <v>-1.0358749956800799</v>
      </c>
      <c r="P1492" s="1">
        <f t="shared" si="146"/>
        <v>4.8535375760705337</v>
      </c>
      <c r="R1492" s="3">
        <f t="shared" si="141"/>
        <v>0.21102057025170581</v>
      </c>
      <c r="S1492" s="3">
        <f t="shared" si="142"/>
        <v>-1.4850825966695067</v>
      </c>
    </row>
    <row r="1493" spans="6:19" x14ac:dyDescent="0.2">
      <c r="F1493" s="3"/>
      <c r="G1493" s="3"/>
      <c r="H1493" s="3"/>
      <c r="M1493" s="1">
        <f t="shared" si="143"/>
        <v>44.730000000000935</v>
      </c>
      <c r="N1493" s="1">
        <f t="shared" si="144"/>
        <v>-2.0169769529058508</v>
      </c>
      <c r="O1493" s="1">
        <f t="shared" si="145"/>
        <v>-1.0963843042672554</v>
      </c>
      <c r="P1493" s="1">
        <f t="shared" si="146"/>
        <v>4.8206460469425156</v>
      </c>
      <c r="R1493" s="3">
        <f t="shared" si="141"/>
        <v>0.16206860347194071</v>
      </c>
      <c r="S1493" s="3">
        <f t="shared" si="142"/>
        <v>-1.4912188866054021</v>
      </c>
    </row>
    <row r="1494" spans="6:19" x14ac:dyDescent="0.2">
      <c r="F1494" s="3"/>
      <c r="G1494" s="3"/>
      <c r="H1494" s="3"/>
      <c r="M1494" s="1">
        <f t="shared" si="143"/>
        <v>44.760000000000936</v>
      </c>
      <c r="N1494" s="1">
        <f t="shared" si="144"/>
        <v>-1.5220114473353543</v>
      </c>
      <c r="O1494" s="1">
        <f t="shared" si="145"/>
        <v>-1.1420446476873161</v>
      </c>
      <c r="P1494" s="1">
        <f t="shared" si="146"/>
        <v>4.7863847075118962</v>
      </c>
      <c r="R1494" s="3">
        <f t="shared" si="141"/>
        <v>0.1108923299644457</v>
      </c>
      <c r="S1494" s="3">
        <f t="shared" si="142"/>
        <v>-1.4958953476614119</v>
      </c>
    </row>
    <row r="1495" spans="6:19" x14ac:dyDescent="0.2">
      <c r="F1495" s="3"/>
      <c r="G1495" s="3"/>
      <c r="H1495" s="3"/>
      <c r="M1495" s="1">
        <f t="shared" si="143"/>
        <v>44.790000000000937</v>
      </c>
      <c r="N1495" s="1">
        <f t="shared" si="144"/>
        <v>-1.0061392813525984</v>
      </c>
      <c r="O1495" s="1">
        <f t="shared" si="145"/>
        <v>-1.1722288261278939</v>
      </c>
      <c r="P1495" s="1">
        <f t="shared" si="146"/>
        <v>4.7512178427280594</v>
      </c>
      <c r="R1495" s="3">
        <f t="shared" si="141"/>
        <v>5.8228659238146574E-2</v>
      </c>
      <c r="S1495" s="3">
        <f t="shared" si="142"/>
        <v>-1.4988693816484904</v>
      </c>
    </row>
    <row r="1496" spans="6:19" x14ac:dyDescent="0.2">
      <c r="F1496" s="3"/>
      <c r="G1496" s="3"/>
      <c r="H1496" s="3"/>
      <c r="M1496" s="1">
        <f t="shared" si="143"/>
        <v>44.820000000000938</v>
      </c>
      <c r="N1496" s="1">
        <f t="shared" si="144"/>
        <v>-0.4767859980299553</v>
      </c>
      <c r="O1496" s="1">
        <f t="shared" si="145"/>
        <v>-1.1865324060687925</v>
      </c>
      <c r="P1496" s="1">
        <f t="shared" si="146"/>
        <v>4.7156218705459958</v>
      </c>
      <c r="R1496" s="3">
        <f t="shared" si="141"/>
        <v>4.84932679476176E-3</v>
      </c>
      <c r="S1496" s="3">
        <f t="shared" si="142"/>
        <v>-1.4999921613227309</v>
      </c>
    </row>
    <row r="1497" spans="6:19" x14ac:dyDescent="0.2">
      <c r="F1497" s="3"/>
      <c r="G1497" s="3"/>
      <c r="H1497" s="3"/>
      <c r="M1497" s="1">
        <f t="shared" si="143"/>
        <v>44.850000000000939</v>
      </c>
      <c r="N1497" s="1">
        <f t="shared" si="144"/>
        <v>5.829464859857373E-2</v>
      </c>
      <c r="O1497" s="1">
        <f t="shared" si="145"/>
        <v>-1.1847835666108353</v>
      </c>
      <c r="P1497" s="1">
        <f t="shared" si="146"/>
        <v>4.680078363547671</v>
      </c>
      <c r="R1497" s="3">
        <f t="shared" si="141"/>
        <v>-4.8457492818892528E-2</v>
      </c>
      <c r="S1497" s="3">
        <f t="shared" si="142"/>
        <v>-1.499217086145201</v>
      </c>
    </row>
    <row r="1498" spans="6:19" x14ac:dyDescent="0.2">
      <c r="F1498" s="3"/>
      <c r="G1498" s="3"/>
      <c r="H1498" s="3"/>
      <c r="M1498" s="1">
        <f t="shared" si="143"/>
        <v>44.88000000000094</v>
      </c>
      <c r="N1498" s="1">
        <f t="shared" si="144"/>
        <v>0.5912054491839005</v>
      </c>
      <c r="O1498" s="1">
        <f t="shared" si="145"/>
        <v>-1.1670474031353182</v>
      </c>
      <c r="P1498" s="1">
        <f t="shared" si="146"/>
        <v>4.6450669414536119</v>
      </c>
      <c r="R1498" s="3">
        <f t="shared" si="141"/>
        <v>-0.10090679548652196</v>
      </c>
      <c r="S1498" s="3">
        <f t="shared" si="142"/>
        <v>-1.4966020909462345</v>
      </c>
    </row>
    <row r="1499" spans="6:19" x14ac:dyDescent="0.2">
      <c r="F1499" s="3"/>
      <c r="G1499" s="3"/>
      <c r="H1499" s="3"/>
      <c r="M1499" s="1">
        <f t="shared" si="143"/>
        <v>44.910000000000942</v>
      </c>
      <c r="N1499" s="1">
        <f t="shared" si="144"/>
        <v>1.1141022211473981</v>
      </c>
      <c r="O1499" s="1">
        <f t="shared" si="145"/>
        <v>-1.1336243365008962</v>
      </c>
      <c r="P1499" s="1">
        <f t="shared" si="146"/>
        <v>4.6110582113585847</v>
      </c>
      <c r="R1499" s="3">
        <f t="shared" si="141"/>
        <v>-0.15173617287031413</v>
      </c>
      <c r="S1499" s="3">
        <f t="shared" si="142"/>
        <v>-1.492305643573953</v>
      </c>
    </row>
    <row r="1500" spans="6:19" x14ac:dyDescent="0.2">
      <c r="F1500" s="3"/>
      <c r="G1500" s="3"/>
      <c r="H1500" s="3"/>
      <c r="M1500" s="1">
        <f t="shared" si="143"/>
        <v>44.940000000000943</v>
      </c>
      <c r="N1500" s="1">
        <f t="shared" si="144"/>
        <v>1.6193879189882221</v>
      </c>
      <c r="O1500" s="1">
        <f t="shared" si="145"/>
        <v>-1.0850426989312496</v>
      </c>
      <c r="P1500" s="1">
        <f t="shared" si="146"/>
        <v>4.5785069303906472</v>
      </c>
      <c r="R1500" s="3">
        <f t="shared" si="141"/>
        <v>-0.20022367347401829</v>
      </c>
      <c r="S1500" s="3">
        <f t="shared" si="142"/>
        <v>-1.4865767657879527</v>
      </c>
    </row>
    <row r="1501" spans="6:19" x14ac:dyDescent="0.2">
      <c r="F1501" s="3"/>
      <c r="G1501" s="3"/>
      <c r="H1501" s="3"/>
      <c r="M1501" s="1">
        <f t="shared" si="143"/>
        <v>44.970000000000944</v>
      </c>
      <c r="N1501" s="1">
        <f t="shared" si="144"/>
        <v>2.0998905776439951</v>
      </c>
      <c r="O1501" s="1">
        <f t="shared" si="145"/>
        <v>-1.0220459816019298</v>
      </c>
      <c r="P1501" s="1">
        <f t="shared" si="146"/>
        <v>4.547845550942589</v>
      </c>
      <c r="R1501" s="3">
        <f t="shared" si="141"/>
        <v>-0.24570291646133785</v>
      </c>
      <c r="S1501" s="3">
        <f t="shared" si="142"/>
        <v>-1.4797398679640934</v>
      </c>
    </row>
    <row r="1502" spans="6:19" x14ac:dyDescent="0.2">
      <c r="F1502" s="3"/>
      <c r="G1502" s="3"/>
      <c r="H1502" s="3"/>
      <c r="M1502" s="1">
        <f t="shared" si="143"/>
        <v>45.000000000000945</v>
      </c>
      <c r="N1502" s="1">
        <f t="shared" si="144"/>
        <v>2.5490133029575519</v>
      </c>
      <c r="O1502" s="1">
        <f t="shared" si="145"/>
        <v>-0.94557558251320328</v>
      </c>
      <c r="P1502" s="1">
        <f t="shared" si="146"/>
        <v>4.5194782834671932</v>
      </c>
      <c r="R1502" s="3">
        <f t="shared" si="141"/>
        <v>-0.28757461143016838</v>
      </c>
      <c r="S1502" s="3">
        <f t="shared" si="142"/>
        <v>-1.4721755475692386</v>
      </c>
    </row>
    <row r="1503" spans="6:19" x14ac:dyDescent="0.2">
      <c r="F1503" s="3"/>
      <c r="G1503" s="3"/>
      <c r="H1503" s="3"/>
      <c r="M1503" s="1">
        <f t="shared" si="143"/>
        <v>45.030000000000946</v>
      </c>
      <c r="N1503" s="1">
        <f t="shared" si="144"/>
        <v>2.9608479167278725</v>
      </c>
      <c r="O1503" s="1">
        <f t="shared" si="145"/>
        <v>-0.85675014501136715</v>
      </c>
      <c r="P1503" s="1">
        <f t="shared" si="146"/>
        <v>4.4937757791168522</v>
      </c>
      <c r="R1503" s="3">
        <f t="shared" si="141"/>
        <v>-0.32531406047771816</v>
      </c>
      <c r="S1503" s="3">
        <f t="shared" si="142"/>
        <v>-1.464298727055207</v>
      </c>
    </row>
    <row r="1504" spans="6:19" x14ac:dyDescent="0.2">
      <c r="F1504" s="3"/>
      <c r="G1504" s="3"/>
      <c r="H1504" s="3"/>
      <c r="M1504" s="1">
        <f t="shared" si="143"/>
        <v>45.060000000000947</v>
      </c>
      <c r="N1504" s="1">
        <f t="shared" si="144"/>
        <v>3.3302481178282051</v>
      </c>
      <c r="O1504" s="1">
        <f t="shared" si="145"/>
        <v>-0.756842701476521</v>
      </c>
      <c r="P1504" s="1">
        <f t="shared" si="146"/>
        <v>4.4710704980725566</v>
      </c>
      <c r="R1504" s="3">
        <f t="shared" si="141"/>
        <v>-0.35847466707667686</v>
      </c>
      <c r="S1504" s="3">
        <f t="shared" si="142"/>
        <v>-1.4565355859244449</v>
      </c>
    </row>
    <row r="1505" spans="6:19" x14ac:dyDescent="0.2">
      <c r="F1505" s="3"/>
      <c r="G1505" s="3"/>
      <c r="H1505" s="3"/>
      <c r="M1505" s="1">
        <f t="shared" si="143"/>
        <v>45.090000000000948</v>
      </c>
      <c r="N1505" s="1">
        <f t="shared" si="144"/>
        <v>3.6528625138996551</v>
      </c>
      <c r="O1505" s="1">
        <f t="shared" si="145"/>
        <v>-0.64725682605953139</v>
      </c>
      <c r="P1505" s="1">
        <f t="shared" si="146"/>
        <v>4.451652793290771</v>
      </c>
      <c r="R1505" s="3">
        <f t="shared" si="141"/>
        <v>-0.38668788898849737</v>
      </c>
      <c r="S1505" s="3">
        <f t="shared" si="142"/>
        <v>-1.449300685334006</v>
      </c>
    </row>
    <row r="1506" spans="6:19" x14ac:dyDescent="0.2">
      <c r="F1506" s="3"/>
      <c r="G1506" s="3"/>
      <c r="H1506" s="3"/>
      <c r="M1506" s="1">
        <f t="shared" si="143"/>
        <v>45.12000000000095</v>
      </c>
      <c r="N1506" s="1">
        <f t="shared" si="144"/>
        <v>3.9251320042303313</v>
      </c>
      <c r="O1506" s="1">
        <f t="shared" si="145"/>
        <v>-0.52950286593262141</v>
      </c>
      <c r="P1506" s="1">
        <f t="shared" si="146"/>
        <v>4.4357677073127926</v>
      </c>
      <c r="R1506" s="3">
        <f t="shared" si="141"/>
        <v>-0.40966040016765976</v>
      </c>
      <c r="S1506" s="3">
        <f t="shared" si="142"/>
        <v>-1.4429755218071001</v>
      </c>
    </row>
    <row r="1507" spans="6:19" x14ac:dyDescent="0.2">
      <c r="F1507" s="3"/>
      <c r="G1507" s="3"/>
      <c r="H1507" s="3"/>
      <c r="M1507" s="1">
        <f t="shared" si="143"/>
        <v>45.150000000000951</v>
      </c>
      <c r="N1507" s="1">
        <f t="shared" si="144"/>
        <v>4.1442592596105339</v>
      </c>
      <c r="O1507" s="1">
        <f t="shared" si="145"/>
        <v>-0.40517508814430542</v>
      </c>
      <c r="P1507" s="1">
        <f t="shared" si="146"/>
        <v>4.4236124546684632</v>
      </c>
      <c r="R1507" s="3">
        <f t="shared" si="141"/>
        <v>-0.42716943695799248</v>
      </c>
      <c r="S1507" s="3">
        <f t="shared" si="142"/>
        <v>-1.437889520140192</v>
      </c>
    </row>
    <row r="1508" spans="6:19" x14ac:dyDescent="0.2">
      <c r="F1508" s="3"/>
      <c r="G1508" s="3"/>
      <c r="H1508" s="3"/>
      <c r="M1508" s="1">
        <f t="shared" si="143"/>
        <v>45.180000000000952</v>
      </c>
      <c r="N1508" s="1">
        <f t="shared" si="144"/>
        <v>4.3081601275129113</v>
      </c>
      <c r="O1508" s="1">
        <f t="shared" si="145"/>
        <v>-0.27593028431891808</v>
      </c>
      <c r="P1508" s="1">
        <f t="shared" si="146"/>
        <v>4.4153345461388955</v>
      </c>
      <c r="R1508" s="3">
        <f t="shared" si="141"/>
        <v>-0.43905738339881545</v>
      </c>
      <c r="S1508" s="3">
        <f t="shared" si="142"/>
        <v>-1.4343042264746295</v>
      </c>
    </row>
    <row r="1509" spans="6:19" x14ac:dyDescent="0.2">
      <c r="F1509" s="3"/>
      <c r="G1509" s="3"/>
      <c r="H1509" s="3"/>
      <c r="M1509" s="1">
        <f t="shared" si="143"/>
        <v>45.210000000000953</v>
      </c>
      <c r="N1509" s="1">
        <f t="shared" si="144"/>
        <v>4.4154075595768578</v>
      </c>
      <c r="O1509" s="1">
        <f t="shared" si="145"/>
        <v>-0.14346805753161235</v>
      </c>
      <c r="P1509" s="1">
        <f t="shared" si="146"/>
        <v>4.4110305044129472</v>
      </c>
      <c r="R1509" s="3">
        <f t="shared" si="141"/>
        <v>-0.44522660286405435</v>
      </c>
      <c r="S1509" s="3">
        <f t="shared" si="142"/>
        <v>-1.4324012259496754</v>
      </c>
    </row>
    <row r="1510" spans="6:19" x14ac:dyDescent="0.2">
      <c r="F1510" s="3"/>
      <c r="G1510" s="3"/>
      <c r="H1510" s="3"/>
      <c r="M1510" s="1">
        <f t="shared" si="143"/>
        <v>45.240000000000954</v>
      </c>
      <c r="N1510" s="1">
        <f t="shared" si="144"/>
        <v>4.4651781538183881</v>
      </c>
      <c r="O1510" s="1">
        <f t="shared" si="145"/>
        <v>-9.5127129170607116E-3</v>
      </c>
      <c r="P1510" s="1">
        <f t="shared" si="146"/>
        <v>4.4107451230254355</v>
      </c>
      <c r="R1510" s="3">
        <f t="shared" si="141"/>
        <v>-0.44563536537764875</v>
      </c>
      <c r="S1510" s="3">
        <f t="shared" si="142"/>
        <v>-1.4322741082365238</v>
      </c>
    </row>
    <row r="1511" spans="6:19" x14ac:dyDescent="0.2">
      <c r="F1511" s="3"/>
      <c r="G1511" s="3"/>
      <c r="H1511" s="3"/>
      <c r="M1511" s="1">
        <f t="shared" si="143"/>
        <v>45.270000000000955</v>
      </c>
      <c r="N1511" s="1">
        <f t="shared" si="144"/>
        <v>4.4572097979390231</v>
      </c>
      <c r="O1511" s="1">
        <f t="shared" si="145"/>
        <v>0.12420358102110998</v>
      </c>
      <c r="P1511" s="1">
        <f t="shared" si="146"/>
        <v>4.4144712304560692</v>
      </c>
      <c r="R1511" s="3">
        <f t="shared" si="141"/>
        <v>-0.44029547695986992</v>
      </c>
      <c r="S1511" s="3">
        <f t="shared" si="142"/>
        <v>-1.4339246468935112</v>
      </c>
    </row>
    <row r="1512" spans="6:19" x14ac:dyDescent="0.2">
      <c r="F1512" s="3"/>
      <c r="G1512" s="3"/>
      <c r="H1512" s="3"/>
      <c r="M1512" s="1">
        <f t="shared" si="143"/>
        <v>45.300000000000956</v>
      </c>
      <c r="N1512" s="1">
        <f t="shared" si="144"/>
        <v>4.3917764473067997</v>
      </c>
      <c r="O1512" s="1">
        <f t="shared" si="145"/>
        <v>0.25595687444031401</v>
      </c>
      <c r="P1512" s="1">
        <f t="shared" si="146"/>
        <v>4.4221499366892782</v>
      </c>
      <c r="R1512" s="3">
        <f t="shared" si="141"/>
        <v>-0.42927191863475567</v>
      </c>
      <c r="S1512" s="3">
        <f t="shared" si="142"/>
        <v>-1.4372632395882237</v>
      </c>
    </row>
    <row r="1513" spans="6:19" x14ac:dyDescent="0.2">
      <c r="F1513" s="3"/>
      <c r="G1513" s="3"/>
      <c r="H1513" s="3"/>
      <c r="M1513" s="1">
        <f t="shared" si="143"/>
        <v>45.330000000000958</v>
      </c>
      <c r="N1513" s="1">
        <f t="shared" si="144"/>
        <v>4.2696830676479278</v>
      </c>
      <c r="O1513" s="1">
        <f t="shared" si="145"/>
        <v>0.38404736646975185</v>
      </c>
      <c r="P1513" s="1">
        <f t="shared" si="146"/>
        <v>4.4336713576833704</v>
      </c>
      <c r="R1513" s="3">
        <f t="shared" si="141"/>
        <v>-0.41268447898921112</v>
      </c>
      <c r="S1513" s="3">
        <f t="shared" si="142"/>
        <v>-1.4421135603000907</v>
      </c>
    </row>
    <row r="1514" spans="6:19" x14ac:dyDescent="0.2">
      <c r="F1514" s="3"/>
      <c r="G1514" s="3"/>
      <c r="H1514" s="3"/>
      <c r="M1514" s="1">
        <f t="shared" si="143"/>
        <v>45.360000000000959</v>
      </c>
      <c r="N1514" s="1">
        <f t="shared" si="144"/>
        <v>4.0922805269098346</v>
      </c>
      <c r="O1514" s="1">
        <f t="shared" si="145"/>
        <v>0.50681578227704693</v>
      </c>
      <c r="P1514" s="1">
        <f t="shared" si="146"/>
        <v>4.4488758311516818</v>
      </c>
      <c r="R1514" s="3">
        <f t="shared" si="141"/>
        <v>-0.39071104597264034</v>
      </c>
      <c r="S1514" s="3">
        <f t="shared" si="142"/>
        <v>-1.4482212809356745</v>
      </c>
    </row>
    <row r="1515" spans="6:19" x14ac:dyDescent="0.2">
      <c r="F1515" s="3"/>
      <c r="G1515" s="3"/>
      <c r="H1515" s="3"/>
      <c r="M1515" s="1">
        <f t="shared" si="143"/>
        <v>45.39000000000096</v>
      </c>
      <c r="N1515" s="1">
        <f t="shared" si="144"/>
        <v>3.8614970393214691</v>
      </c>
      <c r="O1515" s="1">
        <f t="shared" si="145"/>
        <v>0.62266069345669095</v>
      </c>
      <c r="P1515" s="1">
        <f t="shared" si="146"/>
        <v>4.467555651955383</v>
      </c>
      <c r="R1515" s="3">
        <f t="shared" si="141"/>
        <v>-0.36359194066281508</v>
      </c>
      <c r="S1515" s="3">
        <f t="shared" si="142"/>
        <v>-1.4552666081117398</v>
      </c>
    </row>
    <row r="1516" spans="6:19" x14ac:dyDescent="0.2">
      <c r="F1516" s="3"/>
      <c r="G1516" s="3"/>
      <c r="H1516" s="3"/>
      <c r="M1516" s="1">
        <f t="shared" si="143"/>
        <v>45.420000000000961</v>
      </c>
      <c r="N1516" s="1">
        <f t="shared" si="144"/>
        <v>3.579879944217049</v>
      </c>
      <c r="O1516" s="1">
        <f t="shared" si="145"/>
        <v>0.73005709178320244</v>
      </c>
      <c r="P1516" s="1">
        <f t="shared" si="146"/>
        <v>4.4894573647088789</v>
      </c>
      <c r="R1516" s="3">
        <f t="shared" si="141"/>
        <v>-0.33163445620627552</v>
      </c>
      <c r="S1516" s="3">
        <f t="shared" si="142"/>
        <v>-1.4628802368809171</v>
      </c>
    </row>
    <row r="1517" spans="6:19" x14ac:dyDescent="0.2">
      <c r="F1517" s="3"/>
      <c r="G1517" s="3"/>
      <c r="H1517" s="3"/>
      <c r="M1517" s="1">
        <f t="shared" si="143"/>
        <v>45.450000000000962</v>
      </c>
      <c r="N1517" s="1">
        <f t="shared" si="144"/>
        <v>3.2506394238022671</v>
      </c>
      <c r="O1517" s="1">
        <f t="shared" si="145"/>
        <v>0.82757627449727045</v>
      </c>
      <c r="P1517" s="1">
        <f t="shared" si="146"/>
        <v>4.5142846529437968</v>
      </c>
      <c r="R1517" s="3">
        <f t="shared" si="141"/>
        <v>-0.29521663443552343</v>
      </c>
      <c r="S1517" s="3">
        <f t="shared" si="142"/>
        <v>-1.4706621429657332</v>
      </c>
    </row>
    <row r="1518" spans="6:19" x14ac:dyDescent="0.2">
      <c r="F1518" s="3"/>
      <c r="G1518" s="3"/>
      <c r="H1518" s="3"/>
      <c r="M1518" s="1">
        <f t="shared" si="143"/>
        <v>45.480000000000963</v>
      </c>
      <c r="N1518" s="1">
        <f t="shared" si="144"/>
        <v>2.8776844796504801</v>
      </c>
      <c r="O1518" s="1">
        <f t="shared" si="145"/>
        <v>0.91390680888678488</v>
      </c>
      <c r="P1518" s="1">
        <f t="shared" si="146"/>
        <v>4.5417018572104002</v>
      </c>
      <c r="R1518" s="3">
        <f t="shared" si="141"/>
        <v>-0.25478929081282237</v>
      </c>
      <c r="S1518" s="3">
        <f t="shared" si="142"/>
        <v>-1.4782024277097841</v>
      </c>
    </row>
    <row r="1519" spans="6:19" x14ac:dyDescent="0.2">
      <c r="F1519" s="3"/>
      <c r="G1519" s="3"/>
      <c r="H1519" s="3"/>
      <c r="M1519" s="1">
        <f t="shared" si="143"/>
        <v>45.510000000000964</v>
      </c>
      <c r="N1519" s="1">
        <f t="shared" si="144"/>
        <v>2.465641295328413</v>
      </c>
      <c r="O1519" s="1">
        <f t="shared" si="145"/>
        <v>0.98787604774663729</v>
      </c>
      <c r="P1519" s="1">
        <f t="shared" si="146"/>
        <v>4.5713381386427994</v>
      </c>
      <c r="R1519" s="3">
        <f t="shared" si="141"/>
        <v>-0.21087539656277732</v>
      </c>
      <c r="S1519" s="3">
        <f t="shared" si="142"/>
        <v>-1.4851032176668704</v>
      </c>
    </row>
    <row r="1520" spans="6:19" x14ac:dyDescent="0.2">
      <c r="F1520" s="3"/>
      <c r="G1520" s="3"/>
      <c r="H1520" s="3"/>
      <c r="M1520" s="1">
        <f t="shared" si="143"/>
        <v>45.540000000000965</v>
      </c>
      <c r="N1520" s="1">
        <f t="shared" si="144"/>
        <v>2.0198451213305759</v>
      </c>
      <c r="O1520" s="1">
        <f t="shared" si="145"/>
        <v>1.0484714013865546</v>
      </c>
      <c r="P1520" s="1">
        <f t="shared" si="146"/>
        <v>4.6027922806843957</v>
      </c>
      <c r="R1520" s="3">
        <f t="shared" si="141"/>
        <v>-0.16406614369208833</v>
      </c>
      <c r="S1520" s="3">
        <f t="shared" si="142"/>
        <v>-1.4910004361146267</v>
      </c>
    </row>
    <row r="1521" spans="6:19" x14ac:dyDescent="0.2">
      <c r="F1521" s="3"/>
      <c r="G1521" s="3"/>
      <c r="H1521" s="3"/>
      <c r="M1521" s="1">
        <f t="shared" si="143"/>
        <v>45.570000000000967</v>
      </c>
      <c r="N1521" s="1">
        <f t="shared" si="144"/>
        <v>1.5462990107960932</v>
      </c>
      <c r="O1521" s="1">
        <f t="shared" si="145"/>
        <v>1.0948603717104375</v>
      </c>
      <c r="P1521" s="1">
        <f t="shared" si="146"/>
        <v>4.635638091835709</v>
      </c>
      <c r="R1521" s="3">
        <f t="shared" si="141"/>
        <v>-0.11501333701626615</v>
      </c>
      <c r="S1521" s="3">
        <f t="shared" si="142"/>
        <v>-1.4955841441752391</v>
      </c>
    </row>
    <row r="1522" spans="6:19" x14ac:dyDescent="0.2">
      <c r="F1522" s="3"/>
      <c r="G1522" s="3"/>
      <c r="H1522" s="3"/>
      <c r="M1522" s="1">
        <f t="shared" si="143"/>
        <v>45.600000000000968</v>
      </c>
      <c r="N1522" s="1">
        <f t="shared" si="144"/>
        <v>1.0515959367087222</v>
      </c>
      <c r="O1522" s="1">
        <f t="shared" si="145"/>
        <v>1.1264082498116992</v>
      </c>
      <c r="P1522" s="1">
        <f t="shared" si="146"/>
        <v>4.6694303393300602</v>
      </c>
      <c r="R1522" s="3">
        <f t="shared" si="141"/>
        <v>-6.441814396001877E-2</v>
      </c>
      <c r="S1522" s="3">
        <f t="shared" si="142"/>
        <v>-1.4986161292101279</v>
      </c>
    </row>
    <row r="1523" spans="6:19" x14ac:dyDescent="0.2">
      <c r="F1523" s="3"/>
      <c r="G1523" s="3"/>
      <c r="H1523" s="3"/>
      <c r="M1523" s="1">
        <f t="shared" si="143"/>
        <v>45.630000000000969</v>
      </c>
      <c r="N1523" s="1">
        <f t="shared" si="144"/>
        <v>0.54280469711713464</v>
      </c>
      <c r="O1523" s="1">
        <f t="shared" si="145"/>
        <v>1.1426923907252131</v>
      </c>
      <c r="P1523" s="1">
        <f t="shared" si="146"/>
        <v>4.7037111110518168</v>
      </c>
      <c r="R1523" s="3">
        <f t="shared" si="141"/>
        <v>-1.3016640627284314E-2</v>
      </c>
      <c r="S1523" s="3">
        <f t="shared" si="142"/>
        <v>-1.4999435212923118</v>
      </c>
    </row>
    <row r="1524" spans="6:19" x14ac:dyDescent="0.2">
      <c r="F1524" s="3"/>
      <c r="G1524" s="3"/>
      <c r="H1524" s="3"/>
      <c r="M1524" s="1">
        <f t="shared" si="143"/>
        <v>45.66000000000097</v>
      </c>
      <c r="N1524" s="1">
        <f t="shared" si="144"/>
        <v>2.7324091107573972E-2</v>
      </c>
      <c r="O1524" s="1">
        <f t="shared" si="145"/>
        <v>1.1435121134584403</v>
      </c>
      <c r="P1524" s="1">
        <f t="shared" si="146"/>
        <v>4.7380164744555699</v>
      </c>
      <c r="R1524" s="3">
        <f t="shared" si="141"/>
        <v>3.8437033412091898E-2</v>
      </c>
      <c r="S1524" s="3">
        <f t="shared" si="142"/>
        <v>-1.499507450619195</v>
      </c>
    </row>
    <row r="1525" spans="6:19" x14ac:dyDescent="0.2">
      <c r="F1525" s="3"/>
      <c r="G1525" s="3"/>
      <c r="H1525" s="3"/>
      <c r="M1525" s="1">
        <f t="shared" si="143"/>
        <v>45.690000000000971</v>
      </c>
      <c r="N1525" s="1">
        <f t="shared" si="144"/>
        <v>-0.48728642433217867</v>
      </c>
      <c r="O1525" s="1">
        <f t="shared" si="145"/>
        <v>1.1288935207284749</v>
      </c>
      <c r="P1525" s="1">
        <f t="shared" si="146"/>
        <v>4.7718832800774242</v>
      </c>
      <c r="R1525" s="3">
        <f t="shared" si="141"/>
        <v>8.9188812770730597E-2</v>
      </c>
      <c r="S1525" s="3">
        <f t="shared" si="142"/>
        <v>-1.4973461041711591</v>
      </c>
    </row>
    <row r="1526" spans="6:19" x14ac:dyDescent="0.2">
      <c r="F1526" s="3"/>
      <c r="G1526" s="3"/>
      <c r="H1526" s="3"/>
      <c r="M1526" s="1">
        <f t="shared" si="143"/>
        <v>45.720000000000972</v>
      </c>
      <c r="N1526" s="1">
        <f t="shared" si="144"/>
        <v>-0.99348854457286884</v>
      </c>
      <c r="O1526" s="1">
        <f t="shared" si="145"/>
        <v>1.0990888643912888</v>
      </c>
      <c r="P1526" s="1">
        <f t="shared" si="146"/>
        <v>4.8048559460091633</v>
      </c>
      <c r="R1526" s="3">
        <f t="shared" si="141"/>
        <v>0.13850288154768581</v>
      </c>
      <c r="S1526" s="3">
        <f t="shared" si="142"/>
        <v>-1.4935919629547381</v>
      </c>
    </row>
    <row r="1527" spans="6:19" x14ac:dyDescent="0.2">
      <c r="F1527" s="3"/>
      <c r="G1527" s="3"/>
      <c r="H1527" s="3"/>
      <c r="M1527" s="1">
        <f t="shared" si="143"/>
        <v>45.750000000000973</v>
      </c>
      <c r="N1527" s="1">
        <f t="shared" si="144"/>
        <v>-1.4839468132720739</v>
      </c>
      <c r="O1527" s="1">
        <f t="shared" si="145"/>
        <v>1.0545704599931267</v>
      </c>
      <c r="P1527" s="1">
        <f t="shared" si="146"/>
        <v>4.8364930598089568</v>
      </c>
      <c r="R1527" s="3">
        <f t="shared" si="141"/>
        <v>0.18567862974348409</v>
      </c>
      <c r="S1527" s="3">
        <f t="shared" si="142"/>
        <v>-1.4884634515017767</v>
      </c>
    </row>
    <row r="1528" spans="6:19" x14ac:dyDescent="0.2">
      <c r="F1528" s="3"/>
      <c r="G1528" s="3"/>
      <c r="H1528" s="3"/>
      <c r="M1528" s="1">
        <f t="shared" si="143"/>
        <v>45.780000000000975</v>
      </c>
      <c r="N1528" s="1">
        <f t="shared" si="144"/>
        <v>-1.9516976388342222</v>
      </c>
      <c r="O1528" s="1">
        <f t="shared" si="145"/>
        <v>0.99601953082810002</v>
      </c>
      <c r="P1528" s="1">
        <f t="shared" si="146"/>
        <v>4.8663736457338</v>
      </c>
      <c r="R1528" s="3">
        <f t="shared" si="141"/>
        <v>0.23006528631790696</v>
      </c>
      <c r="S1528" s="3">
        <f t="shared" si="142"/>
        <v>-1.4822516534082395</v>
      </c>
    </row>
    <row r="1529" spans="6:19" x14ac:dyDescent="0.2">
      <c r="F1529" s="3"/>
      <c r="G1529" s="3"/>
      <c r="H1529" s="3"/>
      <c r="M1529" s="1">
        <f t="shared" si="143"/>
        <v>45.810000000000976</v>
      </c>
      <c r="N1529" s="1">
        <f t="shared" si="144"/>
        <v>-2.3902946209535987</v>
      </c>
      <c r="O1529" s="1">
        <f t="shared" si="145"/>
        <v>0.92431069219949202</v>
      </c>
      <c r="P1529" s="1">
        <f t="shared" si="146"/>
        <v>4.8941029664997844</v>
      </c>
      <c r="R1529" s="3">
        <f t="shared" si="141"/>
        <v>0.27107340608576652</v>
      </c>
      <c r="S1529" s="3">
        <f t="shared" si="142"/>
        <v>-1.4753030903895854</v>
      </c>
    </row>
    <row r="1530" spans="6:19" x14ac:dyDescent="0.2">
      <c r="F1530" s="3"/>
      <c r="G1530" s="3"/>
      <c r="H1530" s="3"/>
      <c r="M1530" s="1">
        <f t="shared" si="143"/>
        <v>45.840000000000977</v>
      </c>
      <c r="N1530" s="1">
        <f t="shared" si="144"/>
        <v>-2.7939220231556194</v>
      </c>
      <c r="O1530" s="1">
        <f t="shared" si="145"/>
        <v>0.84049303150482346</v>
      </c>
      <c r="P1530" s="1">
        <f t="shared" si="146"/>
        <v>4.9193177574449294</v>
      </c>
      <c r="R1530" s="3">
        <f t="shared" si="141"/>
        <v>0.30818275567232761</v>
      </c>
      <c r="S1530" s="3">
        <f t="shared" si="142"/>
        <v>-1.4679997919298935</v>
      </c>
    </row>
    <row r="1531" spans="6:19" x14ac:dyDescent="0.2">
      <c r="F1531" s="3"/>
      <c r="G1531" s="3"/>
      <c r="H1531" s="3"/>
      <c r="M1531" s="1">
        <f t="shared" si="143"/>
        <v>45.870000000000978</v>
      </c>
      <c r="N1531" s="1">
        <f t="shared" si="144"/>
        <v>-3.1574719295587101</v>
      </c>
      <c r="O1531" s="1">
        <f t="shared" si="145"/>
        <v>0.7457688736180621</v>
      </c>
      <c r="P1531" s="1">
        <f t="shared" si="146"/>
        <v>4.9416908236534711</v>
      </c>
      <c r="R1531" s="3">
        <f t="shared" si="141"/>
        <v>0.34094654442308253</v>
      </c>
      <c r="S1531" s="3">
        <f t="shared" si="142"/>
        <v>-1.4607379826121996</v>
      </c>
    </row>
    <row r="1532" spans="6:19" x14ac:dyDescent="0.2">
      <c r="F1532" s="3"/>
      <c r="G1532" s="3"/>
      <c r="H1532" s="3"/>
      <c r="M1532" s="1">
        <f t="shared" si="143"/>
        <v>45.900000000000979</v>
      </c>
      <c r="N1532" s="1">
        <f t="shared" si="144"/>
        <v>-3.4765846428564506</v>
      </c>
      <c r="O1532" s="1">
        <f t="shared" si="145"/>
        <v>0.64147133433236858</v>
      </c>
      <c r="P1532" s="1">
        <f t="shared" si="146"/>
        <v>4.9609349636834423</v>
      </c>
      <c r="R1532" s="3">
        <f t="shared" si="141"/>
        <v>0.36899232507213647</v>
      </c>
      <c r="S1532" s="3">
        <f t="shared" si="142"/>
        <v>-1.453906690278939</v>
      </c>
    </row>
    <row r="1533" spans="6:19" x14ac:dyDescent="0.2">
      <c r="F1533" s="3"/>
      <c r="G1533" s="3"/>
      <c r="H1533" s="3"/>
      <c r="M1533" s="1">
        <f t="shared" si="143"/>
        <v>45.93000000000098</v>
      </c>
      <c r="N1533" s="1">
        <f t="shared" si="144"/>
        <v>-3.7476556708112776</v>
      </c>
      <c r="O1533" s="1">
        <f t="shared" si="145"/>
        <v>0.52904166420803023</v>
      </c>
      <c r="P1533" s="1">
        <f t="shared" si="146"/>
        <v>4.9768062136096836</v>
      </c>
      <c r="R1533" s="3">
        <f t="shared" si="141"/>
        <v>0.39202019979390634</v>
      </c>
      <c r="S1533" s="3">
        <f t="shared" si="142"/>
        <v>-1.4478674535169116</v>
      </c>
    </row>
    <row r="1534" spans="6:19" x14ac:dyDescent="0.2">
      <c r="F1534" s="3"/>
      <c r="G1534" s="3"/>
      <c r="H1534" s="3"/>
      <c r="M1534" s="1">
        <f t="shared" si="143"/>
        <v>45.960000000000981</v>
      </c>
      <c r="N1534" s="1">
        <f t="shared" si="144"/>
        <v>-3.9678157477177862</v>
      </c>
      <c r="O1534" s="1">
        <f t="shared" si="145"/>
        <v>0.41000719177649664</v>
      </c>
      <c r="P1534" s="1">
        <f t="shared" si="146"/>
        <v>4.9891064293629785</v>
      </c>
      <c r="R1534" s="3">
        <f t="shared" si="141"/>
        <v>0.40979917775151675</v>
      </c>
      <c r="S1534" s="3">
        <f t="shared" si="142"/>
        <v>-1.442936115673241</v>
      </c>
    </row>
    <row r="1535" spans="6:19" x14ac:dyDescent="0.2">
      <c r="F1535" s="3"/>
      <c r="G1535" s="3"/>
      <c r="H1535" s="3"/>
      <c r="M1535" s="1">
        <f t="shared" si="143"/>
        <v>45.990000000000983</v>
      </c>
      <c r="N1535" s="1">
        <f t="shared" si="144"/>
        <v>-4.1348924247750531</v>
      </c>
      <c r="O1535" s="1">
        <f t="shared" si="145"/>
        <v>0.28596041903324504</v>
      </c>
      <c r="P1535" s="1">
        <f t="shared" si="146"/>
        <v>4.9976852419339757</v>
      </c>
      <c r="R1535" s="3">
        <f t="shared" si="141"/>
        <v>0.42216262470062921</v>
      </c>
      <c r="S1535" s="3">
        <f t="shared" si="142"/>
        <v>-1.4393674716019798</v>
      </c>
    </row>
    <row r="1536" spans="6:19" x14ac:dyDescent="0.2">
      <c r="F1536" s="3"/>
      <c r="G1536" s="3"/>
      <c r="H1536" s="3"/>
      <c r="M1536" s="1">
        <f t="shared" si="143"/>
        <v>46.020000000000984</v>
      </c>
      <c r="N1536" s="1">
        <f t="shared" si="144"/>
        <v>-4.2473626847192847</v>
      </c>
      <c r="O1536" s="1">
        <f t="shared" si="145"/>
        <v>0.15853953849166649</v>
      </c>
      <c r="P1536" s="1">
        <f t="shared" si="146"/>
        <v>5.0024414280887255</v>
      </c>
      <c r="R1536" s="3">
        <f t="shared" si="141"/>
        <v>0.42900372360404426</v>
      </c>
      <c r="S1536" s="3">
        <f t="shared" si="142"/>
        <v>-1.4373433149856247</v>
      </c>
    </row>
    <row r="1537" spans="6:19" x14ac:dyDescent="0.2">
      <c r="F1537" s="3"/>
      <c r="G1537" s="3"/>
      <c r="H1537" s="3"/>
      <c r="M1537" s="1">
        <f t="shared" si="143"/>
        <v>46.050000000000985</v>
      </c>
      <c r="N1537" s="1">
        <f t="shared" si="144"/>
        <v>-4.3043057945046925</v>
      </c>
      <c r="O1537" s="1">
        <f t="shared" si="145"/>
        <v>2.9410364656525717E-2</v>
      </c>
      <c r="P1537" s="1">
        <f t="shared" si="146"/>
        <v>5.0033237390284215</v>
      </c>
      <c r="R1537" s="3">
        <f t="shared" si="141"/>
        <v>0.43027174018660397</v>
      </c>
      <c r="S1537" s="3">
        <f t="shared" si="142"/>
        <v>-1.4369642408900758</v>
      </c>
    </row>
    <row r="1538" spans="6:19" x14ac:dyDescent="0.2">
      <c r="F1538" s="3"/>
      <c r="G1538" s="3"/>
      <c r="H1538" s="3"/>
      <c r="M1538" s="1">
        <f t="shared" si="143"/>
        <v>46.080000000000986</v>
      </c>
      <c r="N1538" s="1">
        <f t="shared" si="144"/>
        <v>-4.3053643346851267</v>
      </c>
      <c r="O1538" s="1">
        <f t="shared" si="145"/>
        <v>-9.9750565384028073E-2</v>
      </c>
      <c r="P1538" s="1">
        <f t="shared" si="146"/>
        <v>5.0003312220669009</v>
      </c>
      <c r="R1538" s="3">
        <f t="shared" ref="R1538:R1601" si="147">$B$3*COS(P1538)</f>
        <v>0.42596968016649095</v>
      </c>
      <c r="S1538" s="3">
        <f t="shared" ref="S1538:S1601" si="148">$B$3*SIN(P1538)</f>
        <v>-1.4382454003329395</v>
      </c>
    </row>
    <row r="1539" spans="6:19" x14ac:dyDescent="0.2">
      <c r="F1539" s="3"/>
      <c r="G1539" s="3"/>
      <c r="H1539" s="3"/>
      <c r="M1539" s="1">
        <f t="shared" ref="M1539:M1602" si="149">M1538+B$13</f>
        <v>46.110000000000987</v>
      </c>
      <c r="N1539" s="1">
        <f t="shared" ref="N1539:N1602" si="150">-$B$12*$B$3*COS(P1538)-B$10*O1538</f>
        <v>-4.2507192507803468</v>
      </c>
      <c r="O1539" s="1">
        <f t="shared" ref="O1539:O1602" si="151">N1539*$B$13+O1538</f>
        <v>-0.22727214290743847</v>
      </c>
      <c r="P1539" s="1">
        <f t="shared" ref="P1539:P1602" si="152">O1539*$B$13+P1538</f>
        <v>4.993513057779678</v>
      </c>
      <c r="R1539" s="3">
        <f t="shared" si="147"/>
        <v>0.41615366165336543</v>
      </c>
      <c r="S1539" s="3">
        <f t="shared" si="148"/>
        <v>-1.4411162791018968</v>
      </c>
    </row>
    <row r="1540" spans="6:19" x14ac:dyDescent="0.2">
      <c r="F1540" s="3"/>
      <c r="G1540" s="3"/>
      <c r="H1540" s="3"/>
      <c r="M1540" s="1">
        <f t="shared" si="149"/>
        <v>46.140000000000988</v>
      </c>
      <c r="N1540" s="1">
        <f t="shared" si="150"/>
        <v>-4.1410821236719846</v>
      </c>
      <c r="O1540" s="1">
        <f t="shared" si="151"/>
        <v>-0.35150460661759797</v>
      </c>
      <c r="P1540" s="1">
        <f t="shared" si="152"/>
        <v>4.9829679195811503</v>
      </c>
      <c r="R1540" s="3">
        <f t="shared" si="147"/>
        <v>0.40093403505856579</v>
      </c>
      <c r="S1540" s="3">
        <f t="shared" si="148"/>
        <v>-1.4454244703655936</v>
      </c>
    </row>
    <row r="1541" spans="6:19" x14ac:dyDescent="0.2">
      <c r="F1541" s="3"/>
      <c r="G1541" s="3"/>
      <c r="H1541" s="3"/>
      <c r="M1541" s="1">
        <f t="shared" si="149"/>
        <v>46.170000000000989</v>
      </c>
      <c r="N1541" s="1">
        <f t="shared" si="150"/>
        <v>-3.9777049359900745</v>
      </c>
      <c r="O1541" s="1">
        <f t="shared" si="151"/>
        <v>-0.47083575469730021</v>
      </c>
      <c r="P1541" s="1">
        <f t="shared" si="152"/>
        <v>4.9688428469402313</v>
      </c>
      <c r="R1541" s="3">
        <f t="shared" si="147"/>
        <v>0.38047799227852119</v>
      </c>
      <c r="S1541" s="3">
        <f t="shared" si="148"/>
        <v>-1.4509433129490985</v>
      </c>
    </row>
    <row r="1542" spans="6:19" x14ac:dyDescent="0.2">
      <c r="F1542" s="3"/>
      <c r="G1542" s="3"/>
      <c r="H1542" s="3"/>
      <c r="M1542" s="1">
        <f t="shared" si="149"/>
        <v>46.20000000000099</v>
      </c>
      <c r="N1542" s="1">
        <f t="shared" si="150"/>
        <v>-3.7624047048624547</v>
      </c>
      <c r="O1542" s="1">
        <f t="shared" si="151"/>
        <v>-0.58370789584317384</v>
      </c>
      <c r="P1542" s="1">
        <f t="shared" si="152"/>
        <v>4.9513316100649361</v>
      </c>
      <c r="R1542" s="3">
        <f t="shared" si="147"/>
        <v>0.35501314469084966</v>
      </c>
      <c r="S1542" s="3">
        <f t="shared" si="148"/>
        <v>-1.4573831572708371</v>
      </c>
    </row>
    <row r="1543" spans="6:19" x14ac:dyDescent="0.2">
      <c r="F1543" s="3"/>
      <c r="G1543" s="3"/>
      <c r="H1543" s="3"/>
      <c r="M1543" s="1">
        <f t="shared" si="149"/>
        <v>46.230000000000992</v>
      </c>
      <c r="N1543" s="1">
        <f t="shared" si="150"/>
        <v>-3.4975977362826107</v>
      </c>
      <c r="O1543" s="1">
        <f t="shared" si="151"/>
        <v>-0.68863582793165212</v>
      </c>
      <c r="P1543" s="1">
        <f t="shared" si="152"/>
        <v>4.9306725352269867</v>
      </c>
      <c r="R1543" s="3">
        <f t="shared" si="147"/>
        <v>0.32483134196974944</v>
      </c>
      <c r="S1543" s="3">
        <f t="shared" si="148"/>
        <v>-1.4644058861101767</v>
      </c>
    </row>
    <row r="1544" spans="6:19" x14ac:dyDescent="0.2">
      <c r="F1544" s="3"/>
      <c r="G1544" s="3"/>
      <c r="H1544" s="3"/>
      <c r="M1544" s="1">
        <f t="shared" si="149"/>
        <v>46.260000000000993</v>
      </c>
      <c r="N1544" s="1">
        <f t="shared" si="150"/>
        <v>-3.1863361951836455</v>
      </c>
      <c r="O1544" s="1">
        <f t="shared" si="151"/>
        <v>-0.78422591378716144</v>
      </c>
      <c r="P1544" s="1">
        <f t="shared" si="152"/>
        <v>4.9071457578133719</v>
      </c>
      <c r="R1544" s="3">
        <f t="shared" si="147"/>
        <v>0.29029187444498483</v>
      </c>
      <c r="S1544" s="3">
        <f t="shared" si="148"/>
        <v>-1.4716421533889334</v>
      </c>
    </row>
    <row r="1545" spans="6:19" x14ac:dyDescent="0.2">
      <c r="F1545" s="3"/>
      <c r="G1545" s="3"/>
      <c r="H1545" s="3"/>
      <c r="M1545" s="1">
        <f t="shared" si="149"/>
        <v>46.290000000000994</v>
      </c>
      <c r="N1545" s="1">
        <f t="shared" si="150"/>
        <v>-2.8323384122090034</v>
      </c>
      <c r="O1545" s="1">
        <f t="shared" si="151"/>
        <v>-0.86919606615343159</v>
      </c>
      <c r="P1545" s="1">
        <f t="shared" si="152"/>
        <v>4.8810698758287687</v>
      </c>
      <c r="R1545" s="3">
        <f t="shared" si="147"/>
        <v>0.25182316934402282</v>
      </c>
      <c r="S1545" s="3">
        <f t="shared" si="148"/>
        <v>-1.4787106178632559</v>
      </c>
    </row>
    <row r="1546" spans="6:19" x14ac:dyDescent="0.2">
      <c r="F1546" s="3"/>
      <c r="G1546" s="3"/>
      <c r="H1546" s="3"/>
      <c r="M1546" s="1">
        <f t="shared" si="149"/>
        <v>46.320000000000995</v>
      </c>
      <c r="N1546" s="1">
        <f t="shared" si="150"/>
        <v>-2.4400040474864193</v>
      </c>
      <c r="O1546" s="1">
        <f t="shared" si="151"/>
        <v>-0.94239618757802412</v>
      </c>
      <c r="P1546" s="1">
        <f t="shared" si="152"/>
        <v>4.8527979902014282</v>
      </c>
      <c r="R1546" s="3">
        <f t="shared" si="147"/>
        <v>0.20992216653610585</v>
      </c>
      <c r="S1546" s="3">
        <f t="shared" si="148"/>
        <v>-1.4852382583265176</v>
      </c>
    </row>
    <row r="1547" spans="6:19" x14ac:dyDescent="0.2">
      <c r="F1547" s="3"/>
      <c r="G1547" s="3"/>
      <c r="H1547" s="3"/>
      <c r="M1547" s="1">
        <f t="shared" si="149"/>
        <v>46.350000000000996</v>
      </c>
      <c r="N1547" s="1">
        <f t="shared" si="150"/>
        <v>-2.0144060084790367</v>
      </c>
      <c r="O1547" s="1">
        <f t="shared" si="151"/>
        <v>-1.0028283678323953</v>
      </c>
      <c r="P1547" s="1">
        <f t="shared" si="152"/>
        <v>4.8227131391664564</v>
      </c>
      <c r="R1547" s="3">
        <f t="shared" si="147"/>
        <v>0.16515074199252416</v>
      </c>
      <c r="S1547" s="3">
        <f t="shared" si="148"/>
        <v>-1.4908806902027134</v>
      </c>
    </row>
    <row r="1548" spans="6:19" x14ac:dyDescent="0.2">
      <c r="F1548" s="3"/>
      <c r="G1548" s="3"/>
      <c r="H1548" s="3"/>
      <c r="M1548" s="1">
        <f t="shared" si="149"/>
        <v>46.380000000000997</v>
      </c>
      <c r="N1548" s="1">
        <f t="shared" si="150"/>
        <v>-1.561252866820326</v>
      </c>
      <c r="O1548" s="1">
        <f t="shared" si="151"/>
        <v>-1.049665953837005</v>
      </c>
      <c r="P1548" s="1">
        <f t="shared" si="152"/>
        <v>4.791223160551346</v>
      </c>
      <c r="R1548" s="3">
        <f t="shared" si="147"/>
        <v>0.11812882308875416</v>
      </c>
      <c r="S1548" s="3">
        <f t="shared" si="148"/>
        <v>-1.495341292533469</v>
      </c>
    </row>
    <row r="1549" spans="6:19" x14ac:dyDescent="0.2">
      <c r="F1549" s="3"/>
      <c r="G1549" s="3"/>
      <c r="H1549" s="3"/>
      <c r="M1549" s="1">
        <f t="shared" si="149"/>
        <v>46.410000000000998</v>
      </c>
      <c r="N1549" s="1">
        <f t="shared" si="150"/>
        <v>-1.0868182950422112</v>
      </c>
      <c r="O1549" s="1">
        <f t="shared" si="151"/>
        <v>-1.0822705026882713</v>
      </c>
      <c r="P1549" s="1">
        <f t="shared" si="152"/>
        <v>4.7587550454706982</v>
      </c>
      <c r="R1549" s="3">
        <f t="shared" si="147"/>
        <v>6.9524180726815182E-2</v>
      </c>
      <c r="S1549" s="3">
        <f t="shared" si="148"/>
        <v>-1.4983879298413563</v>
      </c>
    </row>
    <row r="1550" spans="6:19" x14ac:dyDescent="0.2">
      <c r="F1550" s="3"/>
      <c r="G1550" s="3"/>
      <c r="H1550" s="3"/>
      <c r="M1550" s="1">
        <f t="shared" si="149"/>
        <v>46.440000000001</v>
      </c>
      <c r="N1550" s="1">
        <f t="shared" si="150"/>
        <v>-0.59783746202620747</v>
      </c>
      <c r="O1550" s="1">
        <f t="shared" si="151"/>
        <v>-1.1002056265490576</v>
      </c>
      <c r="P1550" s="1">
        <f t="shared" si="152"/>
        <v>4.7257488766742268</v>
      </c>
      <c r="R1550" s="3">
        <f t="shared" si="147"/>
        <v>2.0039248298244924E-2</v>
      </c>
      <c r="S1550" s="3">
        <f t="shared" si="148"/>
        <v>-1.4998661368694346</v>
      </c>
    </row>
    <row r="1551" spans="6:19" x14ac:dyDescent="0.2">
      <c r="F1551" s="3"/>
      <c r="G1551" s="3"/>
      <c r="H1551" s="3"/>
      <c r="M1551" s="1">
        <f t="shared" si="149"/>
        <v>46.470000000001001</v>
      </c>
      <c r="N1551" s="1">
        <f t="shared" si="150"/>
        <v>-0.10137397659303406</v>
      </c>
      <c r="O1551" s="1">
        <f t="shared" si="151"/>
        <v>-1.1032468458468487</v>
      </c>
      <c r="P1551" s="1">
        <f t="shared" si="152"/>
        <v>4.692651471298821</v>
      </c>
      <c r="R1551" s="3">
        <f t="shared" si="147"/>
        <v>-2.9604341384519596E-2</v>
      </c>
      <c r="S1551" s="3">
        <f t="shared" si="148"/>
        <v>-1.4997078325364539</v>
      </c>
    </row>
    <row r="1552" spans="6:19" x14ac:dyDescent="0.2">
      <c r="F1552" s="3"/>
      <c r="G1552" s="3"/>
      <c r="H1552" s="3"/>
      <c r="M1552" s="1">
        <f t="shared" si="149"/>
        <v>46.500000000001002</v>
      </c>
      <c r="N1552" s="1">
        <f t="shared" si="150"/>
        <v>0.39533562997141236</v>
      </c>
      <c r="O1552" s="1">
        <f t="shared" si="151"/>
        <v>-1.0913867769477064</v>
      </c>
      <c r="P1552" s="1">
        <f t="shared" si="152"/>
        <v>4.6599098679903896</v>
      </c>
      <c r="R1552" s="3">
        <f t="shared" si="147"/>
        <v>-7.8682540946859919E-2</v>
      </c>
      <c r="S1552" s="3">
        <f t="shared" si="148"/>
        <v>-1.4979349310801673</v>
      </c>
    </row>
    <row r="1553" spans="6:19" x14ac:dyDescent="0.2">
      <c r="F1553" s="3"/>
      <c r="G1553" s="3"/>
      <c r="H1553" s="3"/>
      <c r="M1553" s="1">
        <f t="shared" si="149"/>
        <v>46.530000000001003</v>
      </c>
      <c r="N1553" s="1">
        <f t="shared" si="150"/>
        <v>0.88505021939389272</v>
      </c>
      <c r="O1553" s="1">
        <f t="shared" si="151"/>
        <v>-1.0648352703658897</v>
      </c>
      <c r="P1553" s="1">
        <f t="shared" si="152"/>
        <v>4.6279648098794128</v>
      </c>
      <c r="R1553" s="3">
        <f t="shared" si="147"/>
        <v>-0.12648587729420663</v>
      </c>
      <c r="S1553" s="3">
        <f t="shared" si="148"/>
        <v>-1.4946575938472044</v>
      </c>
    </row>
    <row r="1554" spans="6:19" x14ac:dyDescent="0.2">
      <c r="F1554" s="3"/>
      <c r="G1554" s="3"/>
      <c r="H1554" s="3"/>
      <c r="M1554" s="1">
        <f t="shared" si="149"/>
        <v>46.560000000001004</v>
      </c>
      <c r="N1554" s="1">
        <f t="shared" si="150"/>
        <v>1.3606939472749964</v>
      </c>
      <c r="O1554" s="1">
        <f t="shared" si="151"/>
        <v>-1.0240144519476397</v>
      </c>
      <c r="P1554" s="1">
        <f t="shared" si="152"/>
        <v>4.597244376320984</v>
      </c>
      <c r="R1554" s="3">
        <f t="shared" si="147"/>
        <v>-0.172335504174215</v>
      </c>
      <c r="S1554" s="3">
        <f t="shared" si="148"/>
        <v>-1.4900672716360892</v>
      </c>
    </row>
    <row r="1555" spans="6:19" x14ac:dyDescent="0.2">
      <c r="F1555" s="3"/>
      <c r="G1555" s="3"/>
      <c r="H1555" s="3"/>
      <c r="M1555" s="1">
        <f t="shared" si="149"/>
        <v>46.590000000001005</v>
      </c>
      <c r="N1555" s="1">
        <f t="shared" si="150"/>
        <v>1.8155163424174374</v>
      </c>
      <c r="O1555" s="1">
        <f t="shared" si="151"/>
        <v>-0.96954896167511662</v>
      </c>
      <c r="P1555" s="1">
        <f t="shared" si="152"/>
        <v>4.5681579074707308</v>
      </c>
      <c r="R1555" s="3">
        <f t="shared" si="147"/>
        <v>-0.21559729376578407</v>
      </c>
      <c r="S1555" s="3">
        <f t="shared" si="148"/>
        <v>-1.4844250762234079</v>
      </c>
    </row>
    <row r="1556" spans="6:19" x14ac:dyDescent="0.2">
      <c r="F1556" s="3"/>
      <c r="G1556" s="3"/>
      <c r="H1556" s="3"/>
      <c r="M1556" s="1">
        <f t="shared" si="149"/>
        <v>46.620000000001006</v>
      </c>
      <c r="N1556" s="1">
        <f t="shared" si="150"/>
        <v>2.2432323442086011</v>
      </c>
      <c r="O1556" s="1">
        <f t="shared" si="151"/>
        <v>-0.90225199134885858</v>
      </c>
      <c r="P1556" s="1">
        <f t="shared" si="152"/>
        <v>4.5410903477302647</v>
      </c>
      <c r="R1556" s="3">
        <f t="shared" si="147"/>
        <v>-0.25569317791614754</v>
      </c>
      <c r="S1556" s="3">
        <f t="shared" si="148"/>
        <v>-1.4780463452703847</v>
      </c>
    </row>
    <row r="1557" spans="6:19" x14ac:dyDescent="0.2">
      <c r="F1557" s="3"/>
      <c r="G1557" s="3"/>
      <c r="H1557" s="3"/>
      <c r="M1557" s="1">
        <f t="shared" si="149"/>
        <v>46.650000000001008</v>
      </c>
      <c r="N1557" s="1">
        <f t="shared" si="150"/>
        <v>2.6381344583828725</v>
      </c>
      <c r="O1557" s="1">
        <f t="shared" si="151"/>
        <v>-0.82310795759737243</v>
      </c>
      <c r="P1557" s="1">
        <f t="shared" si="152"/>
        <v>4.5163971090023436</v>
      </c>
      <c r="R1557" s="3">
        <f t="shared" si="147"/>
        <v>-0.29210926889460836</v>
      </c>
      <c r="S1557" s="3">
        <f t="shared" si="148"/>
        <v>-1.4712824932778401</v>
      </c>
    </row>
    <row r="1558" spans="6:19" x14ac:dyDescent="0.2">
      <c r="F1558" s="3"/>
      <c r="G1558" s="3"/>
      <c r="H1558" s="3"/>
      <c r="M1558" s="1">
        <f t="shared" si="149"/>
        <v>46.680000000001009</v>
      </c>
      <c r="N1558" s="1">
        <f t="shared" si="150"/>
        <v>2.9951724051298472</v>
      </c>
      <c r="O1558" s="1">
        <f t="shared" si="151"/>
        <v>-0.73325278544347705</v>
      </c>
      <c r="P1558" s="1">
        <f t="shared" si="152"/>
        <v>4.4943995254390394</v>
      </c>
      <c r="R1558" s="3">
        <f t="shared" si="147"/>
        <v>-0.32440064630810206</v>
      </c>
      <c r="S1558" s="3">
        <f t="shared" si="148"/>
        <v>-1.464501355641191</v>
      </c>
    </row>
    <row r="1559" spans="6:19" x14ac:dyDescent="0.2">
      <c r="F1559" s="3"/>
      <c r="G1559" s="3"/>
      <c r="H1559" s="3"/>
      <c r="M1559" s="1">
        <f t="shared" si="149"/>
        <v>46.71000000000101</v>
      </c>
      <c r="N1559" s="1">
        <f t="shared" si="150"/>
        <v>3.3099992137709338</v>
      </c>
      <c r="O1559" s="1">
        <f t="shared" si="151"/>
        <v>-0.63395280903034901</v>
      </c>
      <c r="P1559" s="1">
        <f t="shared" si="152"/>
        <v>4.4753809411681287</v>
      </c>
      <c r="R1559" s="3">
        <f t="shared" si="147"/>
        <v>-0.35219304254851208</v>
      </c>
      <c r="S1559" s="3">
        <f t="shared" si="148"/>
        <v>-1.458067234657038</v>
      </c>
    </row>
    <row r="1560" spans="6:19" x14ac:dyDescent="0.2">
      <c r="F1560" s="3"/>
      <c r="G1560" s="3"/>
      <c r="H1560" s="3"/>
      <c r="M1560" s="1">
        <f t="shared" si="149"/>
        <v>46.740000000001011</v>
      </c>
      <c r="N1560" s="1">
        <f t="shared" si="150"/>
        <v>3.578986178297852</v>
      </c>
      <c r="O1560" s="1">
        <f t="shared" si="151"/>
        <v>-0.52658322368141341</v>
      </c>
      <c r="P1560" s="1">
        <f t="shared" si="152"/>
        <v>4.4595834444576861</v>
      </c>
      <c r="R1560" s="3">
        <f t="shared" si="147"/>
        <v>-0.37518195095426554</v>
      </c>
      <c r="S1560" s="3">
        <f t="shared" si="148"/>
        <v>-1.4523217631358938</v>
      </c>
    </row>
    <row r="1561" spans="6:19" x14ac:dyDescent="0.2">
      <c r="F1561" s="3"/>
      <c r="G1561" s="3"/>
      <c r="H1561" s="3"/>
      <c r="M1561" s="1">
        <f t="shared" si="149"/>
        <v>46.770000000001012</v>
      </c>
      <c r="N1561" s="1">
        <f t="shared" si="150"/>
        <v>3.7992119996739833</v>
      </c>
      <c r="O1561" s="1">
        <f t="shared" si="151"/>
        <v>-0.41260686369119393</v>
      </c>
      <c r="P1561" s="1">
        <f t="shared" si="152"/>
        <v>4.4472052385469505</v>
      </c>
      <c r="R1561" s="3">
        <f t="shared" si="147"/>
        <v>-0.39312988739558918</v>
      </c>
      <c r="S1561" s="3">
        <f t="shared" si="148"/>
        <v>-1.4475665413501142</v>
      </c>
    </row>
    <row r="1562" spans="6:19" x14ac:dyDescent="0.2">
      <c r="F1562" s="3"/>
      <c r="G1562" s="3"/>
      <c r="H1562" s="3"/>
      <c r="M1562" s="1">
        <f t="shared" si="149"/>
        <v>46.800000000001013</v>
      </c>
      <c r="N1562" s="1">
        <f t="shared" si="150"/>
        <v>3.9684334916880992</v>
      </c>
      <c r="O1562" s="1">
        <f t="shared" si="151"/>
        <v>-0.29355385894055097</v>
      </c>
      <c r="P1562" s="1">
        <f t="shared" si="152"/>
        <v>4.4383986227787338</v>
      </c>
      <c r="R1562" s="3">
        <f t="shared" si="147"/>
        <v>-0.40586264015420626</v>
      </c>
      <c r="S1562" s="3">
        <f t="shared" si="148"/>
        <v>-1.444048308515701</v>
      </c>
    </row>
    <row r="1563" spans="6:19" x14ac:dyDescent="0.2">
      <c r="F1563" s="3"/>
      <c r="G1563" s="3"/>
      <c r="H1563" s="3"/>
      <c r="M1563" s="1">
        <f t="shared" si="149"/>
        <v>46.830000000001014</v>
      </c>
      <c r="N1563" s="1">
        <f t="shared" si="150"/>
        <v>4.0850462488467114</v>
      </c>
      <c r="O1563" s="1">
        <f t="shared" si="151"/>
        <v>-0.17100247147514963</v>
      </c>
      <c r="P1563" s="1">
        <f t="shared" si="152"/>
        <v>4.4332685486344792</v>
      </c>
      <c r="R1563" s="3">
        <f t="shared" si="147"/>
        <v>-0.4132653418850335</v>
      </c>
      <c r="S1563" s="3">
        <f t="shared" si="148"/>
        <v>-1.4419472102669524</v>
      </c>
    </row>
    <row r="1564" spans="6:19" x14ac:dyDescent="0.2">
      <c r="F1564" s="3"/>
      <c r="G1564" s="3"/>
      <c r="H1564" s="3"/>
      <c r="M1564" s="1">
        <f t="shared" si="149"/>
        <v>46.860000000001016</v>
      </c>
      <c r="N1564" s="1">
        <f t="shared" si="150"/>
        <v>4.148043641283099</v>
      </c>
      <c r="O1564" s="1">
        <f t="shared" si="151"/>
        <v>-4.656116223665667E-2</v>
      </c>
      <c r="P1564" s="1">
        <f t="shared" si="152"/>
        <v>4.4318717137673795</v>
      </c>
      <c r="R1564" s="3">
        <f t="shared" si="147"/>
        <v>-0.41527910019907954</v>
      </c>
      <c r="S1564" s="3">
        <f t="shared" si="148"/>
        <v>-1.4413685402900407</v>
      </c>
    </row>
    <row r="1565" spans="6:19" x14ac:dyDescent="0.2">
      <c r="F1565" s="3"/>
      <c r="G1565" s="3"/>
      <c r="H1565" s="3"/>
      <c r="M1565" s="1">
        <f t="shared" si="149"/>
        <v>46.890000000001017</v>
      </c>
      <c r="N1565" s="1">
        <f t="shared" si="150"/>
        <v>4.1569815065920945</v>
      </c>
      <c r="O1565" s="1">
        <f t="shared" si="151"/>
        <v>7.8148282961106166E-2</v>
      </c>
      <c r="P1565" s="1">
        <f t="shared" si="152"/>
        <v>4.4342161622562131</v>
      </c>
      <c r="R1565" s="3">
        <f t="shared" si="147"/>
        <v>-0.41189874772101143</v>
      </c>
      <c r="S1565" s="3">
        <f t="shared" si="148"/>
        <v>-1.4423381786619471</v>
      </c>
    </row>
    <row r="1566" spans="6:19" x14ac:dyDescent="0.2">
      <c r="F1566" s="3"/>
      <c r="G1566" s="3"/>
      <c r="H1566" s="3"/>
      <c r="M1566" s="1">
        <f t="shared" si="149"/>
        <v>46.920000000001018</v>
      </c>
      <c r="N1566" s="1">
        <f t="shared" si="150"/>
        <v>4.1119541317436141</v>
      </c>
      <c r="O1566" s="1">
        <f t="shared" si="151"/>
        <v>0.20150690691341458</v>
      </c>
      <c r="P1566" s="1">
        <f t="shared" si="152"/>
        <v>4.4402613694636157</v>
      </c>
      <c r="R1566" s="3">
        <f t="shared" si="147"/>
        <v>-0.40317204137428014</v>
      </c>
      <c r="S1566" s="3">
        <f t="shared" si="148"/>
        <v>-1.4448018220690668</v>
      </c>
    </row>
    <row r="1567" spans="6:19" x14ac:dyDescent="0.2">
      <c r="F1567" s="3"/>
      <c r="G1567" s="3"/>
      <c r="H1567" s="3"/>
      <c r="M1567" s="1">
        <f t="shared" si="149"/>
        <v>46.950000000001019</v>
      </c>
      <c r="N1567" s="1">
        <f t="shared" si="150"/>
        <v>4.0135847921205947</v>
      </c>
      <c r="O1567" s="1">
        <f t="shared" si="151"/>
        <v>0.32191445067703239</v>
      </c>
      <c r="P1567" s="1">
        <f t="shared" si="152"/>
        <v>4.4499188029839267</v>
      </c>
      <c r="R1567" s="3">
        <f t="shared" si="147"/>
        <v>-0.38920037973779709</v>
      </c>
      <c r="S1567" s="3">
        <f t="shared" si="148"/>
        <v>-1.4486279937968736</v>
      </c>
    </row>
    <row r="1568" spans="6:19" x14ac:dyDescent="0.2">
      <c r="F1568" s="3"/>
      <c r="G1568" s="3"/>
      <c r="H1568" s="3"/>
      <c r="M1568" s="1">
        <f t="shared" si="149"/>
        <v>46.98000000000102</v>
      </c>
      <c r="N1568" s="1">
        <f t="shared" si="150"/>
        <v>3.8630314968170376</v>
      </c>
      <c r="O1568" s="1">
        <f t="shared" si="151"/>
        <v>0.43780539558154352</v>
      </c>
      <c r="P1568" s="1">
        <f t="shared" si="152"/>
        <v>4.4630529648513733</v>
      </c>
      <c r="R1568" s="3">
        <f t="shared" si="147"/>
        <v>-0.37014084295057276</v>
      </c>
      <c r="S1568" s="3">
        <f t="shared" si="148"/>
        <v>-1.4536147207495662</v>
      </c>
    </row>
    <row r="1569" spans="6:19" x14ac:dyDescent="0.2">
      <c r="F1569" s="3"/>
      <c r="G1569" s="3"/>
      <c r="H1569" s="3"/>
      <c r="M1569" s="1">
        <f t="shared" si="149"/>
        <v>47.010000000001021</v>
      </c>
      <c r="N1569" s="1">
        <f t="shared" si="150"/>
        <v>3.662005943903389</v>
      </c>
      <c r="O1569" s="1">
        <f t="shared" si="151"/>
        <v>0.54766557389864523</v>
      </c>
      <c r="P1569" s="1">
        <f t="shared" si="152"/>
        <v>4.4794829320683327</v>
      </c>
      <c r="R1569" s="3">
        <f t="shared" si="147"/>
        <v>-0.34620911773912616</v>
      </c>
      <c r="S1569" s="3">
        <f t="shared" si="148"/>
        <v>-1.4594996563186631</v>
      </c>
    </row>
    <row r="1570" spans="6:19" x14ac:dyDescent="0.2">
      <c r="F1570" s="3"/>
      <c r="G1570" s="3"/>
      <c r="H1570" s="3"/>
      <c r="M1570" s="1">
        <f t="shared" si="149"/>
        <v>47.040000000001022</v>
      </c>
      <c r="N1570" s="1">
        <f t="shared" si="150"/>
        <v>3.4128012757403838</v>
      </c>
      <c r="O1570" s="1">
        <f t="shared" si="151"/>
        <v>0.65004961217085677</v>
      </c>
      <c r="P1570" s="1">
        <f t="shared" si="152"/>
        <v>4.4989844204334588</v>
      </c>
      <c r="R1570" s="3">
        <f t="shared" si="147"/>
        <v>-0.3176826752485849</v>
      </c>
      <c r="S1570" s="3">
        <f t="shared" si="148"/>
        <v>-1.4659733005232058</v>
      </c>
    </row>
    <row r="1571" spans="6:19" x14ac:dyDescent="0.2">
      <c r="F1571" s="3"/>
      <c r="G1571" s="3"/>
      <c r="H1571" s="3"/>
      <c r="M1571" s="1">
        <f t="shared" si="149"/>
        <v>47.070000000001023</v>
      </c>
      <c r="N1571" s="1">
        <f t="shared" si="150"/>
        <v>3.1183222873904719</v>
      </c>
      <c r="O1571" s="1">
        <f t="shared" si="151"/>
        <v>0.74359928079257087</v>
      </c>
      <c r="P1571" s="1">
        <f t="shared" si="152"/>
        <v>4.521292398857236</v>
      </c>
      <c r="R1571" s="3">
        <f t="shared" si="147"/>
        <v>-0.28490344337136192</v>
      </c>
      <c r="S1571" s="3">
        <f t="shared" si="148"/>
        <v>-1.4726948183364879</v>
      </c>
    </row>
    <row r="1572" spans="6:19" x14ac:dyDescent="0.2">
      <c r="F1572" s="3"/>
      <c r="G1572" s="3"/>
      <c r="H1572" s="3"/>
      <c r="M1572" s="1">
        <f t="shared" si="149"/>
        <v>47.100000000001025</v>
      </c>
      <c r="N1572" s="1">
        <f t="shared" si="150"/>
        <v>2.7821104984422877</v>
      </c>
      <c r="O1572" s="1">
        <f t="shared" si="151"/>
        <v>0.82706259574583951</v>
      </c>
      <c r="P1572" s="1">
        <f t="shared" si="152"/>
        <v>4.5461042767296114</v>
      </c>
      <c r="R1572" s="3">
        <f t="shared" si="147"/>
        <v>-0.24827917554332923</v>
      </c>
      <c r="S1572" s="3">
        <f t="shared" si="148"/>
        <v>-1.4793097887161852</v>
      </c>
    </row>
    <row r="1573" spans="6:19" x14ac:dyDescent="0.2">
      <c r="F1573" s="3"/>
      <c r="G1573" s="3"/>
      <c r="H1573" s="3"/>
      <c r="M1573" s="1">
        <f t="shared" si="149"/>
        <v>47.130000000001026</v>
      </c>
      <c r="N1573" s="1">
        <f t="shared" si="150"/>
        <v>2.4083561218161669</v>
      </c>
      <c r="O1573" s="1">
        <f t="shared" si="151"/>
        <v>0.89931327940032446</v>
      </c>
      <c r="P1573" s="1">
        <f t="shared" si="152"/>
        <v>4.5730836751116213</v>
      </c>
      <c r="R1573" s="3">
        <f t="shared" si="147"/>
        <v>-0.2082827747950034</v>
      </c>
      <c r="S1573" s="3">
        <f t="shared" si="148"/>
        <v>-1.4854690456969117</v>
      </c>
    </row>
    <row r="1574" spans="6:19" x14ac:dyDescent="0.2">
      <c r="F1574" s="3"/>
      <c r="G1574" s="3"/>
      <c r="H1574" s="3"/>
      <c r="M1574" s="1">
        <f t="shared" si="149"/>
        <v>47.160000000001027</v>
      </c>
      <c r="N1574" s="1">
        <f t="shared" si="150"/>
        <v>2.0018895528040046</v>
      </c>
      <c r="O1574" s="1">
        <f t="shared" si="151"/>
        <v>0.95936996598444457</v>
      </c>
      <c r="P1574" s="1">
        <f t="shared" si="152"/>
        <v>4.6018647740911547</v>
      </c>
      <c r="R1574" s="3">
        <f t="shared" si="147"/>
        <v>-0.16544898565836952</v>
      </c>
      <c r="S1574" s="3">
        <f t="shared" si="148"/>
        <v>-1.4908476223761491</v>
      </c>
    </row>
    <row r="1575" spans="6:19" x14ac:dyDescent="0.2">
      <c r="F1575" s="3"/>
      <c r="G1575" s="3"/>
      <c r="H1575" s="3"/>
      <c r="M1575" s="1">
        <f t="shared" si="149"/>
        <v>47.190000000001028</v>
      </c>
      <c r="N1575" s="1">
        <f t="shared" si="150"/>
        <v>1.5681465596450954</v>
      </c>
      <c r="O1575" s="1">
        <f t="shared" si="151"/>
        <v>1.0064143627737974</v>
      </c>
      <c r="P1575" s="1">
        <f t="shared" si="152"/>
        <v>4.6320572049743687</v>
      </c>
      <c r="R1575" s="3">
        <f t="shared" si="147"/>
        <v>-0.12036810578988152</v>
      </c>
      <c r="S1575" s="3">
        <f t="shared" si="148"/>
        <v>-1.4951627065669328</v>
      </c>
    </row>
    <row r="1576" spans="6:19" x14ac:dyDescent="0.2">
      <c r="F1576" s="3"/>
      <c r="G1576" s="3"/>
      <c r="H1576" s="3"/>
      <c r="M1576" s="1">
        <f t="shared" si="149"/>
        <v>47.220000000001029</v>
      </c>
      <c r="N1576" s="1">
        <f t="shared" si="150"/>
        <v>1.1131037652491735</v>
      </c>
      <c r="O1576" s="1">
        <f t="shared" si="151"/>
        <v>1.0398074757312725</v>
      </c>
      <c r="P1576" s="1">
        <f t="shared" si="152"/>
        <v>4.6632514292463068</v>
      </c>
      <c r="R1576" s="3">
        <f t="shared" si="147"/>
        <v>-7.3676669646963455E-2</v>
      </c>
      <c r="S1576" s="3">
        <f t="shared" si="148"/>
        <v>-1.4981894901345865</v>
      </c>
    </row>
    <row r="1577" spans="6:19" x14ac:dyDescent="0.2">
      <c r="F1577" s="3"/>
      <c r="G1577" s="3"/>
      <c r="H1577" s="3"/>
      <c r="M1577" s="1">
        <f t="shared" si="149"/>
        <v>47.25000000000103</v>
      </c>
      <c r="N1577" s="1">
        <f t="shared" si="150"/>
        <v>0.6431840236538201</v>
      </c>
      <c r="O1577" s="1">
        <f t="shared" si="151"/>
        <v>1.0591029964408871</v>
      </c>
      <c r="P1577" s="1">
        <f t="shared" si="152"/>
        <v>4.6950245191395332</v>
      </c>
      <c r="R1577" s="3">
        <f t="shared" si="147"/>
        <v>-2.6045382934782965E-2</v>
      </c>
      <c r="S1577" s="3">
        <f t="shared" si="148"/>
        <v>-1.4997738622965064</v>
      </c>
    </row>
    <row r="1578" spans="6:19" x14ac:dyDescent="0.2">
      <c r="F1578" s="3"/>
      <c r="G1578" s="3"/>
      <c r="H1578" s="3"/>
      <c r="M1578" s="1">
        <f t="shared" si="149"/>
        <v>47.280000000001031</v>
      </c>
      <c r="N1578" s="1">
        <f t="shared" si="150"/>
        <v>0.16513455966814977</v>
      </c>
      <c r="O1578" s="1">
        <f t="shared" si="151"/>
        <v>1.0640570332309316</v>
      </c>
      <c r="P1578" s="1">
        <f t="shared" si="152"/>
        <v>4.7269462301364609</v>
      </c>
      <c r="R1578" s="3">
        <f t="shared" si="147"/>
        <v>2.1835103416317742E-2</v>
      </c>
      <c r="S1578" s="3">
        <f t="shared" si="148"/>
        <v>-1.4998410676664373</v>
      </c>
    </row>
    <row r="1579" spans="6:19" x14ac:dyDescent="0.2">
      <c r="F1579" s="3"/>
      <c r="G1579" s="3"/>
      <c r="H1579" s="3"/>
      <c r="M1579" s="1">
        <f t="shared" si="149"/>
        <v>47.310000000001033</v>
      </c>
      <c r="N1579" s="1">
        <f t="shared" si="150"/>
        <v>-0.31411616715396129</v>
      </c>
      <c r="O1579" s="1">
        <f t="shared" si="151"/>
        <v>1.0546335482163127</v>
      </c>
      <c r="P1579" s="1">
        <f t="shared" si="152"/>
        <v>4.7585852365829506</v>
      </c>
      <c r="R1579" s="3">
        <f t="shared" si="147"/>
        <v>6.926974013789039E-2</v>
      </c>
      <c r="S1579" s="3">
        <f t="shared" si="148"/>
        <v>-1.4983997140620486</v>
      </c>
    </row>
    <row r="1580" spans="6:19" x14ac:dyDescent="0.2">
      <c r="F1580" s="3"/>
      <c r="G1580" s="3"/>
      <c r="H1580" s="3"/>
      <c r="M1580" s="1">
        <f t="shared" si="149"/>
        <v>47.340000000001034</v>
      </c>
      <c r="N1580" s="1">
        <f t="shared" si="150"/>
        <v>-0.78761442071837207</v>
      </c>
      <c r="O1580" s="1">
        <f t="shared" si="151"/>
        <v>1.0310051155947615</v>
      </c>
      <c r="P1580" s="1">
        <f t="shared" si="152"/>
        <v>4.7895153900507932</v>
      </c>
      <c r="R1580" s="3">
        <f t="shared" si="147"/>
        <v>0.1155749523222712</v>
      </c>
      <c r="S1580" s="3">
        <f t="shared" si="148"/>
        <v>-1.4955408487887265</v>
      </c>
    </row>
    <row r="1581" spans="6:19" x14ac:dyDescent="0.2">
      <c r="F1581" s="3"/>
      <c r="G1581" s="3"/>
      <c r="H1581" s="3"/>
      <c r="M1581" s="1">
        <f t="shared" si="149"/>
        <v>47.370000000001035</v>
      </c>
      <c r="N1581" s="1">
        <f t="shared" si="150"/>
        <v>-1.2485399836262405</v>
      </c>
      <c r="O1581" s="1">
        <f t="shared" si="151"/>
        <v>0.99354891608597429</v>
      </c>
      <c r="P1581" s="1">
        <f t="shared" si="152"/>
        <v>4.8193218575333727</v>
      </c>
      <c r="R1581" s="3">
        <f t="shared" si="147"/>
        <v>0.16009380570085835</v>
      </c>
      <c r="S1581" s="3">
        <f t="shared" si="148"/>
        <v>-1.4914321886616957</v>
      </c>
    </row>
    <row r="1582" spans="6:19" x14ac:dyDescent="0.2">
      <c r="F1582" s="3"/>
      <c r="G1582" s="3"/>
      <c r="H1582" s="3"/>
      <c r="M1582" s="1">
        <f t="shared" si="149"/>
        <v>47.400000000001036</v>
      </c>
      <c r="N1582" s="1">
        <f t="shared" si="150"/>
        <v>-1.6903574594563213</v>
      </c>
      <c r="O1582" s="1">
        <f t="shared" si="151"/>
        <v>0.94283819230228461</v>
      </c>
      <c r="P1582" s="1">
        <f t="shared" si="152"/>
        <v>4.847607003302441</v>
      </c>
      <c r="R1582" s="3">
        <f t="shared" si="147"/>
        <v>0.20220952050939306</v>
      </c>
      <c r="S1582" s="3">
        <f t="shared" si="148"/>
        <v>-1.4863079458225881</v>
      </c>
    </row>
    <row r="1583" spans="6:19" x14ac:dyDescent="0.2">
      <c r="F1583" s="3"/>
      <c r="G1583" s="3"/>
      <c r="H1583" s="3"/>
      <c r="M1583" s="1">
        <f t="shared" si="149"/>
        <v>47.430000000001037</v>
      </c>
      <c r="N1583" s="1">
        <f t="shared" si="150"/>
        <v>-2.1069506424011362</v>
      </c>
      <c r="O1583" s="1">
        <f t="shared" si="151"/>
        <v>0.87962967303025053</v>
      </c>
      <c r="P1583" s="1">
        <f t="shared" si="152"/>
        <v>4.8739958934933485</v>
      </c>
      <c r="R1583" s="3">
        <f t="shared" si="147"/>
        <v>0.24135658305168806</v>
      </c>
      <c r="S1583" s="3">
        <f t="shared" si="148"/>
        <v>-1.4804549975658206</v>
      </c>
    </row>
    <row r="1584" spans="6:19" x14ac:dyDescent="0.2">
      <c r="F1584" s="3"/>
      <c r="G1584" s="3"/>
      <c r="H1584" s="3"/>
      <c r="M1584" s="1">
        <f t="shared" si="149"/>
        <v>47.460000000001038</v>
      </c>
      <c r="N1584" s="1">
        <f t="shared" si="150"/>
        <v>-2.4927325010896029</v>
      </c>
      <c r="O1584" s="1">
        <f t="shared" si="151"/>
        <v>0.80484769799756239</v>
      </c>
      <c r="P1584" s="1">
        <f t="shared" si="152"/>
        <v>4.8981413244332757</v>
      </c>
      <c r="R1584" s="3">
        <f t="shared" si="147"/>
        <v>0.27702898145659383</v>
      </c>
      <c r="S1584" s="3">
        <f t="shared" si="148"/>
        <v>-1.4741963720729752</v>
      </c>
    </row>
    <row r="1585" spans="6:19" x14ac:dyDescent="0.2">
      <c r="F1585" s="3"/>
      <c r="G1585" s="3"/>
      <c r="H1585" s="3"/>
      <c r="M1585" s="1">
        <f t="shared" si="149"/>
        <v>47.490000000001039</v>
      </c>
      <c r="N1585" s="1">
        <f t="shared" si="150"/>
        <v>-2.8427261073857184</v>
      </c>
      <c r="O1585" s="1">
        <f t="shared" si="151"/>
        <v>0.71956591477599086</v>
      </c>
      <c r="P1585" s="1">
        <f t="shared" si="152"/>
        <v>4.919728301876555</v>
      </c>
      <c r="R1585" s="3">
        <f t="shared" si="147"/>
        <v>0.3087854088240044</v>
      </c>
      <c r="S1585" s="3">
        <f t="shared" si="148"/>
        <v>-1.4678731455059026</v>
      </c>
    </row>
    <row r="1586" spans="6:19" x14ac:dyDescent="0.2">
      <c r="F1586" s="3"/>
      <c r="G1586" s="3"/>
      <c r="H1586" s="3"/>
      <c r="M1586" s="1">
        <f t="shared" si="149"/>
        <v>47.520000000001041</v>
      </c>
      <c r="N1586" s="1">
        <f t="shared" si="150"/>
        <v>-3.1526150205698835</v>
      </c>
      <c r="O1586" s="1">
        <f t="shared" si="151"/>
        <v>0.62498746415889439</v>
      </c>
      <c r="P1586" s="1">
        <f t="shared" si="152"/>
        <v>4.9384779258013216</v>
      </c>
      <c r="R1586" s="3">
        <f t="shared" si="147"/>
        <v>0.33625159082553685</v>
      </c>
      <c r="S1586" s="3">
        <f t="shared" si="148"/>
        <v>-1.461825867765137</v>
      </c>
    </row>
    <row r="1587" spans="6:19" x14ac:dyDescent="0.2">
      <c r="F1587" s="3"/>
      <c r="G1587" s="3"/>
      <c r="H1587" s="3"/>
      <c r="M1587" s="1">
        <f t="shared" si="149"/>
        <v>47.550000000001042</v>
      </c>
      <c r="N1587" s="1">
        <f t="shared" si="150"/>
        <v>-3.4187647800296692</v>
      </c>
      <c r="O1587" s="1">
        <f t="shared" si="151"/>
        <v>0.52242452075800427</v>
      </c>
      <c r="P1587" s="1">
        <f t="shared" si="152"/>
        <v>4.9541506614240616</v>
      </c>
      <c r="R1587" s="3">
        <f t="shared" si="147"/>
        <v>0.35912016656669021</v>
      </c>
      <c r="S1587" s="3">
        <f t="shared" si="148"/>
        <v>-1.4563765673633702</v>
      </c>
    </row>
    <row r="1588" spans="6:19" x14ac:dyDescent="0.2">
      <c r="F1588" s="3"/>
      <c r="G1588" s="3"/>
      <c r="H1588" s="3"/>
      <c r="M1588" s="1">
        <f t="shared" si="149"/>
        <v>47.580000000001043</v>
      </c>
      <c r="N1588" s="1">
        <f t="shared" si="150"/>
        <v>-3.6382198725351222</v>
      </c>
      <c r="O1588" s="1">
        <f t="shared" si="151"/>
        <v>0.41327792458195062</v>
      </c>
      <c r="P1588" s="1">
        <f t="shared" si="152"/>
        <v>4.9665489991615202</v>
      </c>
      <c r="R1588" s="3">
        <f t="shared" si="147"/>
        <v>0.37714875111455393</v>
      </c>
      <c r="S1588" s="3">
        <f t="shared" si="148"/>
        <v>-1.451812253541322</v>
      </c>
    </row>
    <row r="1589" spans="6:19" x14ac:dyDescent="0.2">
      <c r="F1589" s="3"/>
      <c r="G1589" s="3"/>
      <c r="H1589" s="3"/>
      <c r="M1589" s="1">
        <f t="shared" si="149"/>
        <v>47.610000000001044</v>
      </c>
      <c r="N1589" s="1">
        <f t="shared" si="150"/>
        <v>-3.8086825243579154</v>
      </c>
      <c r="O1589" s="1">
        <f t="shared" si="151"/>
        <v>0.29901744885121317</v>
      </c>
      <c r="P1589" s="1">
        <f t="shared" si="152"/>
        <v>4.9755195226270565</v>
      </c>
      <c r="R1589" s="3">
        <f t="shared" si="147"/>
        <v>0.3901569178023524</v>
      </c>
      <c r="S1589" s="3">
        <f t="shared" si="148"/>
        <v>-1.4483706637083507</v>
      </c>
    </row>
    <row r="1590" spans="6:19" x14ac:dyDescent="0.2">
      <c r="F1590" s="3"/>
      <c r="G1590" s="3"/>
      <c r="H1590" s="3"/>
      <c r="M1590" s="1">
        <f t="shared" si="149"/>
        <v>47.640000000001045</v>
      </c>
      <c r="N1590" s="1">
        <f t="shared" si="150"/>
        <v>-3.928480748420133</v>
      </c>
      <c r="O1590" s="1">
        <f t="shared" si="151"/>
        <v>0.18116302639860921</v>
      </c>
      <c r="P1590" s="1">
        <f t="shared" si="152"/>
        <v>4.9809544134190151</v>
      </c>
      <c r="R1590" s="3">
        <f t="shared" si="147"/>
        <v>0.39802285321260034</v>
      </c>
      <c r="S1590" s="3">
        <f t="shared" si="148"/>
        <v>-1.4462288229462519</v>
      </c>
    </row>
    <row r="1591" spans="6:19" x14ac:dyDescent="0.2">
      <c r="F1591" s="3"/>
      <c r="G1591" s="3"/>
      <c r="H1591" s="3"/>
      <c r="M1591" s="1">
        <f t="shared" si="149"/>
        <v>47.670000000001046</v>
      </c>
      <c r="N1591" s="1">
        <f t="shared" si="150"/>
        <v>-3.9965332045018784</v>
      </c>
      <c r="O1591" s="1">
        <f t="shared" si="151"/>
        <v>6.126703026355286E-2</v>
      </c>
      <c r="P1591" s="1">
        <f t="shared" si="152"/>
        <v>4.9827924243269219</v>
      </c>
      <c r="R1591" s="3">
        <f t="shared" si="147"/>
        <v>0.40068036375087296</v>
      </c>
      <c r="S1591" s="3">
        <f t="shared" si="148"/>
        <v>-1.4454948101271303</v>
      </c>
    </row>
    <row r="1592" spans="6:19" x14ac:dyDescent="0.2">
      <c r="F1592" s="3"/>
      <c r="G1592" s="3"/>
      <c r="H1592" s="3"/>
      <c r="M1592" s="1">
        <f t="shared" si="149"/>
        <v>47.700000000001047</v>
      </c>
      <c r="N1592" s="1">
        <f t="shared" si="150"/>
        <v>-4.0123176702324495</v>
      </c>
      <c r="O1592" s="1">
        <f t="shared" si="151"/>
        <v>-5.9102499843420614E-2</v>
      </c>
      <c r="P1592" s="1">
        <f t="shared" si="152"/>
        <v>4.9810193493316195</v>
      </c>
      <c r="R1592" s="3">
        <f t="shared" si="147"/>
        <v>0.39811676456182105</v>
      </c>
      <c r="S1592" s="3">
        <f t="shared" si="148"/>
        <v>-1.4462029739199223</v>
      </c>
    </row>
    <row r="1593" spans="6:19" x14ac:dyDescent="0.2">
      <c r="F1593" s="3"/>
      <c r="G1593" s="3"/>
      <c r="H1593" s="3"/>
      <c r="M1593" s="1">
        <f t="shared" si="149"/>
        <v>47.730000000001048</v>
      </c>
      <c r="N1593" s="1">
        <f t="shared" si="150"/>
        <v>-3.9758484206323028</v>
      </c>
      <c r="O1593" s="1">
        <f t="shared" si="151"/>
        <v>-0.17837795246238969</v>
      </c>
      <c r="P1593" s="1">
        <f t="shared" si="152"/>
        <v>4.9756680107577482</v>
      </c>
      <c r="R1593" s="3">
        <f t="shared" si="147"/>
        <v>0.39037197935273349</v>
      </c>
      <c r="S1593" s="3">
        <f t="shared" si="148"/>
        <v>-1.4483127140697996</v>
      </c>
    </row>
    <row r="1594" spans="6:19" x14ac:dyDescent="0.2">
      <c r="F1594" s="3"/>
      <c r="G1594" s="3"/>
      <c r="H1594" s="3"/>
      <c r="M1594" s="1">
        <f t="shared" si="149"/>
        <v>47.76000000000105</v>
      </c>
      <c r="N1594" s="1">
        <f t="shared" si="150"/>
        <v>-3.88766577780572</v>
      </c>
      <c r="O1594" s="1">
        <f t="shared" si="151"/>
        <v>-0.29500792579656127</v>
      </c>
      <c r="P1594" s="1">
        <f t="shared" si="152"/>
        <v>4.966817772983851</v>
      </c>
      <c r="R1594" s="3">
        <f t="shared" si="147"/>
        <v>0.37753894661605336</v>
      </c>
      <c r="S1594" s="3">
        <f t="shared" si="148"/>
        <v>-1.4517108333921191</v>
      </c>
    </row>
    <row r="1595" spans="6:19" x14ac:dyDescent="0.2">
      <c r="F1595" s="3"/>
      <c r="G1595" s="3"/>
      <c r="H1595" s="3"/>
      <c r="M1595" s="1">
        <f t="shared" si="149"/>
        <v>47.790000000001051</v>
      </c>
      <c r="N1595" s="1">
        <f t="shared" si="150"/>
        <v>-3.7488387528388429</v>
      </c>
      <c r="O1595" s="1">
        <f t="shared" si="151"/>
        <v>-0.40747308838172658</v>
      </c>
      <c r="P1595" s="1">
        <f t="shared" si="152"/>
        <v>4.954593580332399</v>
      </c>
      <c r="R1595" s="3">
        <f t="shared" si="147"/>
        <v>0.3597651880393577</v>
      </c>
      <c r="S1595" s="3">
        <f t="shared" si="148"/>
        <v>-1.4562173634025264</v>
      </c>
    </row>
    <row r="1596" spans="6:19" x14ac:dyDescent="0.2">
      <c r="F1596" s="3"/>
      <c r="G1596" s="3"/>
      <c r="H1596" s="3"/>
      <c r="M1596" s="1">
        <f t="shared" si="149"/>
        <v>47.820000000001052</v>
      </c>
      <c r="N1596" s="1">
        <f t="shared" si="150"/>
        <v>-3.5609793024392218</v>
      </c>
      <c r="O1596" s="1">
        <f t="shared" si="151"/>
        <v>-0.51430246745490327</v>
      </c>
      <c r="P1596" s="1">
        <f t="shared" si="152"/>
        <v>4.9391645063087521</v>
      </c>
      <c r="R1596" s="3">
        <f t="shared" si="147"/>
        <v>0.33725517263946381</v>
      </c>
      <c r="S1596" s="3">
        <f t="shared" si="148"/>
        <v>-1.4615946594483455</v>
      </c>
    </row>
    <row r="1597" spans="6:19" x14ac:dyDescent="0.2">
      <c r="F1597" s="3"/>
      <c r="G1597" s="3"/>
      <c r="H1597" s="3"/>
      <c r="M1597" s="1">
        <f t="shared" si="149"/>
        <v>47.850000000001053</v>
      </c>
      <c r="N1597" s="1">
        <f t="shared" si="150"/>
        <v>-3.3262645043236971</v>
      </c>
      <c r="O1597" s="1">
        <f t="shared" si="151"/>
        <v>-0.61409040258461423</v>
      </c>
      <c r="P1597" s="1">
        <f t="shared" si="152"/>
        <v>4.9207417942312137</v>
      </c>
      <c r="R1597" s="3">
        <f t="shared" si="147"/>
        <v>0.31027292819286201</v>
      </c>
      <c r="S1597" s="3">
        <f t="shared" si="148"/>
        <v>-1.467559440033223</v>
      </c>
    </row>
    <row r="1598" spans="6:19" x14ac:dyDescent="0.2">
      <c r="F1598" s="3"/>
      <c r="G1598" s="3"/>
      <c r="H1598" s="3"/>
      <c r="M1598" s="1">
        <f t="shared" si="149"/>
        <v>47.880000000001054</v>
      </c>
      <c r="N1598" s="1">
        <f t="shared" si="150"/>
        <v>-3.0474611456960048</v>
      </c>
      <c r="O1598" s="1">
        <f t="shared" si="151"/>
        <v>-0.70551423695549431</v>
      </c>
      <c r="P1598" s="1">
        <f t="shared" si="152"/>
        <v>4.899576367122549</v>
      </c>
      <c r="R1598" s="3">
        <f t="shared" si="147"/>
        <v>0.27914423020736284</v>
      </c>
      <c r="S1598" s="3">
        <f t="shared" si="148"/>
        <v>-1.4737973058538065</v>
      </c>
    </row>
    <row r="1599" spans="6:19" x14ac:dyDescent="0.2">
      <c r="F1599" s="3"/>
      <c r="G1599" s="3"/>
      <c r="H1599" s="3"/>
      <c r="M1599" s="1">
        <f t="shared" si="149"/>
        <v>47.910000000001055</v>
      </c>
      <c r="N1599" s="1">
        <f t="shared" si="150"/>
        <v>-2.7279460207476345</v>
      </c>
      <c r="O1599" s="1">
        <f t="shared" si="151"/>
        <v>-0.7873526175779233</v>
      </c>
      <c r="P1599" s="1">
        <f t="shared" si="152"/>
        <v>4.8759557885952116</v>
      </c>
      <c r="R1599" s="3">
        <f t="shared" si="147"/>
        <v>0.24425765414443351</v>
      </c>
      <c r="S1599" s="3">
        <f t="shared" si="148"/>
        <v>-1.4799791209310549</v>
      </c>
    </row>
    <row r="1600" spans="6:19" x14ac:dyDescent="0.2">
      <c r="F1600" s="3"/>
      <c r="G1600" s="3"/>
      <c r="H1600" s="3"/>
      <c r="M1600" s="1">
        <f t="shared" si="149"/>
        <v>47.940000000001056</v>
      </c>
      <c r="N1600" s="1">
        <f t="shared" si="150"/>
        <v>-2.3717148058623221</v>
      </c>
      <c r="O1600" s="1">
        <f t="shared" si="151"/>
        <v>-0.8585040617537929</v>
      </c>
      <c r="P1600" s="1">
        <f t="shared" si="152"/>
        <v>4.8502006667425981</v>
      </c>
      <c r="R1600" s="3">
        <f t="shared" si="147"/>
        <v>0.20606381862670925</v>
      </c>
      <c r="S1600" s="3">
        <f t="shared" si="148"/>
        <v>-1.4857784837091224</v>
      </c>
    </row>
    <row r="1601" spans="6:19" x14ac:dyDescent="0.2">
      <c r="F1601" s="3"/>
      <c r="G1601" s="3"/>
      <c r="H1601" s="3"/>
      <c r="M1601" s="1">
        <f t="shared" si="149"/>
        <v>47.970000000001058</v>
      </c>
      <c r="N1601" s="1">
        <f t="shared" si="150"/>
        <v>-1.9833728207092509</v>
      </c>
      <c r="O1601" s="1">
        <f t="shared" si="151"/>
        <v>-0.91800524637507042</v>
      </c>
      <c r="P1601" s="1">
        <f t="shared" si="152"/>
        <v>4.8226605093513459</v>
      </c>
      <c r="R1601" s="3">
        <f t="shared" si="147"/>
        <v>0.16507227698875795</v>
      </c>
      <c r="S1601" s="3">
        <f t="shared" si="148"/>
        <v>-1.4908893799909324</v>
      </c>
    </row>
    <row r="1602" spans="6:19" x14ac:dyDescent="0.2">
      <c r="F1602" s="3"/>
      <c r="G1602" s="3"/>
      <c r="H1602" s="3"/>
      <c r="M1602" s="1">
        <f t="shared" si="149"/>
        <v>48.000000000001059</v>
      </c>
      <c r="N1602" s="1">
        <f t="shared" si="150"/>
        <v>-1.5681022977138235</v>
      </c>
      <c r="O1602" s="1">
        <f t="shared" si="151"/>
        <v>-0.96504831530648516</v>
      </c>
      <c r="P1602" s="1">
        <f t="shared" si="152"/>
        <v>4.7937090598921515</v>
      </c>
      <c r="R1602" s="3">
        <f t="shared" ref="R1602:R1665" si="153">$B$3*COS(P1602)</f>
        <v>0.12184572219365392</v>
      </c>
      <c r="S1602" s="3">
        <f t="shared" ref="S1602:S1665" si="154">$B$3*SIN(P1602)</f>
        <v>-1.4950430160979005</v>
      </c>
    </row>
    <row r="1603" spans="6:19" x14ac:dyDescent="0.2">
      <c r="F1603" s="3"/>
      <c r="G1603" s="3"/>
      <c r="H1603" s="3"/>
      <c r="M1603" s="1">
        <f t="shared" ref="M1603:M1666" si="155">M1602+B$13</f>
        <v>48.03000000000106</v>
      </c>
      <c r="N1603" s="1">
        <f t="shared" ref="N1603:N1666" si="156">-$B$12*$B$3*COS(P1602)-B$10*O1602</f>
        <v>-1.1316028735589556</v>
      </c>
      <c r="O1603" s="1">
        <f t="shared" ref="O1603:O1666" si="157">N1603*$B$13+O1602</f>
        <v>-0.99899640151325386</v>
      </c>
      <c r="P1603" s="1">
        <f t="shared" ref="P1603:P1666" si="158">O1603*$B$13+P1602</f>
        <v>4.7637391678467536</v>
      </c>
      <c r="R1603" s="3">
        <f t="shared" si="153"/>
        <v>7.6991435076173204E-2</v>
      </c>
      <c r="S1603" s="3">
        <f t="shared" si="154"/>
        <v>-1.4980228032059162</v>
      </c>
    </row>
    <row r="1604" spans="6:19" x14ac:dyDescent="0.2">
      <c r="F1604" s="3"/>
      <c r="G1604" s="3"/>
      <c r="H1604" s="3"/>
      <c r="M1604" s="1">
        <f t="shared" si="155"/>
        <v>48.060000000001061</v>
      </c>
      <c r="N1604" s="1">
        <f t="shared" si="156"/>
        <v>-0.68000467462553915</v>
      </c>
      <c r="O1604" s="1">
        <f t="shared" si="157"/>
        <v>-1.0193965417520201</v>
      </c>
      <c r="P1604" s="1">
        <f t="shared" si="158"/>
        <v>4.7331572715941927</v>
      </c>
      <c r="R1604" s="3">
        <f t="shared" si="153"/>
        <v>3.115019740774147E-2</v>
      </c>
      <c r="S1604" s="3">
        <f t="shared" si="154"/>
        <v>-1.4996765201874231</v>
      </c>
    </row>
    <row r="1605" spans="6:19" x14ac:dyDescent="0.2">
      <c r="F1605" s="3"/>
      <c r="G1605" s="3"/>
      <c r="H1605" s="3"/>
      <c r="M1605" s="1">
        <f t="shared" si="155"/>
        <v>48.090000000001062</v>
      </c>
      <c r="N1605" s="1">
        <f t="shared" si="156"/>
        <v>-0.2197562853197329</v>
      </c>
      <c r="O1605" s="1">
        <f t="shared" si="157"/>
        <v>-1.025989230311612</v>
      </c>
      <c r="P1605" s="1">
        <f t="shared" si="158"/>
        <v>4.7023775946848447</v>
      </c>
      <c r="R1605" s="3">
        <f t="shared" si="153"/>
        <v>-1.5016827696124706E-2</v>
      </c>
      <c r="S1605" s="3">
        <f t="shared" si="154"/>
        <v>-1.499924829745126</v>
      </c>
    </row>
    <row r="1606" spans="6:19" x14ac:dyDescent="0.2">
      <c r="F1606" s="3"/>
      <c r="G1606" s="3"/>
      <c r="H1606" s="3"/>
      <c r="M1606" s="1">
        <f t="shared" si="155"/>
        <v>48.120000000001063</v>
      </c>
      <c r="N1606" s="1">
        <f t="shared" si="156"/>
        <v>0.24250730768929213</v>
      </c>
      <c r="O1606" s="1">
        <f t="shared" si="157"/>
        <v>-1.0187140110809332</v>
      </c>
      <c r="P1606" s="1">
        <f t="shared" si="158"/>
        <v>4.6718161743524167</v>
      </c>
      <c r="R1606" s="3">
        <f t="shared" si="153"/>
        <v>-6.0842513165240933E-2</v>
      </c>
      <c r="S1606" s="3">
        <f t="shared" si="154"/>
        <v>-1.4987655549123544</v>
      </c>
    </row>
    <row r="1607" spans="6:19" x14ac:dyDescent="0.2">
      <c r="F1607" s="3"/>
      <c r="G1607" s="3"/>
      <c r="H1607" s="3"/>
      <c r="M1607" s="1">
        <f t="shared" si="155"/>
        <v>48.150000000001064</v>
      </c>
      <c r="N1607" s="1">
        <f t="shared" si="156"/>
        <v>0.7001093926496933</v>
      </c>
      <c r="O1607" s="1">
        <f t="shared" si="157"/>
        <v>-0.99771072930144233</v>
      </c>
      <c r="P1607" s="1">
        <f t="shared" si="158"/>
        <v>4.6418848524733738</v>
      </c>
      <c r="R1607" s="3">
        <f t="shared" si="153"/>
        <v>-0.10566859759591475</v>
      </c>
      <c r="S1607" s="3">
        <f t="shared" si="154"/>
        <v>-1.4962734200279415</v>
      </c>
    </row>
    <row r="1608" spans="6:19" x14ac:dyDescent="0.2">
      <c r="F1608" s="3"/>
      <c r="G1608" s="3"/>
      <c r="H1608" s="3"/>
      <c r="M1608" s="1">
        <f t="shared" si="155"/>
        <v>48.180000000001066</v>
      </c>
      <c r="N1608" s="1">
        <f t="shared" si="156"/>
        <v>1.1464799415962774</v>
      </c>
      <c r="O1608" s="1">
        <f t="shared" si="157"/>
        <v>-0.96331633105355396</v>
      </c>
      <c r="P1608" s="1">
        <f t="shared" si="158"/>
        <v>4.6129853625417674</v>
      </c>
      <c r="R1608" s="3">
        <f t="shared" si="153"/>
        <v>-0.14885999429648364</v>
      </c>
      <c r="S1608" s="3">
        <f t="shared" si="154"/>
        <v>-1.4925952907932047</v>
      </c>
    </row>
    <row r="1609" spans="6:19" x14ac:dyDescent="0.2">
      <c r="F1609" s="3"/>
      <c r="G1609" s="3"/>
      <c r="H1609" s="3"/>
      <c r="M1609" s="1">
        <f t="shared" si="155"/>
        <v>48.210000000001067</v>
      </c>
      <c r="N1609" s="1">
        <f t="shared" si="156"/>
        <v>1.5752984127596563</v>
      </c>
      <c r="O1609" s="1">
        <f t="shared" si="157"/>
        <v>-0.91605737867076431</v>
      </c>
      <c r="P1609" s="1">
        <f t="shared" si="158"/>
        <v>4.5855036411816448</v>
      </c>
      <c r="R1609" s="3">
        <f t="shared" si="153"/>
        <v>-0.18981770978682611</v>
      </c>
      <c r="S1609" s="3">
        <f t="shared" si="154"/>
        <v>-1.4879412747320655</v>
      </c>
    </row>
    <row r="1610" spans="6:19" x14ac:dyDescent="0.2">
      <c r="F1610" s="3"/>
      <c r="G1610" s="3"/>
      <c r="H1610" s="3"/>
      <c r="M1610" s="1">
        <f t="shared" si="155"/>
        <v>48.240000000001068</v>
      </c>
      <c r="N1610" s="1">
        <f t="shared" si="156"/>
        <v>1.9806222619486298</v>
      </c>
      <c r="O1610" s="1">
        <f t="shared" si="157"/>
        <v>-0.85663871081230547</v>
      </c>
      <c r="P1610" s="1">
        <f t="shared" si="158"/>
        <v>4.5598044798572754</v>
      </c>
      <c r="R1610" s="3">
        <f t="shared" si="153"/>
        <v>-0.22798966485699229</v>
      </c>
      <c r="S1610" s="3">
        <f t="shared" si="154"/>
        <v>-1.4825723296751483</v>
      </c>
    </row>
    <row r="1611" spans="6:19" x14ac:dyDescent="0.2">
      <c r="F1611" s="3"/>
      <c r="G1611" s="3"/>
      <c r="H1611" s="3"/>
      <c r="M1611" s="1">
        <f t="shared" si="155"/>
        <v>48.270000000001069</v>
      </c>
      <c r="N1611" s="1">
        <f t="shared" si="156"/>
        <v>2.3569941325430306</v>
      </c>
      <c r="O1611" s="1">
        <f t="shared" si="157"/>
        <v>-0.78592888683601458</v>
      </c>
      <c r="P1611" s="1">
        <f t="shared" si="158"/>
        <v>4.5362266132521949</v>
      </c>
      <c r="R1611" s="3">
        <f t="shared" si="153"/>
        <v>-0.26287895022098801</v>
      </c>
      <c r="S1611" s="3">
        <f t="shared" si="154"/>
        <v>-1.476785244214849</v>
      </c>
    </row>
    <row r="1612" spans="6:19" x14ac:dyDescent="0.2">
      <c r="F1612" s="3"/>
      <c r="G1612" s="3"/>
      <c r="H1612" s="3"/>
      <c r="M1612" s="1">
        <f t="shared" si="155"/>
        <v>48.30000000000107</v>
      </c>
      <c r="N1612" s="1">
        <f t="shared" si="156"/>
        <v>2.6995231020251214</v>
      </c>
      <c r="O1612" s="1">
        <f t="shared" si="157"/>
        <v>-0.70494319377526093</v>
      </c>
      <c r="P1612" s="1">
        <f t="shared" si="158"/>
        <v>4.5150783174389373</v>
      </c>
      <c r="R1612" s="3">
        <f t="shared" si="153"/>
        <v>-0.29404932925187699</v>
      </c>
      <c r="S1612" s="3">
        <f t="shared" si="154"/>
        <v>-1.4708959827147945</v>
      </c>
    </row>
    <row r="1613" spans="6:19" x14ac:dyDescent="0.2">
      <c r="F1613" s="3"/>
      <c r="G1613" s="3"/>
      <c r="H1613" s="3"/>
      <c r="M1613" s="1">
        <f t="shared" si="155"/>
        <v>48.330000000001071</v>
      </c>
      <c r="N1613" s="1">
        <f t="shared" si="156"/>
        <v>3.003938179958543</v>
      </c>
      <c r="O1613" s="1">
        <f t="shared" si="157"/>
        <v>-0.61482504837650465</v>
      </c>
      <c r="P1613" s="1">
        <f t="shared" si="158"/>
        <v>4.4966335659876417</v>
      </c>
      <c r="R1613" s="3">
        <f t="shared" si="153"/>
        <v>-0.3211280840863513</v>
      </c>
      <c r="S1613" s="3">
        <f t="shared" si="154"/>
        <v>-1.4652224246205861</v>
      </c>
    </row>
    <row r="1614" spans="6:19" x14ac:dyDescent="0.2">
      <c r="F1614" s="3"/>
      <c r="G1614" s="3"/>
      <c r="H1614" s="3"/>
      <c r="M1614" s="1">
        <f t="shared" si="155"/>
        <v>48.360000000001072</v>
      </c>
      <c r="N1614" s="1">
        <f t="shared" si="156"/>
        <v>3.2666150952173982</v>
      </c>
      <c r="O1614" s="1">
        <f t="shared" si="157"/>
        <v>-0.51682659551998267</v>
      </c>
      <c r="P1614" s="1">
        <f t="shared" si="158"/>
        <v>4.4811287681220424</v>
      </c>
      <c r="R1614" s="3">
        <f t="shared" si="153"/>
        <v>-0.34380655276741379</v>
      </c>
      <c r="S1614" s="3">
        <f t="shared" si="154"/>
        <v>-1.4600674827809115</v>
      </c>
    </row>
    <row r="1615" spans="6:19" x14ac:dyDescent="0.2">
      <c r="F1615" s="3"/>
      <c r="G1615" s="3"/>
      <c r="H1615" s="3"/>
      <c r="M1615" s="1">
        <f t="shared" si="155"/>
        <v>48.390000000001073</v>
      </c>
      <c r="N1615" s="1">
        <f t="shared" si="156"/>
        <v>3.4845799212709365</v>
      </c>
      <c r="O1615" s="1">
        <f t="shared" si="157"/>
        <v>-0.41228919788185459</v>
      </c>
      <c r="P1615" s="1">
        <f t="shared" si="158"/>
        <v>4.4687600921855868</v>
      </c>
      <c r="R1615" s="3">
        <f t="shared" si="153"/>
        <v>-0.36183889571105154</v>
      </c>
      <c r="S1615" s="3">
        <f t="shared" si="154"/>
        <v>-1.4557034772063322</v>
      </c>
    </row>
    <row r="1616" spans="6:19" x14ac:dyDescent="0.2">
      <c r="F1616" s="3"/>
      <c r="G1616" s="3"/>
      <c r="H1616" s="3"/>
      <c r="M1616" s="1">
        <f t="shared" si="155"/>
        <v>48.420000000001075</v>
      </c>
      <c r="N1616" s="1">
        <f t="shared" si="156"/>
        <v>3.6554949849198826</v>
      </c>
      <c r="O1616" s="1">
        <f t="shared" si="157"/>
        <v>-0.30262434833425811</v>
      </c>
      <c r="P1616" s="1">
        <f t="shared" si="158"/>
        <v>4.4596813617355586</v>
      </c>
      <c r="R1616" s="3">
        <f t="shared" si="153"/>
        <v>-0.3750397417622679</v>
      </c>
      <c r="S1616" s="3">
        <f t="shared" si="154"/>
        <v>-1.4523584929688989</v>
      </c>
    </row>
    <row r="1617" spans="6:19" x14ac:dyDescent="0.2">
      <c r="F1617" s="3"/>
      <c r="G1617" s="3"/>
      <c r="H1617" s="3"/>
      <c r="M1617" s="1">
        <f t="shared" si="155"/>
        <v>48.450000000001076</v>
      </c>
      <c r="N1617" s="1">
        <f t="shared" si="156"/>
        <v>3.7776336089727622</v>
      </c>
      <c r="O1617" s="1">
        <f t="shared" si="157"/>
        <v>-0.18929534006507526</v>
      </c>
      <c r="P1617" s="1">
        <f t="shared" si="158"/>
        <v>4.4540025015336067</v>
      </c>
      <c r="R1617" s="3">
        <f t="shared" si="153"/>
        <v>-0.38328139087912538</v>
      </c>
      <c r="S1617" s="3">
        <f t="shared" si="154"/>
        <v>-1.4502052873320257</v>
      </c>
    </row>
    <row r="1618" spans="6:19" x14ac:dyDescent="0.2">
      <c r="F1618" s="3"/>
      <c r="G1618" s="3"/>
      <c r="H1618" s="3"/>
      <c r="M1618" s="1">
        <f t="shared" si="155"/>
        <v>48.480000000001077</v>
      </c>
      <c r="N1618" s="1">
        <f t="shared" si="156"/>
        <v>3.8498504893971108</v>
      </c>
      <c r="O1618" s="1">
        <f t="shared" si="157"/>
        <v>-7.3799825383161932E-2</v>
      </c>
      <c r="P1618" s="1">
        <f t="shared" si="158"/>
        <v>4.4517885067721119</v>
      </c>
      <c r="R1618" s="3">
        <f t="shared" si="153"/>
        <v>-0.38649119578654711</v>
      </c>
      <c r="S1618" s="3">
        <f t="shared" si="154"/>
        <v>-1.4493531507467339</v>
      </c>
    </row>
    <row r="1619" spans="6:19" x14ac:dyDescent="0.2">
      <c r="F1619" s="3"/>
      <c r="G1619" s="3"/>
      <c r="H1619" s="3"/>
      <c r="M1619" s="1">
        <f t="shared" si="155"/>
        <v>48.510000000001078</v>
      </c>
      <c r="N1619" s="1">
        <f t="shared" si="156"/>
        <v>3.8715539421499559</v>
      </c>
      <c r="O1619" s="1">
        <f t="shared" si="157"/>
        <v>4.2346792881336734E-2</v>
      </c>
      <c r="P1619" s="1">
        <f t="shared" si="158"/>
        <v>4.4530589105585516</v>
      </c>
      <c r="R1619" s="3">
        <f t="shared" si="153"/>
        <v>-0.38464962066721686</v>
      </c>
      <c r="S1619" s="3">
        <f t="shared" si="154"/>
        <v>-1.4498429809191635</v>
      </c>
    </row>
    <row r="1620" spans="6:19" x14ac:dyDescent="0.2">
      <c r="F1620" s="3"/>
      <c r="G1620" s="3"/>
      <c r="H1620" s="3"/>
      <c r="M1620" s="1">
        <f t="shared" si="155"/>
        <v>48.540000000001079</v>
      </c>
      <c r="N1620" s="1">
        <f t="shared" si="156"/>
        <v>3.8426849953128479</v>
      </c>
      <c r="O1620" s="1">
        <f t="shared" si="157"/>
        <v>0.15762734274072215</v>
      </c>
      <c r="P1620" s="1">
        <f t="shared" si="158"/>
        <v>4.4577877308407734</v>
      </c>
      <c r="R1620" s="3">
        <f t="shared" si="153"/>
        <v>-0.37778929861553934</v>
      </c>
      <c r="S1620" s="3">
        <f t="shared" si="154"/>
        <v>-1.4516457025912277</v>
      </c>
    </row>
    <row r="1621" spans="6:19" x14ac:dyDescent="0.2">
      <c r="F1621" s="3"/>
      <c r="G1621" s="3"/>
      <c r="H1621" s="3"/>
      <c r="M1621" s="1">
        <f t="shared" si="155"/>
        <v>48.57000000000108</v>
      </c>
      <c r="N1621" s="1">
        <f t="shared" si="156"/>
        <v>3.763706525308729</v>
      </c>
      <c r="O1621" s="1">
        <f t="shared" si="157"/>
        <v>0.27053853849998399</v>
      </c>
      <c r="P1621" s="1">
        <f t="shared" si="158"/>
        <v>4.4659038869957728</v>
      </c>
      <c r="R1621" s="3">
        <f t="shared" si="153"/>
        <v>-0.36599520196111579</v>
      </c>
      <c r="S1621" s="3">
        <f t="shared" si="154"/>
        <v>-1.4546640547361587</v>
      </c>
    </row>
    <row r="1622" spans="6:19" x14ac:dyDescent="0.2">
      <c r="F1622" s="3"/>
      <c r="G1622" s="3"/>
      <c r="H1622" s="3"/>
      <c r="M1622" s="1">
        <f t="shared" si="155"/>
        <v>48.600000000001081</v>
      </c>
      <c r="N1622" s="1">
        <f t="shared" si="156"/>
        <v>3.6356035511461591</v>
      </c>
      <c r="O1622" s="1">
        <f t="shared" si="157"/>
        <v>0.37960664503436875</v>
      </c>
      <c r="P1622" s="1">
        <f t="shared" si="158"/>
        <v>4.4772920863468038</v>
      </c>
      <c r="R1622" s="3">
        <f t="shared" si="153"/>
        <v>-0.34940582289102795</v>
      </c>
      <c r="S1622" s="3">
        <f t="shared" si="154"/>
        <v>-1.4587376635056228</v>
      </c>
    </row>
    <row r="1623" spans="6:19" x14ac:dyDescent="0.2">
      <c r="F1623" s="3"/>
      <c r="G1623" s="3"/>
      <c r="H1623" s="3"/>
      <c r="M1623" s="1">
        <f t="shared" si="155"/>
        <v>48.630000000001083</v>
      </c>
      <c r="N1623" s="1">
        <f t="shared" si="156"/>
        <v>3.4598936308571862</v>
      </c>
      <c r="O1623" s="1">
        <f t="shared" si="157"/>
        <v>0.48340345396008433</v>
      </c>
      <c r="P1623" s="1">
        <f t="shared" si="158"/>
        <v>4.4917941899656064</v>
      </c>
      <c r="R1623" s="3">
        <f t="shared" si="153"/>
        <v>-0.32821505834602888</v>
      </c>
      <c r="S1623" s="3">
        <f t="shared" si="154"/>
        <v>-1.4636512137373825</v>
      </c>
    </row>
    <row r="1624" spans="6:19" x14ac:dyDescent="0.2">
      <c r="F1624" s="3"/>
      <c r="G1624" s="3"/>
      <c r="H1624" s="3"/>
      <c r="M1624" s="1">
        <f t="shared" si="155"/>
        <v>48.660000000001084</v>
      </c>
      <c r="N1624" s="1">
        <f t="shared" si="156"/>
        <v>3.2386442726038815</v>
      </c>
      <c r="O1624" s="1">
        <f t="shared" si="157"/>
        <v>0.58056278213820078</v>
      </c>
      <c r="P1624" s="1">
        <f t="shared" si="158"/>
        <v>4.5092110734297526</v>
      </c>
      <c r="R1624" s="3">
        <f t="shared" si="153"/>
        <v>-0.30267432413636014</v>
      </c>
      <c r="S1624" s="3">
        <f t="shared" si="154"/>
        <v>-1.4691454160526785</v>
      </c>
    </row>
    <row r="1625" spans="6:19" x14ac:dyDescent="0.2">
      <c r="F1625" s="3"/>
      <c r="G1625" s="3"/>
      <c r="H1625" s="3"/>
      <c r="M1625" s="1">
        <f t="shared" si="155"/>
        <v>48.690000000001085</v>
      </c>
      <c r="N1625" s="1">
        <f t="shared" si="156"/>
        <v>2.9744925909711633</v>
      </c>
      <c r="O1625" s="1">
        <f t="shared" si="157"/>
        <v>0.66979755986733569</v>
      </c>
      <c r="P1625" s="1">
        <f t="shared" si="158"/>
        <v>4.5293050002257731</v>
      </c>
      <c r="R1625" s="3">
        <f t="shared" si="153"/>
        <v>-0.27309430751360075</v>
      </c>
      <c r="S1625" s="3">
        <f t="shared" si="154"/>
        <v>-1.4749303370680484</v>
      </c>
    </row>
    <row r="1626" spans="6:19" x14ac:dyDescent="0.2">
      <c r="F1626" s="3"/>
      <c r="G1626" s="3"/>
      <c r="H1626" s="3"/>
      <c r="M1626" s="1">
        <f t="shared" si="155"/>
        <v>48.720000000001086</v>
      </c>
      <c r="N1626" s="1">
        <f t="shared" si="156"/>
        <v>2.6706612947479469</v>
      </c>
      <c r="O1626" s="1">
        <f t="shared" si="157"/>
        <v>0.74991739870977414</v>
      </c>
      <c r="P1626" s="1">
        <f t="shared" si="158"/>
        <v>4.5518025221870664</v>
      </c>
      <c r="R1626" s="3">
        <f t="shared" si="153"/>
        <v>-0.23984572007535079</v>
      </c>
      <c r="S1626" s="3">
        <f t="shared" si="154"/>
        <v>-1.4807005202138399</v>
      </c>
    </row>
    <row r="1627" spans="6:19" x14ac:dyDescent="0.2">
      <c r="F1627" s="3"/>
      <c r="G1627" s="3"/>
      <c r="H1627" s="3"/>
      <c r="M1627" s="1">
        <f t="shared" si="155"/>
        <v>48.750000000001087</v>
      </c>
      <c r="N1627" s="1">
        <f t="shared" si="156"/>
        <v>2.3309646348696282</v>
      </c>
      <c r="O1627" s="1">
        <f t="shared" si="157"/>
        <v>0.81984633775586302</v>
      </c>
      <c r="P1627" s="1">
        <f t="shared" si="158"/>
        <v>4.5763979123197425</v>
      </c>
      <c r="R1627" s="3">
        <f t="shared" si="153"/>
        <v>-0.20335844311963164</v>
      </c>
      <c r="S1627" s="3">
        <f t="shared" si="154"/>
        <v>-1.4861511846417106</v>
      </c>
    </row>
    <row r="1628" spans="6:19" x14ac:dyDescent="0.2">
      <c r="F1628" s="3"/>
      <c r="G1628" s="3"/>
      <c r="H1628" s="3"/>
      <c r="M1628" s="1">
        <f t="shared" si="155"/>
        <v>48.780000000001088</v>
      </c>
      <c r="N1628" s="1">
        <f t="shared" si="156"/>
        <v>1.9597982607982891</v>
      </c>
      <c r="O1628" s="1">
        <f t="shared" si="157"/>
        <v>0.87864028557981166</v>
      </c>
      <c r="P1628" s="1">
        <f t="shared" si="158"/>
        <v>4.6027571208871372</v>
      </c>
      <c r="R1628" s="3">
        <f t="shared" si="153"/>
        <v>-0.16411856686371351</v>
      </c>
      <c r="S1628" s="3">
        <f t="shared" si="154"/>
        <v>-1.4909946666606828</v>
      </c>
    </row>
    <row r="1629" spans="6:19" x14ac:dyDescent="0.2">
      <c r="F1629" s="3"/>
      <c r="G1629" s="3"/>
      <c r="H1629" s="3"/>
      <c r="M1629" s="1">
        <f t="shared" si="155"/>
        <v>48.810000000001089</v>
      </c>
      <c r="N1629" s="1">
        <f t="shared" si="156"/>
        <v>1.5621080429349521</v>
      </c>
      <c r="O1629" s="1">
        <f t="shared" si="157"/>
        <v>0.92550352686786019</v>
      </c>
      <c r="P1629" s="1">
        <f t="shared" si="158"/>
        <v>4.6305222266931727</v>
      </c>
      <c r="R1629" s="3">
        <f t="shared" si="153"/>
        <v>-0.12266300536693957</v>
      </c>
      <c r="S1629" s="3">
        <f t="shared" si="154"/>
        <v>-1.4949761827916692</v>
      </c>
    </row>
    <row r="1630" spans="6:19" x14ac:dyDescent="0.2">
      <c r="F1630" s="3"/>
      <c r="G1630" s="3"/>
      <c r="H1630" s="3"/>
      <c r="M1630" s="1">
        <f t="shared" si="155"/>
        <v>48.840000000001091</v>
      </c>
      <c r="N1630" s="1">
        <f t="shared" si="156"/>
        <v>1.1433347362512882</v>
      </c>
      <c r="O1630" s="1">
        <f t="shared" si="157"/>
        <v>0.95980356895539887</v>
      </c>
      <c r="P1630" s="1">
        <f t="shared" si="158"/>
        <v>4.6593163337618346</v>
      </c>
      <c r="R1630" s="3">
        <f t="shared" si="153"/>
        <v>-7.9571602689147494E-2</v>
      </c>
      <c r="S1630" s="3">
        <f t="shared" si="154"/>
        <v>-1.4978879664532594</v>
      </c>
    </row>
    <row r="1631" spans="6:19" x14ac:dyDescent="0.2">
      <c r="F1631" s="3"/>
      <c r="G1631" s="3"/>
      <c r="H1631" s="3"/>
      <c r="M1631" s="1">
        <f t="shared" si="155"/>
        <v>48.870000000001092</v>
      </c>
      <c r="N1631" s="1">
        <f t="shared" si="156"/>
        <v>0.70933370568548915</v>
      </c>
      <c r="O1631" s="1">
        <f t="shared" si="157"/>
        <v>0.98108358012596353</v>
      </c>
      <c r="P1631" s="1">
        <f t="shared" si="158"/>
        <v>4.688748841165614</v>
      </c>
      <c r="R1631" s="3">
        <f t="shared" si="153"/>
        <v>-3.5456906061415543E-2</v>
      </c>
      <c r="S1631" s="3">
        <f t="shared" si="154"/>
        <v>-1.499580877382928</v>
      </c>
    </row>
    <row r="1632" spans="6:19" x14ac:dyDescent="0.2">
      <c r="F1632" s="3"/>
      <c r="G1632" s="3"/>
      <c r="H1632" s="3"/>
      <c r="M1632" s="1">
        <f t="shared" si="155"/>
        <v>48.900000000001093</v>
      </c>
      <c r="N1632" s="1">
        <f t="shared" si="156"/>
        <v>0.2662715384028187</v>
      </c>
      <c r="O1632" s="1">
        <f t="shared" si="157"/>
        <v>0.98907172627804807</v>
      </c>
      <c r="P1632" s="1">
        <f t="shared" si="158"/>
        <v>4.7184209929539556</v>
      </c>
      <c r="R1632" s="3">
        <f t="shared" si="153"/>
        <v>9.0479639850391848E-3</v>
      </c>
      <c r="S1632" s="3">
        <f t="shared" si="154"/>
        <v>-1.4999727112010157</v>
      </c>
    </row>
    <row r="1633" spans="6:19" x14ac:dyDescent="0.2">
      <c r="F1633" s="3"/>
      <c r="G1633" s="3"/>
      <c r="H1633" s="3"/>
      <c r="M1633" s="1">
        <f t="shared" si="155"/>
        <v>48.930000000001094</v>
      </c>
      <c r="N1633" s="1">
        <f t="shared" si="156"/>
        <v>-0.17949609521541615</v>
      </c>
      <c r="O1633" s="1">
        <f t="shared" si="157"/>
        <v>0.98368684342158563</v>
      </c>
      <c r="P1633" s="1">
        <f t="shared" si="158"/>
        <v>4.7479315982566028</v>
      </c>
      <c r="R1633" s="3">
        <f t="shared" si="153"/>
        <v>5.3302702467858135E-2</v>
      </c>
      <c r="S1633" s="3">
        <f t="shared" si="154"/>
        <v>-1.4990526414738152</v>
      </c>
    </row>
    <row r="1634" spans="6:19" x14ac:dyDescent="0.2">
      <c r="F1634" s="3"/>
      <c r="G1634" s="3"/>
      <c r="H1634" s="3"/>
      <c r="M1634" s="1">
        <f t="shared" si="155"/>
        <v>48.960000000001095</v>
      </c>
      <c r="N1634" s="1">
        <f t="shared" si="156"/>
        <v>-0.621558840586524</v>
      </c>
      <c r="O1634" s="1">
        <f t="shared" si="157"/>
        <v>0.96504007820398996</v>
      </c>
      <c r="P1634" s="1">
        <f t="shared" si="158"/>
        <v>4.7768828006027224</v>
      </c>
      <c r="R1634" s="3">
        <f t="shared" si="153"/>
        <v>9.6673679522282174E-2</v>
      </c>
      <c r="S1634" s="3">
        <f t="shared" si="154"/>
        <v>-1.4968814915308504</v>
      </c>
    </row>
    <row r="1635" spans="6:19" x14ac:dyDescent="0.2">
      <c r="F1635" s="3"/>
      <c r="G1635" s="3"/>
      <c r="H1635" s="3"/>
      <c r="M1635" s="1">
        <f t="shared" si="155"/>
        <v>48.990000000001096</v>
      </c>
      <c r="N1635" s="1">
        <f t="shared" si="156"/>
        <v>-1.0535904022611808</v>
      </c>
      <c r="O1635" s="1">
        <f t="shared" si="157"/>
        <v>0.93343236613615455</v>
      </c>
      <c r="P1635" s="1">
        <f t="shared" si="158"/>
        <v>4.8048857715868074</v>
      </c>
      <c r="R1635" s="3">
        <f t="shared" si="153"/>
        <v>0.13854742872913522</v>
      </c>
      <c r="S1635" s="3">
        <f t="shared" si="154"/>
        <v>-1.4935878313619675</v>
      </c>
    </row>
    <row r="1636" spans="6:19" x14ac:dyDescent="0.2">
      <c r="F1636" s="3"/>
      <c r="G1636" s="3"/>
      <c r="H1636" s="3"/>
      <c r="M1636" s="1">
        <f t="shared" si="155"/>
        <v>49.020000000001097</v>
      </c>
      <c r="N1636" s="1">
        <f t="shared" si="156"/>
        <v>-1.469483200243606</v>
      </c>
      <c r="O1636" s="1">
        <f t="shared" si="157"/>
        <v>0.88934787012884642</v>
      </c>
      <c r="P1636" s="1">
        <f t="shared" si="158"/>
        <v>4.8315662076906731</v>
      </c>
      <c r="R1636" s="3">
        <f t="shared" si="153"/>
        <v>0.17834296653785475</v>
      </c>
      <c r="S1636" s="3">
        <f t="shared" si="154"/>
        <v>-1.4893601936020975</v>
      </c>
    </row>
    <row r="1637" spans="6:19" x14ac:dyDescent="0.2">
      <c r="F1637" s="3"/>
      <c r="G1637" s="3"/>
      <c r="H1637" s="3"/>
      <c r="M1637" s="1">
        <f t="shared" si="155"/>
        <v>49.050000000001098</v>
      </c>
      <c r="N1637" s="1">
        <f t="shared" si="156"/>
        <v>-1.8634709736901436</v>
      </c>
      <c r="O1637" s="1">
        <f t="shared" si="157"/>
        <v>0.83344374091814211</v>
      </c>
      <c r="P1637" s="1">
        <f t="shared" si="158"/>
        <v>4.8565695199182173</v>
      </c>
      <c r="R1637" s="3">
        <f t="shared" si="153"/>
        <v>0.21552228047343988</v>
      </c>
      <c r="S1637" s="3">
        <f t="shared" si="154"/>
        <v>-1.4844359691881386</v>
      </c>
    </row>
    <row r="1638" spans="6:19" x14ac:dyDescent="0.2">
      <c r="F1638" s="3"/>
      <c r="G1638" s="3"/>
      <c r="H1638" s="3"/>
      <c r="M1638" s="1">
        <f t="shared" si="155"/>
        <v>49.0800000000011</v>
      </c>
      <c r="N1638" s="1">
        <f t="shared" si="156"/>
        <v>-2.2302327414170318</v>
      </c>
      <c r="O1638" s="1">
        <f t="shared" si="157"/>
        <v>0.7665367586756312</v>
      </c>
      <c r="P1638" s="1">
        <f t="shared" si="158"/>
        <v>4.879565622678486</v>
      </c>
      <c r="R1638" s="3">
        <f t="shared" si="153"/>
        <v>0.24959853016776348</v>
      </c>
      <c r="S1638" s="3">
        <f t="shared" si="154"/>
        <v>-1.4790877505199251</v>
      </c>
    </row>
    <row r="1639" spans="6:19" x14ac:dyDescent="0.2">
      <c r="F1639" s="3"/>
      <c r="G1639" s="3"/>
      <c r="H1639" s="3"/>
      <c r="M1639" s="1">
        <f t="shared" si="155"/>
        <v>49.110000000001101</v>
      </c>
      <c r="N1639" s="1">
        <f t="shared" si="156"/>
        <v>-2.5649736099584417</v>
      </c>
      <c r="O1639" s="1">
        <f t="shared" si="157"/>
        <v>0.68958755037687791</v>
      </c>
      <c r="P1639" s="1">
        <f t="shared" si="158"/>
        <v>4.9002532491897925</v>
      </c>
      <c r="R1639" s="3">
        <f t="shared" si="153"/>
        <v>0.28014175315060952</v>
      </c>
      <c r="S1639" s="3">
        <f t="shared" si="154"/>
        <v>-1.4736080205202817</v>
      </c>
    </row>
    <row r="1640" spans="6:19" x14ac:dyDescent="0.2">
      <c r="F1640" s="3"/>
      <c r="G1640" s="3"/>
      <c r="H1640" s="3"/>
      <c r="M1640" s="1">
        <f t="shared" si="155"/>
        <v>49.140000000001102</v>
      </c>
      <c r="N1640" s="1">
        <f t="shared" si="156"/>
        <v>-2.8634804110400141</v>
      </c>
      <c r="O1640" s="1">
        <f t="shared" si="157"/>
        <v>0.60368313804567753</v>
      </c>
      <c r="P1640" s="1">
        <f t="shared" si="158"/>
        <v>4.9183637433311631</v>
      </c>
      <c r="R1640" s="3">
        <f t="shared" si="153"/>
        <v>0.30678212311909453</v>
      </c>
      <c r="S1640" s="3">
        <f t="shared" si="154"/>
        <v>-1.4682931345390609</v>
      </c>
    </row>
    <row r="1641" spans="6:19" x14ac:dyDescent="0.2">
      <c r="F1641" s="3"/>
      <c r="G1641" s="3"/>
      <c r="H1641" s="3"/>
      <c r="M1641" s="1">
        <f t="shared" si="155"/>
        <v>49.170000000001103</v>
      </c>
      <c r="N1641" s="1">
        <f t="shared" si="156"/>
        <v>-3.1221527136150562</v>
      </c>
      <c r="O1641" s="1">
        <f t="shared" si="157"/>
        <v>0.51001855663722584</v>
      </c>
      <c r="P1641" s="1">
        <f t="shared" si="158"/>
        <v>4.93366430003028</v>
      </c>
      <c r="R1641" s="3">
        <f t="shared" si="153"/>
        <v>0.32921103969602622</v>
      </c>
      <c r="S1641" s="3">
        <f t="shared" si="154"/>
        <v>-1.4634275148917562</v>
      </c>
    </row>
    <row r="1642" spans="6:19" x14ac:dyDescent="0.2">
      <c r="F1642" s="3"/>
      <c r="G1642" s="3"/>
      <c r="H1642" s="3"/>
      <c r="M1642" s="1">
        <f t="shared" si="155"/>
        <v>49.200000000001104</v>
      </c>
      <c r="N1642" s="1">
        <f t="shared" si="156"/>
        <v>-3.3380120670576123</v>
      </c>
      <c r="O1642" s="1">
        <f t="shared" si="157"/>
        <v>0.40987819462549746</v>
      </c>
      <c r="P1642" s="1">
        <f t="shared" si="158"/>
        <v>4.9459606458690448</v>
      </c>
      <c r="R1642" s="3">
        <f t="shared" si="153"/>
        <v>0.34718050900200792</v>
      </c>
      <c r="S1642" s="3">
        <f t="shared" si="154"/>
        <v>-1.4592688902903079</v>
      </c>
    </row>
    <row r="1643" spans="6:19" x14ac:dyDescent="0.2">
      <c r="F1643" s="3"/>
      <c r="G1643" s="3"/>
      <c r="H1643" s="3"/>
      <c r="M1643" s="1">
        <f t="shared" si="155"/>
        <v>49.230000000001105</v>
      </c>
      <c r="N1643" s="1">
        <f t="shared" si="156"/>
        <v>-3.5086941275363741</v>
      </c>
      <c r="O1643" s="1">
        <f t="shared" si="157"/>
        <v>0.30461737079940626</v>
      </c>
      <c r="P1643" s="1">
        <f t="shared" si="158"/>
        <v>4.9550991669930271</v>
      </c>
      <c r="R1643" s="3">
        <f t="shared" si="153"/>
        <v>0.36050138610069793</v>
      </c>
      <c r="S1643" s="3">
        <f t="shared" si="154"/>
        <v>-1.456035284812657</v>
      </c>
    </row>
    <row r="1644" spans="6:19" x14ac:dyDescent="0.2">
      <c r="F1644" s="3"/>
      <c r="G1644" s="3"/>
      <c r="H1644" s="3"/>
      <c r="M1644" s="1">
        <f t="shared" si="155"/>
        <v>49.260000000001106</v>
      </c>
      <c r="N1644" s="1">
        <f t="shared" si="156"/>
        <v>-3.6324294243789259</v>
      </c>
      <c r="O1644" s="1">
        <f t="shared" si="157"/>
        <v>0.19564448806803847</v>
      </c>
      <c r="P1644" s="1">
        <f t="shared" si="158"/>
        <v>4.960968501635068</v>
      </c>
      <c r="R1644" s="3">
        <f t="shared" si="153"/>
        <v>0.36904108591685386</v>
      </c>
      <c r="S1644" s="3">
        <f t="shared" si="154"/>
        <v>-1.45389431421452</v>
      </c>
    </row>
    <row r="1645" spans="6:19" x14ac:dyDescent="0.2">
      <c r="F1645" s="3"/>
      <c r="G1645" s="3"/>
      <c r="H1645" s="3"/>
      <c r="M1645" s="1">
        <f t="shared" si="155"/>
        <v>49.290000000001108</v>
      </c>
      <c r="N1645" s="1">
        <f t="shared" si="156"/>
        <v>-3.708018863094662</v>
      </c>
      <c r="O1645" s="1">
        <f t="shared" si="157"/>
        <v>8.4403922175198612E-2</v>
      </c>
      <c r="P1645" s="1">
        <f t="shared" si="158"/>
        <v>4.9635006193003237</v>
      </c>
      <c r="R1645" s="3">
        <f t="shared" si="153"/>
        <v>0.37272133038435507</v>
      </c>
      <c r="S1645" s="3">
        <f t="shared" si="154"/>
        <v>-1.4529551988538794</v>
      </c>
    </row>
    <row r="1646" spans="6:19" x14ac:dyDescent="0.2">
      <c r="F1646" s="3"/>
      <c r="G1646" s="3"/>
      <c r="H1646" s="3"/>
      <c r="M1646" s="1">
        <f t="shared" si="155"/>
        <v>49.320000000001109</v>
      </c>
      <c r="N1646" s="1">
        <f t="shared" si="156"/>
        <v>-3.7348096568393183</v>
      </c>
      <c r="O1646" s="1">
        <f t="shared" si="157"/>
        <v>-2.7640367529980933E-2</v>
      </c>
      <c r="P1646" s="1">
        <f t="shared" si="158"/>
        <v>4.9626714082744243</v>
      </c>
      <c r="R1646" s="3">
        <f t="shared" si="153"/>
        <v>0.37151639591150165</v>
      </c>
      <c r="S1646" s="3">
        <f t="shared" si="154"/>
        <v>-1.4532637639358275</v>
      </c>
    </row>
    <row r="1647" spans="6:19" x14ac:dyDescent="0.2">
      <c r="F1647" s="3"/>
      <c r="G1647" s="3"/>
      <c r="H1647" s="3"/>
      <c r="M1647" s="1">
        <f t="shared" si="155"/>
        <v>49.35000000000111</v>
      </c>
      <c r="N1647" s="1">
        <f t="shared" si="156"/>
        <v>-3.7126763260373186</v>
      </c>
      <c r="O1647" s="1">
        <f t="shared" si="157"/>
        <v>-0.13902065731110047</v>
      </c>
      <c r="P1647" s="1">
        <f t="shared" si="158"/>
        <v>4.9585007885550914</v>
      </c>
      <c r="R1647" s="3">
        <f t="shared" si="153"/>
        <v>0.36545217188496265</v>
      </c>
      <c r="S1647" s="3">
        <f t="shared" si="154"/>
        <v>-1.4548005739841334</v>
      </c>
    </row>
    <row r="1648" spans="6:19" x14ac:dyDescent="0.2">
      <c r="F1648" s="3"/>
      <c r="G1648" s="3"/>
      <c r="H1648" s="3"/>
      <c r="M1648" s="1">
        <f t="shared" si="155"/>
        <v>49.380000000001111</v>
      </c>
      <c r="N1648" s="1">
        <f t="shared" si="156"/>
        <v>-3.6420098596916275</v>
      </c>
      <c r="O1648" s="1">
        <f t="shared" si="157"/>
        <v>-0.24828095310184928</v>
      </c>
      <c r="P1648" s="1">
        <f t="shared" si="158"/>
        <v>4.951052359962036</v>
      </c>
      <c r="R1648" s="3">
        <f t="shared" si="153"/>
        <v>0.35460615645743382</v>
      </c>
      <c r="S1648" s="3">
        <f t="shared" si="154"/>
        <v>-1.457482237902914</v>
      </c>
    </row>
    <row r="1649" spans="6:19" x14ac:dyDescent="0.2">
      <c r="F1649" s="3"/>
      <c r="G1649" s="3"/>
      <c r="H1649" s="3"/>
      <c r="M1649" s="1">
        <f t="shared" si="155"/>
        <v>49.410000000001112</v>
      </c>
      <c r="N1649" s="1">
        <f t="shared" si="156"/>
        <v>-3.5237162787951712</v>
      </c>
      <c r="O1649" s="1">
        <f t="shared" si="157"/>
        <v>-0.35399244146570441</v>
      </c>
      <c r="P1649" s="1">
        <f t="shared" si="158"/>
        <v>4.9404325867180647</v>
      </c>
      <c r="R1649" s="3">
        <f t="shared" si="153"/>
        <v>0.33910832053890988</v>
      </c>
      <c r="S1649" s="3">
        <f t="shared" si="154"/>
        <v>-1.4611658177432429</v>
      </c>
    </row>
    <row r="1650" spans="6:19" x14ac:dyDescent="0.2">
      <c r="F1650" s="3"/>
      <c r="G1650" s="3"/>
      <c r="H1650" s="3"/>
      <c r="M1650" s="1">
        <f t="shared" si="155"/>
        <v>49.440000000001113</v>
      </c>
      <c r="N1650" s="1">
        <f t="shared" si="156"/>
        <v>-3.3592238856571854</v>
      </c>
      <c r="O1650" s="1">
        <f t="shared" si="157"/>
        <v>-0.45476915803541995</v>
      </c>
      <c r="P1650" s="1">
        <f t="shared" si="158"/>
        <v>4.9267895119770024</v>
      </c>
      <c r="R1650" s="3">
        <f t="shared" si="153"/>
        <v>0.31914258527693828</v>
      </c>
      <c r="S1650" s="3">
        <f t="shared" si="154"/>
        <v>-1.4656561705470872</v>
      </c>
    </row>
    <row r="1651" spans="6:19" x14ac:dyDescent="0.2">
      <c r="F1651" s="3"/>
      <c r="G1651" s="3"/>
      <c r="H1651" s="3"/>
      <c r="M1651" s="1">
        <f t="shared" si="155"/>
        <v>49.470000000001114</v>
      </c>
      <c r="N1651" s="1">
        <f t="shared" si="156"/>
        <v>-3.1504966285461951</v>
      </c>
      <c r="O1651" s="1">
        <f t="shared" si="157"/>
        <v>-0.54928405689180582</v>
      </c>
      <c r="P1651" s="1">
        <f t="shared" si="158"/>
        <v>4.910310990270248</v>
      </c>
      <c r="R1651" s="3">
        <f t="shared" si="153"/>
        <v>0.29494850200392481</v>
      </c>
      <c r="S1651" s="3">
        <f t="shared" si="154"/>
        <v>-1.470715941698342</v>
      </c>
    </row>
    <row r="1652" spans="6:19" x14ac:dyDescent="0.2">
      <c r="F1652" s="3"/>
      <c r="G1652" s="3"/>
      <c r="H1652" s="3"/>
      <c r="M1652" s="1">
        <f t="shared" si="155"/>
        <v>49.500000000001116</v>
      </c>
      <c r="N1652" s="1">
        <f t="shared" si="156"/>
        <v>-2.9000494549189857</v>
      </c>
      <c r="O1652" s="1">
        <f t="shared" si="157"/>
        <v>-0.63628554053937536</v>
      </c>
      <c r="P1652" s="1">
        <f t="shared" si="158"/>
        <v>4.8912224240540665</v>
      </c>
      <c r="R1652" s="3">
        <f t="shared" si="153"/>
        <v>0.26682261417218489</v>
      </c>
      <c r="S1652" s="3">
        <f t="shared" si="154"/>
        <v>-1.4760778070841392</v>
      </c>
    </row>
    <row r="1653" spans="6:19" x14ac:dyDescent="0.2">
      <c r="F1653" s="3"/>
      <c r="G1653" s="3"/>
      <c r="H1653" s="3"/>
      <c r="M1653" s="1">
        <f t="shared" si="155"/>
        <v>49.530000000001117</v>
      </c>
      <c r="N1653" s="1">
        <f t="shared" si="156"/>
        <v>-2.6109604430733051</v>
      </c>
      <c r="O1653" s="1">
        <f t="shared" si="157"/>
        <v>-0.71461435383157457</v>
      </c>
      <c r="P1653" s="1">
        <f t="shared" si="158"/>
        <v>4.8697839934391194</v>
      </c>
      <c r="R1653" s="3">
        <f t="shared" si="153"/>
        <v>0.23511893216158175</v>
      </c>
      <c r="S1653" s="3">
        <f t="shared" si="154"/>
        <v>-1.4814584326734239</v>
      </c>
    </row>
    <row r="1654" spans="6:19" x14ac:dyDescent="0.2">
      <c r="F1654" s="3"/>
      <c r="G1654" s="3"/>
      <c r="H1654" s="3"/>
      <c r="M1654" s="1">
        <f t="shared" si="155"/>
        <v>49.560000000001118</v>
      </c>
      <c r="N1654" s="1">
        <f t="shared" si="156"/>
        <v>-2.2868740297709755</v>
      </c>
      <c r="O1654" s="1">
        <f t="shared" si="157"/>
        <v>-0.78322057472470386</v>
      </c>
      <c r="P1654" s="1">
        <f t="shared" si="158"/>
        <v>4.8462873761973784</v>
      </c>
      <c r="R1654" s="3">
        <f t="shared" si="153"/>
        <v>0.20024797276148543</v>
      </c>
      <c r="S1654" s="3">
        <f t="shared" si="154"/>
        <v>-1.4865734927695016</v>
      </c>
    </row>
    <row r="1655" spans="6:19" x14ac:dyDescent="0.2">
      <c r="F1655" s="3"/>
      <c r="G1655" s="3"/>
      <c r="H1655" s="3"/>
      <c r="M1655" s="1">
        <f t="shared" si="155"/>
        <v>49.590000000001119</v>
      </c>
      <c r="N1655" s="1">
        <f t="shared" si="156"/>
        <v>-1.931989875889631</v>
      </c>
      <c r="O1655" s="1">
        <f t="shared" si="157"/>
        <v>-0.84118027100139281</v>
      </c>
      <c r="P1655" s="1">
        <f t="shared" si="158"/>
        <v>4.8210519680673363</v>
      </c>
      <c r="R1655" s="3">
        <f t="shared" si="153"/>
        <v>0.16267390735094162</v>
      </c>
      <c r="S1655" s="3">
        <f t="shared" si="154"/>
        <v>-1.4911529766818619</v>
      </c>
    </row>
    <row r="1656" spans="6:19" x14ac:dyDescent="0.2">
      <c r="F1656" s="3"/>
      <c r="G1656" s="3"/>
      <c r="H1656" s="3"/>
      <c r="M1656" s="1">
        <f t="shared" si="155"/>
        <v>49.62000000000112</v>
      </c>
      <c r="N1656" s="1">
        <f t="shared" si="156"/>
        <v>-1.5510328491192908</v>
      </c>
      <c r="O1656" s="1">
        <f t="shared" si="157"/>
        <v>-0.88771125647497151</v>
      </c>
      <c r="P1656" s="1">
        <f t="shared" si="158"/>
        <v>4.7944206303730867</v>
      </c>
      <c r="R1656" s="3">
        <f t="shared" si="153"/>
        <v>0.12290951973463621</v>
      </c>
      <c r="S1656" s="3">
        <f t="shared" si="154"/>
        <v>-1.4949559357916209</v>
      </c>
    </row>
    <row r="1657" spans="6:19" x14ac:dyDescent="0.2">
      <c r="F1657" s="3"/>
      <c r="G1657" s="3"/>
      <c r="H1657" s="3"/>
      <c r="M1657" s="1">
        <f t="shared" si="155"/>
        <v>49.650000000001121</v>
      </c>
      <c r="N1657" s="1">
        <f t="shared" si="156"/>
        <v>-1.1492011842636145</v>
      </c>
      <c r="O1657" s="1">
        <f t="shared" si="157"/>
        <v>-0.92218729200287997</v>
      </c>
      <c r="P1657" s="1">
        <f t="shared" si="158"/>
        <v>4.7667550116130002</v>
      </c>
      <c r="R1657" s="3">
        <f t="shared" si="153"/>
        <v>8.1508880830089309E-2</v>
      </c>
      <c r="S1657" s="3">
        <f t="shared" si="154"/>
        <v>-1.4977837969299261</v>
      </c>
    </row>
    <row r="1658" spans="6:19" x14ac:dyDescent="0.2">
      <c r="F1658" s="3"/>
      <c r="G1658" s="3"/>
      <c r="H1658" s="3"/>
      <c r="M1658" s="1">
        <f t="shared" si="155"/>
        <v>49.680000000001122</v>
      </c>
      <c r="N1658" s="1">
        <f t="shared" si="156"/>
        <v>-0.73209195202063393</v>
      </c>
      <c r="O1658" s="1">
        <f t="shared" si="157"/>
        <v>-0.94415005056349899</v>
      </c>
      <c r="P1658" s="1">
        <f t="shared" si="158"/>
        <v>4.7384305100960953</v>
      </c>
      <c r="R1658" s="3">
        <f t="shared" si="153"/>
        <v>3.9057879627599282E-2</v>
      </c>
      <c r="S1658" s="3">
        <f t="shared" si="154"/>
        <v>-1.4994914077909869</v>
      </c>
    </row>
    <row r="1659" spans="6:19" x14ac:dyDescent="0.2">
      <c r="F1659" s="3"/>
      <c r="G1659" s="3"/>
      <c r="H1659" s="3"/>
      <c r="M1659" s="1">
        <f t="shared" si="155"/>
        <v>49.710000000001124</v>
      </c>
      <c r="N1659" s="1">
        <f t="shared" si="156"/>
        <v>-0.30560529172527789</v>
      </c>
      <c r="O1659" s="1">
        <f t="shared" si="157"/>
        <v>-0.95331820931525735</v>
      </c>
      <c r="P1659" s="1">
        <f t="shared" si="158"/>
        <v>4.7098309638166374</v>
      </c>
      <c r="R1659" s="3">
        <f t="shared" si="153"/>
        <v>-3.8370206675175439E-3</v>
      </c>
      <c r="S1659" s="3">
        <f t="shared" si="154"/>
        <v>-1.4999950924161043</v>
      </c>
    </row>
    <row r="1660" spans="6:19" x14ac:dyDescent="0.2">
      <c r="F1660" s="3"/>
      <c r="G1660" s="3"/>
      <c r="H1660" s="3"/>
      <c r="M1660" s="1">
        <f t="shared" si="155"/>
        <v>49.740000000001125</v>
      </c>
      <c r="N1660" s="1">
        <f t="shared" si="156"/>
        <v>0.12416884551354859</v>
      </c>
      <c r="O1660" s="1">
        <f t="shared" si="157"/>
        <v>-0.94959314394985084</v>
      </c>
      <c r="P1660" s="1">
        <f t="shared" si="158"/>
        <v>4.6813431694981418</v>
      </c>
      <c r="R1660" s="3">
        <f t="shared" si="153"/>
        <v>-4.6561235873316439E-2</v>
      </c>
      <c r="S1660" s="3">
        <f t="shared" si="154"/>
        <v>-1.4992771762799397</v>
      </c>
    </row>
    <row r="1661" spans="6:19" x14ac:dyDescent="0.2">
      <c r="F1661" s="3"/>
      <c r="G1661" s="3"/>
      <c r="H1661" s="3"/>
      <c r="M1661" s="1">
        <f t="shared" si="155"/>
        <v>49.770000000001126</v>
      </c>
      <c r="N1661" s="1">
        <f t="shared" si="156"/>
        <v>0.55107574168865092</v>
      </c>
      <c r="O1661" s="1">
        <f t="shared" si="157"/>
        <v>-0.93306087169919127</v>
      </c>
      <c r="P1661" s="1">
        <f t="shared" si="158"/>
        <v>4.6533513433471656</v>
      </c>
      <c r="R1661" s="3">
        <f t="shared" si="153"/>
        <v>-8.8505021447045182E-2</v>
      </c>
      <c r="S1661" s="3">
        <f t="shared" si="154"/>
        <v>-1.4973866772409383</v>
      </c>
    </row>
    <row r="1662" spans="6:19" x14ac:dyDescent="0.2">
      <c r="F1662" s="3"/>
      <c r="G1662" s="3"/>
      <c r="H1662" s="3"/>
      <c r="M1662" s="1">
        <f t="shared" si="155"/>
        <v>49.800000000001127</v>
      </c>
      <c r="N1662" s="1">
        <f t="shared" si="156"/>
        <v>0.96902569292337892</v>
      </c>
      <c r="O1662" s="1">
        <f t="shared" si="157"/>
        <v>-0.9039901009114899</v>
      </c>
      <c r="P1662" s="1">
        <f t="shared" si="158"/>
        <v>4.6262316403198209</v>
      </c>
      <c r="R1662" s="3">
        <f t="shared" si="153"/>
        <v>-0.12907618106701069</v>
      </c>
      <c r="S1662" s="3">
        <f t="shared" si="154"/>
        <v>-1.4944361276016971</v>
      </c>
    </row>
    <row r="1663" spans="6:19" x14ac:dyDescent="0.2">
      <c r="F1663" s="3"/>
      <c r="G1663" s="3"/>
      <c r="H1663" s="3"/>
      <c r="M1663" s="1">
        <f t="shared" si="155"/>
        <v>49.830000000001128</v>
      </c>
      <c r="N1663" s="1">
        <f t="shared" si="156"/>
        <v>1.3721209197521409</v>
      </c>
      <c r="O1663" s="1">
        <f t="shared" si="157"/>
        <v>-0.8628264733189257</v>
      </c>
      <c r="P1663" s="1">
        <f t="shared" si="158"/>
        <v>4.600346846120253</v>
      </c>
      <c r="R1663" s="3">
        <f t="shared" si="153"/>
        <v>-0.16771179348978735</v>
      </c>
      <c r="S1663" s="3">
        <f t="shared" si="154"/>
        <v>-1.4905947652948601</v>
      </c>
    </row>
    <row r="1664" spans="6:19" x14ac:dyDescent="0.2">
      <c r="F1664" s="3"/>
      <c r="G1664" s="3"/>
      <c r="H1664" s="3"/>
      <c r="M1664" s="1">
        <f t="shared" si="155"/>
        <v>49.860000000001129</v>
      </c>
      <c r="N1664" s="1">
        <f t="shared" si="156"/>
        <v>1.7547723174965768</v>
      </c>
      <c r="O1664" s="1">
        <f t="shared" si="157"/>
        <v>-0.81018330379402836</v>
      </c>
      <c r="P1664" s="1">
        <f t="shared" si="158"/>
        <v>4.5760413470064325</v>
      </c>
      <c r="R1664" s="3">
        <f t="shared" si="153"/>
        <v>-0.2038883401438043</v>
      </c>
      <c r="S1664" s="3">
        <f t="shared" si="154"/>
        <v>-1.4860785796025069</v>
      </c>
    </row>
    <row r="1665" spans="6:19" x14ac:dyDescent="0.2">
      <c r="F1665" s="3"/>
      <c r="G1665" s="3"/>
      <c r="H1665" s="3"/>
      <c r="M1665" s="1">
        <f t="shared" si="155"/>
        <v>49.89000000000113</v>
      </c>
      <c r="N1665" s="1">
        <f t="shared" si="156"/>
        <v>2.1117998987795055</v>
      </c>
      <c r="O1665" s="1">
        <f t="shared" si="157"/>
        <v>-0.74682930683064319</v>
      </c>
      <c r="P1665" s="1">
        <f t="shared" si="158"/>
        <v>4.5536364678015131</v>
      </c>
      <c r="R1665" s="3">
        <f t="shared" si="153"/>
        <v>-0.23712979402898832</v>
      </c>
      <c r="S1665" s="3">
        <f t="shared" si="154"/>
        <v>-1.4811378939125721</v>
      </c>
    </row>
    <row r="1666" spans="6:19" x14ac:dyDescent="0.2">
      <c r="F1666" s="3"/>
      <c r="G1666" s="3"/>
      <c r="H1666" s="3"/>
      <c r="M1666" s="1">
        <f t="shared" si="155"/>
        <v>49.920000000001131</v>
      </c>
      <c r="N1666" s="1">
        <f t="shared" si="156"/>
        <v>2.4385125779046408</v>
      </c>
      <c r="O1666" s="1">
        <f t="shared" si="157"/>
        <v>-0.67367392949350391</v>
      </c>
      <c r="P1666" s="1">
        <f t="shared" si="158"/>
        <v>4.5334262499167082</v>
      </c>
      <c r="R1666" s="3">
        <f t="shared" ref="R1666:R1729" si="159">$B$3*COS(P1666)</f>
        <v>-0.26701344931584292</v>
      </c>
      <c r="S1666" s="3">
        <f t="shared" ref="S1666:S1729" si="160">$B$3*SIN(P1666)</f>
        <v>-1.476043298106277</v>
      </c>
    </row>
    <row r="1667" spans="6:19" x14ac:dyDescent="0.2">
      <c r="F1667" s="3"/>
      <c r="G1667" s="3"/>
      <c r="H1667" s="3"/>
      <c r="M1667" s="1">
        <f t="shared" ref="M1667:M1730" si="161">M1666+B$13</f>
        <v>49.950000000001133</v>
      </c>
      <c r="N1667" s="1">
        <f t="shared" ref="N1667:N1730" si="162">-$B$12*$B$3*COS(P1666)-B$10*O1666</f>
        <v>2.7307651468128444</v>
      </c>
      <c r="O1667" s="1">
        <f t="shared" ref="O1667:O1730" si="163">N1667*$B$13+O1666</f>
        <v>-0.59175097508911856</v>
      </c>
      <c r="P1667" s="1">
        <f t="shared" ref="P1667:P1730" si="164">O1667*$B$13+P1666</f>
        <v>4.5156737206640347</v>
      </c>
      <c r="R1667" s="3">
        <f t="shared" si="159"/>
        <v>-0.29317350097075295</v>
      </c>
      <c r="S1667" s="3">
        <f t="shared" si="160"/>
        <v>-1.4710707999034418</v>
      </c>
    </row>
    <row r="1668" spans="6:19" x14ac:dyDescent="0.2">
      <c r="F1668" s="3"/>
      <c r="G1668" s="3"/>
      <c r="H1668" s="3"/>
      <c r="M1668" s="1">
        <f t="shared" si="161"/>
        <v>49.980000000001134</v>
      </c>
      <c r="N1668" s="1">
        <f t="shared" si="162"/>
        <v>2.9849925974655505</v>
      </c>
      <c r="O1668" s="1">
        <f t="shared" si="163"/>
        <v>-0.5022011971651521</v>
      </c>
      <c r="P1668" s="1">
        <f t="shared" si="164"/>
        <v>4.5006076847490801</v>
      </c>
      <c r="R1668" s="3">
        <f t="shared" si="159"/>
        <v>-0.31530259560248108</v>
      </c>
      <c r="S1668" s="3">
        <f t="shared" si="160"/>
        <v>-1.4664870518372599</v>
      </c>
    </row>
    <row r="1669" spans="6:19" x14ac:dyDescent="0.2">
      <c r="F1669" s="3"/>
      <c r="G1669" s="3"/>
      <c r="H1669" s="3"/>
      <c r="M1669" s="1">
        <f t="shared" si="161"/>
        <v>50.010000000001135</v>
      </c>
      <c r="N1669" s="1">
        <f t="shared" si="162"/>
        <v>3.1982240637696751</v>
      </c>
      <c r="O1669" s="1">
        <f t="shared" si="163"/>
        <v>-0.40625447525206182</v>
      </c>
      <c r="P1669" s="1">
        <f t="shared" si="164"/>
        <v>4.4884200504915182</v>
      </c>
      <c r="R1669" s="3">
        <f t="shared" si="159"/>
        <v>-0.33315174397938258</v>
      </c>
      <c r="S1669" s="3">
        <f t="shared" si="160"/>
        <v>-1.4625354407615208</v>
      </c>
    </row>
    <row r="1670" spans="6:19" x14ac:dyDescent="0.2">
      <c r="F1670" s="3"/>
      <c r="G1670" s="3"/>
      <c r="H1670" s="3"/>
      <c r="M1670" s="1">
        <f t="shared" si="161"/>
        <v>50.040000000001136</v>
      </c>
      <c r="N1670" s="1">
        <f t="shared" si="162"/>
        <v>3.3680803425665111</v>
      </c>
      <c r="O1670" s="1">
        <f t="shared" si="163"/>
        <v>-0.30521206497506648</v>
      </c>
      <c r="P1670" s="1">
        <f t="shared" si="164"/>
        <v>4.4792636885422663</v>
      </c>
      <c r="R1670" s="3">
        <f t="shared" si="159"/>
        <v>-0.34652909526676456</v>
      </c>
      <c r="S1670" s="3">
        <f t="shared" si="160"/>
        <v>-1.4594237171341287</v>
      </c>
    </row>
    <row r="1671" spans="6:19" x14ac:dyDescent="0.2">
      <c r="F1671" s="3"/>
      <c r="G1671" s="3"/>
      <c r="H1671" s="3"/>
      <c r="M1671" s="1">
        <f t="shared" si="161"/>
        <v>50.070000000001137</v>
      </c>
      <c r="N1671" s="1">
        <f t="shared" si="162"/>
        <v>3.4927600385154021</v>
      </c>
      <c r="O1671" s="1">
        <f t="shared" si="163"/>
        <v>-0.20042926381960441</v>
      </c>
      <c r="P1671" s="1">
        <f t="shared" si="164"/>
        <v>4.473250810627678</v>
      </c>
      <c r="R1671" s="3">
        <f t="shared" si="159"/>
        <v>-0.35529811471635592</v>
      </c>
      <c r="S1671" s="3">
        <f t="shared" si="160"/>
        <v>-1.4573137101115199</v>
      </c>
    </row>
    <row r="1672" spans="6:19" x14ac:dyDescent="0.2">
      <c r="F1672" s="3"/>
      <c r="G1672" s="3"/>
      <c r="H1672" s="3"/>
      <c r="M1672" s="1">
        <f t="shared" si="161"/>
        <v>50.100000000001138</v>
      </c>
      <c r="N1672" s="1">
        <f t="shared" si="162"/>
        <v>3.5710197809073239</v>
      </c>
      <c r="O1672" s="1">
        <f t="shared" si="163"/>
        <v>-9.3298670392384694E-2</v>
      </c>
      <c r="P1672" s="1">
        <f t="shared" si="164"/>
        <v>4.4704518505159063</v>
      </c>
      <c r="R1672" s="3">
        <f t="shared" si="159"/>
        <v>-0.35937568060203517</v>
      </c>
      <c r="S1672" s="3">
        <f t="shared" si="160"/>
        <v>-1.4563135377355469</v>
      </c>
    </row>
    <row r="1673" spans="6:19" x14ac:dyDescent="0.2">
      <c r="F1673" s="3"/>
      <c r="G1673" s="3"/>
      <c r="H1673" s="3"/>
      <c r="M1673" s="1">
        <f t="shared" si="161"/>
        <v>50.130000000001139</v>
      </c>
      <c r="N1673" s="1">
        <f t="shared" si="162"/>
        <v>3.6021536863556665</v>
      </c>
      <c r="O1673" s="1">
        <f t="shared" si="163"/>
        <v>1.4765940198285296E-2</v>
      </c>
      <c r="P1673" s="1">
        <f t="shared" si="164"/>
        <v>4.4708948287218551</v>
      </c>
      <c r="R1673" s="3">
        <f t="shared" si="159"/>
        <v>-0.35873053020479984</v>
      </c>
      <c r="S1673" s="3">
        <f t="shared" si="160"/>
        <v>-1.4564725904386198</v>
      </c>
    </row>
    <row r="1674" spans="6:19" x14ac:dyDescent="0.2">
      <c r="F1674" s="3"/>
      <c r="G1674" s="3"/>
      <c r="H1674" s="3"/>
      <c r="M1674" s="1">
        <f t="shared" si="161"/>
        <v>50.160000000001141</v>
      </c>
      <c r="N1674" s="1">
        <f t="shared" si="162"/>
        <v>3.5859763674301526</v>
      </c>
      <c r="O1674" s="1">
        <f t="shared" si="163"/>
        <v>0.12234523122118987</v>
      </c>
      <c r="P1674" s="1">
        <f t="shared" si="164"/>
        <v>4.4745651856584905</v>
      </c>
      <c r="R1674" s="3">
        <f t="shared" si="159"/>
        <v>-0.35338235161202247</v>
      </c>
      <c r="S1674" s="3">
        <f t="shared" si="160"/>
        <v>-1.4577794461334528</v>
      </c>
    </row>
    <row r="1675" spans="6:19" x14ac:dyDescent="0.2">
      <c r="F1675" s="3"/>
      <c r="G1675" s="3"/>
      <c r="H1675" s="3"/>
      <c r="M1675" s="1">
        <f t="shared" si="161"/>
        <v>50.190000000001142</v>
      </c>
      <c r="N1675" s="1">
        <f t="shared" si="162"/>
        <v>3.5228124453103176</v>
      </c>
      <c r="O1675" s="1">
        <f t="shared" si="163"/>
        <v>0.2280296045804994</v>
      </c>
      <c r="P1675" s="1">
        <f t="shared" si="164"/>
        <v>4.4814060737959052</v>
      </c>
      <c r="R1675" s="3">
        <f t="shared" si="159"/>
        <v>-0.34340165455631222</v>
      </c>
      <c r="S1675" s="3">
        <f t="shared" si="160"/>
        <v>-1.4601627661490302</v>
      </c>
    </row>
    <row r="1676" spans="6:19" x14ac:dyDescent="0.2">
      <c r="F1676" s="3"/>
      <c r="G1676" s="3"/>
      <c r="H1676" s="3"/>
      <c r="M1676" s="1">
        <f t="shared" si="161"/>
        <v>50.220000000001143</v>
      </c>
      <c r="N1676" s="1">
        <f t="shared" si="162"/>
        <v>3.413493881150877</v>
      </c>
      <c r="O1676" s="1">
        <f t="shared" si="163"/>
        <v>0.33043442101502574</v>
      </c>
      <c r="P1676" s="1">
        <f t="shared" si="164"/>
        <v>4.4913191064263556</v>
      </c>
      <c r="R1676" s="3">
        <f t="shared" si="159"/>
        <v>-0.32891037787893684</v>
      </c>
      <c r="S1676" s="3">
        <f t="shared" si="160"/>
        <v>-1.4634951189954597</v>
      </c>
    </row>
    <row r="1677" spans="6:19" x14ac:dyDescent="0.2">
      <c r="F1677" s="3"/>
      <c r="G1677" s="3"/>
      <c r="H1677" s="3"/>
      <c r="M1677" s="1">
        <f t="shared" si="161"/>
        <v>50.250000000001144</v>
      </c>
      <c r="N1677" s="1">
        <f t="shared" si="162"/>
        <v>3.2593646808980168</v>
      </c>
      <c r="O1677" s="1">
        <f t="shared" si="163"/>
        <v>0.42821536144196626</v>
      </c>
      <c r="P1677" s="1">
        <f t="shared" si="164"/>
        <v>4.5041655672696148</v>
      </c>
      <c r="R1677" s="3">
        <f t="shared" si="159"/>
        <v>-0.31008302233071694</v>
      </c>
      <c r="S1677" s="3">
        <f t="shared" si="160"/>
        <v>-1.4675995772901573</v>
      </c>
    </row>
    <row r="1678" spans="6:19" x14ac:dyDescent="0.2">
      <c r="F1678" s="3"/>
      <c r="G1678" s="3"/>
      <c r="H1678" s="3"/>
      <c r="M1678" s="1">
        <f t="shared" si="161"/>
        <v>50.280000000001145</v>
      </c>
      <c r="N1678" s="1">
        <f t="shared" si="162"/>
        <v>3.0622908407773926</v>
      </c>
      <c r="O1678" s="1">
        <f t="shared" si="163"/>
        <v>0.52008408666528805</v>
      </c>
      <c r="P1678" s="1">
        <f t="shared" si="164"/>
        <v>4.5197680898695731</v>
      </c>
      <c r="R1678" s="3">
        <f t="shared" si="159"/>
        <v>-0.28714795346065547</v>
      </c>
      <c r="S1678" s="3">
        <f t="shared" si="160"/>
        <v>-1.4722588267092704</v>
      </c>
    </row>
    <row r="1679" spans="6:19" x14ac:dyDescent="0.2">
      <c r="F1679" s="3"/>
      <c r="G1679" s="3"/>
      <c r="H1679" s="3"/>
      <c r="M1679" s="1">
        <f t="shared" si="161"/>
        <v>50.310000000001146</v>
      </c>
      <c r="N1679" s="1">
        <f t="shared" si="162"/>
        <v>2.8246719668066786</v>
      </c>
      <c r="O1679" s="1">
        <f t="shared" si="163"/>
        <v>0.60482424566948845</v>
      </c>
      <c r="P1679" s="1">
        <f t="shared" si="164"/>
        <v>4.5379128172396577</v>
      </c>
      <c r="R1679" s="3">
        <f t="shared" si="159"/>
        <v>-0.26038841651395256</v>
      </c>
      <c r="S1679" s="3">
        <f t="shared" si="160"/>
        <v>-1.4772264120795282</v>
      </c>
    </row>
    <row r="1680" spans="6:19" x14ac:dyDescent="0.2">
      <c r="F1680" s="3"/>
      <c r="G1680" s="3"/>
      <c r="H1680" s="3"/>
      <c r="M1680" s="1">
        <f t="shared" si="161"/>
        <v>50.340000000001147</v>
      </c>
      <c r="N1680" s="1">
        <f t="shared" si="162"/>
        <v>2.5494499830292718</v>
      </c>
      <c r="O1680" s="1">
        <f t="shared" si="163"/>
        <v>0.68130774516036663</v>
      </c>
      <c r="P1680" s="1">
        <f t="shared" si="164"/>
        <v>4.5583520495944683</v>
      </c>
      <c r="R1680" s="3">
        <f t="shared" si="159"/>
        <v>-0.23014275654014321</v>
      </c>
      <c r="S1680" s="3">
        <f t="shared" si="160"/>
        <v>-1.4822396269200551</v>
      </c>
    </row>
    <row r="1681" spans="6:19" x14ac:dyDescent="0.2">
      <c r="F1681" s="3"/>
      <c r="G1681" s="3"/>
      <c r="H1681" s="3"/>
      <c r="M1681" s="1">
        <f t="shared" si="161"/>
        <v>50.370000000001149</v>
      </c>
      <c r="N1681" s="1">
        <f t="shared" si="162"/>
        <v>2.2401098683369991</v>
      </c>
      <c r="O1681" s="1">
        <f t="shared" si="163"/>
        <v>0.74851104121047662</v>
      </c>
      <c r="P1681" s="1">
        <f t="shared" si="164"/>
        <v>4.580807380830783</v>
      </c>
      <c r="R1681" s="3">
        <f t="shared" si="159"/>
        <v>-0.19680335051632911</v>
      </c>
      <c r="S1681" s="3">
        <f t="shared" si="160"/>
        <v>-1.4870334364853894</v>
      </c>
    </row>
    <row r="1682" spans="6:19" x14ac:dyDescent="0.2">
      <c r="F1682" s="3"/>
      <c r="G1682" s="3"/>
      <c r="H1682" s="3"/>
      <c r="M1682" s="1">
        <f t="shared" si="161"/>
        <v>50.40000000000115</v>
      </c>
      <c r="N1682" s="1">
        <f t="shared" si="162"/>
        <v>1.9006675114543483</v>
      </c>
      <c r="O1682" s="1">
        <f t="shared" si="163"/>
        <v>0.80553106655410711</v>
      </c>
      <c r="P1682" s="1">
        <f t="shared" si="164"/>
        <v>4.604973312827406</v>
      </c>
      <c r="R1682" s="3">
        <f t="shared" si="159"/>
        <v>-0.16081383617079242</v>
      </c>
      <c r="S1682" s="3">
        <f t="shared" si="160"/>
        <v>-1.4913547230944197</v>
      </c>
    </row>
    <row r="1683" spans="6:19" x14ac:dyDescent="0.2">
      <c r="F1683" s="3"/>
      <c r="G1683" s="3"/>
      <c r="H1683" s="3"/>
      <c r="M1683" s="1">
        <f t="shared" si="161"/>
        <v>50.430000000001151</v>
      </c>
      <c r="N1683" s="1">
        <f t="shared" si="162"/>
        <v>1.5356405657180545</v>
      </c>
      <c r="O1683" s="1">
        <f t="shared" si="163"/>
        <v>0.85160028352564876</v>
      </c>
      <c r="P1683" s="1">
        <f t="shared" si="164"/>
        <v>4.6305213213331751</v>
      </c>
      <c r="R1683" s="3">
        <f t="shared" si="159"/>
        <v>-0.12266435885852262</v>
      </c>
      <c r="S1683" s="3">
        <f t="shared" si="160"/>
        <v>-1.4949760717368781</v>
      </c>
    </row>
    <row r="1684" spans="6:19" x14ac:dyDescent="0.2">
      <c r="F1684" s="3"/>
      <c r="G1684" s="3"/>
      <c r="H1684" s="3"/>
      <c r="M1684" s="1">
        <f t="shared" si="161"/>
        <v>50.460000000001152</v>
      </c>
      <c r="N1684" s="1">
        <f t="shared" si="162"/>
        <v>1.1499995630679176</v>
      </c>
      <c r="O1684" s="1">
        <f t="shared" si="163"/>
        <v>0.88610027041768624</v>
      </c>
      <c r="P1684" s="1">
        <f t="shared" si="164"/>
        <v>4.6571043294457057</v>
      </c>
      <c r="R1684" s="3">
        <f t="shared" si="159"/>
        <v>-8.2884739963637974E-2</v>
      </c>
      <c r="S1684" s="3">
        <f t="shared" si="160"/>
        <v>-1.4977082893144313</v>
      </c>
    </row>
    <row r="1685" spans="6:19" x14ac:dyDescent="0.2">
      <c r="F1685" s="3"/>
      <c r="G1685" s="3"/>
      <c r="H1685" s="3"/>
      <c r="M1685" s="1">
        <f t="shared" si="161"/>
        <v>50.490000000001153</v>
      </c>
      <c r="N1685" s="1">
        <f t="shared" si="162"/>
        <v>0.74909837529878798</v>
      </c>
      <c r="O1685" s="1">
        <f t="shared" si="163"/>
        <v>0.90857322167664989</v>
      </c>
      <c r="P1685" s="1">
        <f t="shared" si="164"/>
        <v>4.684361526096005</v>
      </c>
      <c r="R1685" s="3">
        <f t="shared" si="159"/>
        <v>-4.2035677490254213E-2</v>
      </c>
      <c r="S1685" s="3">
        <f t="shared" si="160"/>
        <v>-1.4994108849204526</v>
      </c>
    </row>
    <row r="1686" spans="6:19" x14ac:dyDescent="0.2">
      <c r="F1686" s="3"/>
      <c r="G1686" s="3"/>
      <c r="H1686" s="3"/>
      <c r="M1686" s="1">
        <f t="shared" si="161"/>
        <v>50.520000000001154</v>
      </c>
      <c r="N1686" s="1">
        <f t="shared" si="162"/>
        <v>0.33858518495164358</v>
      </c>
      <c r="O1686" s="1">
        <f t="shared" si="163"/>
        <v>0.91873077722519925</v>
      </c>
      <c r="P1686" s="1">
        <f t="shared" si="164"/>
        <v>4.7119234494127609</v>
      </c>
      <c r="R1686" s="3">
        <f t="shared" si="159"/>
        <v>-6.9829643267112478E-4</v>
      </c>
      <c r="S1686" s="3">
        <f t="shared" si="160"/>
        <v>-1.4999998374606884</v>
      </c>
    </row>
    <row r="1687" spans="6:19" x14ac:dyDescent="0.2">
      <c r="F1687" s="3"/>
      <c r="G1687" s="3"/>
      <c r="H1687" s="3"/>
      <c r="M1687" s="1">
        <f t="shared" si="161"/>
        <v>50.550000000001155</v>
      </c>
      <c r="N1687" s="1">
        <f t="shared" si="162"/>
        <v>-7.5702805623556677E-2</v>
      </c>
      <c r="O1687" s="1">
        <f t="shared" si="163"/>
        <v>0.91645969305649255</v>
      </c>
      <c r="P1687" s="1">
        <f t="shared" si="164"/>
        <v>4.7394172402044559</v>
      </c>
      <c r="R1687" s="3">
        <f t="shared" si="159"/>
        <v>4.0537453692713742E-2</v>
      </c>
      <c r="S1687" s="3">
        <f t="shared" si="160"/>
        <v>-1.4994521382318646</v>
      </c>
    </row>
    <row r="1688" spans="6:19" x14ac:dyDescent="0.2">
      <c r="F1688" s="3"/>
      <c r="G1688" s="3"/>
      <c r="H1688" s="3"/>
      <c r="M1688" s="1">
        <f t="shared" si="161"/>
        <v>50.580000000001156</v>
      </c>
      <c r="N1688" s="1">
        <f t="shared" si="162"/>
        <v>-0.48785590930222167</v>
      </c>
      <c r="O1688" s="1">
        <f t="shared" si="163"/>
        <v>0.90182401577742588</v>
      </c>
      <c r="P1688" s="1">
        <f t="shared" si="164"/>
        <v>4.7664719606777783</v>
      </c>
      <c r="R1688" s="3">
        <f t="shared" si="159"/>
        <v>8.1084928466111761E-2</v>
      </c>
      <c r="S1688" s="3">
        <f t="shared" si="160"/>
        <v>-1.4978068080949711</v>
      </c>
    </row>
    <row r="1689" spans="6:19" x14ac:dyDescent="0.2">
      <c r="F1689" s="3"/>
      <c r="G1689" s="3"/>
      <c r="H1689" s="3"/>
      <c r="M1689" s="1">
        <f t="shared" si="161"/>
        <v>50.610000000001158</v>
      </c>
      <c r="N1689" s="1">
        <f t="shared" si="162"/>
        <v>-0.8920134460810859</v>
      </c>
      <c r="O1689" s="1">
        <f t="shared" si="163"/>
        <v>0.87506361239499331</v>
      </c>
      <c r="P1689" s="1">
        <f t="shared" si="164"/>
        <v>4.7927238690496283</v>
      </c>
      <c r="R1689" s="3">
        <f t="shared" si="159"/>
        <v>0.12037276061149801</v>
      </c>
      <c r="S1689" s="3">
        <f t="shared" si="160"/>
        <v>-1.495162331823126</v>
      </c>
    </row>
    <row r="1690" spans="6:19" x14ac:dyDescent="0.2">
      <c r="F1690" s="3"/>
      <c r="G1690" s="3"/>
      <c r="H1690" s="3"/>
      <c r="M1690" s="1">
        <f t="shared" si="161"/>
        <v>50.640000000001159</v>
      </c>
      <c r="N1690" s="1">
        <f t="shared" si="162"/>
        <v>-1.2824833312305295</v>
      </c>
      <c r="O1690" s="1">
        <f t="shared" si="163"/>
        <v>0.83658911245807743</v>
      </c>
      <c r="P1690" s="1">
        <f t="shared" si="164"/>
        <v>4.8178215424233706</v>
      </c>
      <c r="R1690" s="3">
        <f t="shared" si="159"/>
        <v>0.15785600811094866</v>
      </c>
      <c r="S1690" s="3">
        <f t="shared" si="160"/>
        <v>-1.4916707011613777</v>
      </c>
    </row>
    <row r="1691" spans="6:19" x14ac:dyDescent="0.2">
      <c r="F1691" s="3"/>
      <c r="G1691" s="3"/>
      <c r="H1691" s="3"/>
      <c r="M1691" s="1">
        <f t="shared" si="161"/>
        <v>50.67000000000116</v>
      </c>
      <c r="N1691" s="1">
        <f t="shared" si="162"/>
        <v>-1.6538531012307136</v>
      </c>
      <c r="O1691" s="1">
        <f t="shared" si="163"/>
        <v>0.78697351942115601</v>
      </c>
      <c r="P1691" s="1">
        <f t="shared" si="164"/>
        <v>4.8414307480060055</v>
      </c>
      <c r="R1691" s="3">
        <f t="shared" si="159"/>
        <v>0.19302590480616114</v>
      </c>
      <c r="S1691" s="3">
        <f t="shared" si="160"/>
        <v>-1.4875284871469732</v>
      </c>
    </row>
    <row r="1692" spans="6:19" x14ac:dyDescent="0.2">
      <c r="F1692" s="3"/>
      <c r="G1692" s="3"/>
      <c r="H1692" s="3"/>
      <c r="M1692" s="1">
        <f t="shared" si="161"/>
        <v>50.700000000001161</v>
      </c>
      <c r="N1692" s="1">
        <f t="shared" si="162"/>
        <v>-2.0010866648095154</v>
      </c>
      <c r="O1692" s="1">
        <f t="shared" si="163"/>
        <v>0.72694091947687056</v>
      </c>
      <c r="P1692" s="1">
        <f t="shared" si="164"/>
        <v>4.8632389755903116</v>
      </c>
      <c r="R1692" s="3">
        <f t="shared" si="159"/>
        <v>0.22541779359627911</v>
      </c>
      <c r="S1692" s="3">
        <f t="shared" si="160"/>
        <v>-1.4829655485985456</v>
      </c>
    </row>
    <row r="1693" spans="6:19" x14ac:dyDescent="0.2">
      <c r="F1693" s="3"/>
      <c r="G1693" s="3"/>
      <c r="H1693" s="3"/>
      <c r="M1693" s="1">
        <f t="shared" si="161"/>
        <v>50.730000000001162</v>
      </c>
      <c r="N1693" s="1">
        <f t="shared" si="162"/>
        <v>-2.3196026187157095</v>
      </c>
      <c r="O1693" s="1">
        <f t="shared" si="163"/>
        <v>0.65735284091539925</v>
      </c>
      <c r="P1693" s="1">
        <f t="shared" si="164"/>
        <v>4.8829595608177732</v>
      </c>
      <c r="R1693" s="3">
        <f t="shared" si="159"/>
        <v>0.25461701531992825</v>
      </c>
      <c r="S1693" s="3">
        <f t="shared" si="160"/>
        <v>-1.4782321115134698</v>
      </c>
    </row>
    <row r="1694" spans="6:19" x14ac:dyDescent="0.2">
      <c r="F1694" s="3"/>
      <c r="G1694" s="3"/>
      <c r="H1694" s="3"/>
      <c r="M1694" s="1">
        <f t="shared" si="161"/>
        <v>50.760000000001163</v>
      </c>
      <c r="N1694" s="1">
        <f t="shared" si="162"/>
        <v>-2.6053319088816687</v>
      </c>
      <c r="O1694" s="1">
        <f t="shared" si="163"/>
        <v>0.57919288364894916</v>
      </c>
      <c r="P1694" s="1">
        <f t="shared" si="164"/>
        <v>4.9003353473272417</v>
      </c>
      <c r="R1694" s="3">
        <f t="shared" si="159"/>
        <v>0.28026273268019619</v>
      </c>
      <c r="S1694" s="3">
        <f t="shared" si="160"/>
        <v>-1.4735850164380162</v>
      </c>
    </row>
    <row r="1695" spans="6:19" x14ac:dyDescent="0.2">
      <c r="F1695" s="3"/>
      <c r="G1695" s="3"/>
      <c r="H1695" s="3"/>
      <c r="M1695" s="1">
        <f t="shared" si="161"/>
        <v>50.790000000001164</v>
      </c>
      <c r="N1695" s="1">
        <f t="shared" si="162"/>
        <v>-2.8547546863303674</v>
      </c>
      <c r="O1695" s="1">
        <f t="shared" si="163"/>
        <v>0.49355024305903816</v>
      </c>
      <c r="P1695" s="1">
        <f t="shared" si="164"/>
        <v>4.9151418546190131</v>
      </c>
      <c r="R1695" s="3">
        <f t="shared" si="159"/>
        <v>0.30204986194251487</v>
      </c>
      <c r="S1695" s="3">
        <f t="shared" si="160"/>
        <v>-1.4692739298376281</v>
      </c>
    </row>
    <row r="1696" spans="6:19" x14ac:dyDescent="0.2">
      <c r="F1696" s="3"/>
      <c r="G1696" s="3"/>
      <c r="H1696" s="3"/>
      <c r="M1696" s="1">
        <f t="shared" si="161"/>
        <v>50.820000000001166</v>
      </c>
      <c r="N1696" s="1">
        <f t="shared" si="162"/>
        <v>-3.0649181413004625</v>
      </c>
      <c r="O1696" s="1">
        <f t="shared" si="163"/>
        <v>0.40160269882002431</v>
      </c>
      <c r="P1696" s="1">
        <f t="shared" si="164"/>
        <v>4.9271899355836135</v>
      </c>
      <c r="R1696" s="3">
        <f t="shared" si="159"/>
        <v>0.31972944300560568</v>
      </c>
      <c r="S1696" s="3">
        <f t="shared" si="160"/>
        <v>-1.4655282608245142</v>
      </c>
    </row>
    <row r="1697" spans="6:19" x14ac:dyDescent="0.2">
      <c r="F1697" s="3"/>
      <c r="G1697" s="3"/>
      <c r="H1697" s="3"/>
      <c r="M1697" s="1">
        <f t="shared" si="161"/>
        <v>50.850000000001167</v>
      </c>
      <c r="N1697" s="1">
        <f t="shared" si="162"/>
        <v>-3.233438672949859</v>
      </c>
      <c r="O1697" s="1">
        <f t="shared" si="163"/>
        <v>0.30459953863152855</v>
      </c>
      <c r="P1697" s="1">
        <f t="shared" si="164"/>
        <v>4.9363279217425591</v>
      </c>
      <c r="R1697" s="3">
        <f t="shared" si="159"/>
        <v>0.33310788453388901</v>
      </c>
      <c r="S1697" s="3">
        <f t="shared" si="160"/>
        <v>-1.4625454308367167</v>
      </c>
    </row>
    <row r="1698" spans="6:19" x14ac:dyDescent="0.2">
      <c r="F1698" s="3"/>
      <c r="G1698" s="3"/>
      <c r="H1698" s="3"/>
      <c r="M1698" s="1">
        <f t="shared" si="161"/>
        <v>50.880000000001168</v>
      </c>
      <c r="N1698" s="1">
        <f t="shared" si="162"/>
        <v>-3.3584928038157278</v>
      </c>
      <c r="O1698" s="1">
        <f t="shared" si="163"/>
        <v>0.20384475451705672</v>
      </c>
      <c r="P1698" s="1">
        <f t="shared" si="164"/>
        <v>4.9424432643780705</v>
      </c>
      <c r="R1698" s="3">
        <f t="shared" si="159"/>
        <v>0.34204556654911084</v>
      </c>
      <c r="S1698" s="3">
        <f t="shared" si="160"/>
        <v>-1.4604810270606385</v>
      </c>
    </row>
    <row r="1699" spans="6:19" x14ac:dyDescent="0.2">
      <c r="F1699" s="3"/>
      <c r="G1699" s="3"/>
      <c r="H1699" s="3"/>
      <c r="M1699" s="1">
        <f t="shared" si="161"/>
        <v>50.910000000001169</v>
      </c>
      <c r="N1699" s="1">
        <f t="shared" si="162"/>
        <v>-3.4388016933976435</v>
      </c>
      <c r="O1699" s="1">
        <f t="shared" si="163"/>
        <v>0.10068070371512741</v>
      </c>
      <c r="P1699" s="1">
        <f t="shared" si="164"/>
        <v>4.945463685489524</v>
      </c>
      <c r="R1699" s="3">
        <f t="shared" si="159"/>
        <v>0.3464552673387985</v>
      </c>
      <c r="S1699" s="3">
        <f t="shared" si="160"/>
        <v>-1.4594412450431848</v>
      </c>
    </row>
    <row r="1700" spans="6:19" x14ac:dyDescent="0.2">
      <c r="F1700" s="3"/>
      <c r="G1700" s="3"/>
      <c r="H1700" s="3"/>
      <c r="M1700" s="1">
        <f t="shared" si="161"/>
        <v>50.94000000000117</v>
      </c>
      <c r="N1700" s="1">
        <f t="shared" si="162"/>
        <v>-3.4736139367223466</v>
      </c>
      <c r="O1700" s="1">
        <f t="shared" si="163"/>
        <v>-3.5277143865429794E-3</v>
      </c>
      <c r="P1700" s="1">
        <f t="shared" si="164"/>
        <v>4.9453578540579279</v>
      </c>
      <c r="R1700" s="3">
        <f t="shared" si="159"/>
        <v>0.34630081064259355</v>
      </c>
      <c r="S1700" s="3">
        <f t="shared" si="160"/>
        <v>-1.4594779027269589</v>
      </c>
    </row>
    <row r="1701" spans="6:19" x14ac:dyDescent="0.2">
      <c r="F1701" s="3"/>
      <c r="G1701" s="3"/>
      <c r="H1701" s="3"/>
      <c r="M1701" s="1">
        <f t="shared" si="161"/>
        <v>50.970000000001171</v>
      </c>
      <c r="N1701" s="1">
        <f t="shared" si="162"/>
        <v>-3.4626906121311465</v>
      </c>
      <c r="O1701" s="1">
        <f t="shared" si="163"/>
        <v>-0.10740843275047737</v>
      </c>
      <c r="P1701" s="1">
        <f t="shared" si="164"/>
        <v>4.9421356010754138</v>
      </c>
      <c r="R1701" s="3">
        <f t="shared" si="159"/>
        <v>0.34159621395149331</v>
      </c>
      <c r="S1701" s="3">
        <f t="shared" si="160"/>
        <v>-1.4605861928054797</v>
      </c>
    </row>
    <row r="1702" spans="6:19" x14ac:dyDescent="0.2">
      <c r="F1702" s="3"/>
      <c r="G1702" s="3"/>
      <c r="H1702" s="3"/>
      <c r="M1702" s="1">
        <f t="shared" si="161"/>
        <v>51.000000000001172</v>
      </c>
      <c r="N1702" s="1">
        <f t="shared" si="162"/>
        <v>-3.4062953805673906</v>
      </c>
      <c r="O1702" s="1">
        <f t="shared" si="163"/>
        <v>-0.20959729416749909</v>
      </c>
      <c r="P1702" s="1">
        <f t="shared" si="164"/>
        <v>4.9358476822503885</v>
      </c>
      <c r="R1702" s="3">
        <f t="shared" si="159"/>
        <v>0.33240547407357568</v>
      </c>
      <c r="S1702" s="3">
        <f t="shared" si="160"/>
        <v>-1.4627052337384732</v>
      </c>
    </row>
    <row r="1703" spans="6:19" x14ac:dyDescent="0.2">
      <c r="F1703" s="3"/>
      <c r="G1703" s="3"/>
      <c r="H1703" s="3"/>
      <c r="M1703" s="1">
        <f t="shared" si="161"/>
        <v>51.030000000001174</v>
      </c>
      <c r="N1703" s="1">
        <f t="shared" si="162"/>
        <v>-3.3051909842606815</v>
      </c>
      <c r="O1703" s="1">
        <f t="shared" si="163"/>
        <v>-0.30875302369531954</v>
      </c>
      <c r="P1703" s="1">
        <f t="shared" si="164"/>
        <v>4.9265850915395291</v>
      </c>
      <c r="R1703" s="3">
        <f t="shared" si="159"/>
        <v>0.31884296853533645</v>
      </c>
      <c r="S1703" s="3">
        <f t="shared" si="160"/>
        <v>-1.4657213791903203</v>
      </c>
    </row>
    <row r="1704" spans="6:19" x14ac:dyDescent="0.2">
      <c r="F1704" s="3"/>
      <c r="G1704" s="3"/>
      <c r="H1704" s="3"/>
      <c r="M1704" s="1">
        <f t="shared" si="161"/>
        <v>51.060000000001175</v>
      </c>
      <c r="N1704" s="1">
        <f t="shared" si="162"/>
        <v>-3.1606419132207857</v>
      </c>
      <c r="O1704" s="1">
        <f t="shared" si="163"/>
        <v>-0.4035722810919431</v>
      </c>
      <c r="P1704" s="1">
        <f t="shared" si="164"/>
        <v>4.9144779231067703</v>
      </c>
      <c r="R1704" s="3">
        <f t="shared" si="159"/>
        <v>0.30107429817949605</v>
      </c>
      <c r="S1704" s="3">
        <f t="shared" si="160"/>
        <v>-1.4694741464128329</v>
      </c>
    </row>
    <row r="1705" spans="6:19" x14ac:dyDescent="0.2">
      <c r="F1705" s="3"/>
      <c r="G1705" s="3"/>
      <c r="H1705" s="3"/>
      <c r="M1705" s="1">
        <f t="shared" si="161"/>
        <v>51.090000000001176</v>
      </c>
      <c r="N1705" s="1">
        <f t="shared" si="162"/>
        <v>-2.9744214764966856</v>
      </c>
      <c r="O1705" s="1">
        <f t="shared" si="163"/>
        <v>-0.49280492538684367</v>
      </c>
      <c r="P1705" s="1">
        <f t="shared" si="164"/>
        <v>4.899693775345165</v>
      </c>
      <c r="R1705" s="3">
        <f t="shared" si="159"/>
        <v>0.27931726420518355</v>
      </c>
      <c r="S1705" s="3">
        <f t="shared" si="160"/>
        <v>-1.4737645218680395</v>
      </c>
    </row>
    <row r="1706" spans="6:19" x14ac:dyDescent="0.2">
      <c r="F1706" s="3"/>
      <c r="G1706" s="3"/>
      <c r="H1706" s="3"/>
      <c r="M1706" s="1">
        <f t="shared" si="161"/>
        <v>51.120000000001177</v>
      </c>
      <c r="N1706" s="1">
        <f t="shared" si="162"/>
        <v>-2.7488201987670196</v>
      </c>
      <c r="O1706" s="1">
        <f t="shared" si="163"/>
        <v>-0.57526953134985426</v>
      </c>
      <c r="P1706" s="1">
        <f t="shared" si="164"/>
        <v>4.8824356894046694</v>
      </c>
      <c r="R1706" s="3">
        <f t="shared" si="159"/>
        <v>0.25384257687148964</v>
      </c>
      <c r="S1706" s="3">
        <f t="shared" si="160"/>
        <v>-1.4783652952390496</v>
      </c>
    </row>
    <row r="1707" spans="6:19" x14ac:dyDescent="0.2">
      <c r="F1707" s="3"/>
      <c r="G1707" s="3"/>
      <c r="H1707" s="3"/>
      <c r="M1707" s="1">
        <f t="shared" si="161"/>
        <v>51.150000000001178</v>
      </c>
      <c r="N1707" s="1">
        <f t="shared" si="162"/>
        <v>-2.4866515108934095</v>
      </c>
      <c r="O1707" s="1">
        <f t="shared" si="163"/>
        <v>-0.6498690766766565</v>
      </c>
      <c r="P1707" s="1">
        <f t="shared" si="164"/>
        <v>4.8629396171043702</v>
      </c>
      <c r="R1707" s="3">
        <f t="shared" si="159"/>
        <v>0.22497384518111357</v>
      </c>
      <c r="S1707" s="3">
        <f t="shared" si="160"/>
        <v>-1.4830329628785814</v>
      </c>
    </row>
    <row r="1708" spans="6:19" x14ac:dyDescent="0.2">
      <c r="F1708" s="3"/>
      <c r="G1708" s="3"/>
      <c r="H1708" s="3"/>
      <c r="M1708" s="1">
        <f t="shared" si="161"/>
        <v>51.180000000001179</v>
      </c>
      <c r="N1708" s="1">
        <f t="shared" si="162"/>
        <v>-2.1912502349102363</v>
      </c>
      <c r="O1708" s="1">
        <f t="shared" si="163"/>
        <v>-0.71560658372396357</v>
      </c>
      <c r="P1708" s="1">
        <f t="shared" si="164"/>
        <v>4.8414714195926516</v>
      </c>
      <c r="R1708" s="3">
        <f t="shared" si="159"/>
        <v>0.19308640479024841</v>
      </c>
      <c r="S1708" s="3">
        <f t="shared" si="160"/>
        <v>-1.4875206352468446</v>
      </c>
    </row>
    <row r="1709" spans="6:19" x14ac:dyDescent="0.2">
      <c r="F1709" s="3"/>
      <c r="G1709" s="3"/>
      <c r="H1709" s="3"/>
      <c r="M1709" s="1">
        <f t="shared" si="161"/>
        <v>51.21000000000118</v>
      </c>
      <c r="N1709" s="1">
        <f t="shared" si="162"/>
        <v>-1.8664594553673275</v>
      </c>
      <c r="O1709" s="1">
        <f t="shared" si="163"/>
        <v>-0.77160036738498339</v>
      </c>
      <c r="P1709" s="1">
        <f t="shared" si="164"/>
        <v>4.8183234085711018</v>
      </c>
      <c r="R1709" s="3">
        <f t="shared" si="159"/>
        <v>0.1586046072284315</v>
      </c>
      <c r="S1709" s="3">
        <f t="shared" si="160"/>
        <v>-1.4915912907247464</v>
      </c>
    </row>
    <row r="1710" spans="6:19" x14ac:dyDescent="0.2">
      <c r="F1710" s="3"/>
      <c r="G1710" s="3"/>
      <c r="H1710" s="3"/>
      <c r="M1710" s="1">
        <f t="shared" si="161"/>
        <v>51.240000000001181</v>
      </c>
      <c r="N1710" s="1">
        <f t="shared" si="162"/>
        <v>-1.5166020392196664</v>
      </c>
      <c r="O1710" s="1">
        <f t="shared" si="163"/>
        <v>-0.81709842856157333</v>
      </c>
      <c r="P1710" s="1">
        <f t="shared" si="164"/>
        <v>4.7938104557142545</v>
      </c>
      <c r="R1710" s="3">
        <f t="shared" si="159"/>
        <v>0.12199731268273596</v>
      </c>
      <c r="S1710" s="3">
        <f t="shared" si="160"/>
        <v>-1.495030653765397</v>
      </c>
    </row>
    <row r="1711" spans="6:19" x14ac:dyDescent="0.2">
      <c r="F1711" s="3"/>
      <c r="G1711" s="3"/>
      <c r="H1711" s="3"/>
      <c r="M1711" s="1">
        <f t="shared" si="161"/>
        <v>51.270000000001183</v>
      </c>
      <c r="N1711" s="1">
        <f t="shared" si="162"/>
        <v>-1.146434268256818</v>
      </c>
      <c r="O1711" s="1">
        <f t="shared" si="163"/>
        <v>-0.85149145660927783</v>
      </c>
      <c r="P1711" s="1">
        <f t="shared" si="164"/>
        <v>4.7682657120159764</v>
      </c>
      <c r="R1711" s="3">
        <f t="shared" si="159"/>
        <v>8.3771489544613706E-2</v>
      </c>
      <c r="S1711" s="3">
        <f t="shared" si="160"/>
        <v>-1.4976589523451183</v>
      </c>
    </row>
    <row r="1712" spans="6:19" x14ac:dyDescent="0.2">
      <c r="F1712" s="3"/>
      <c r="G1712" s="3"/>
      <c r="H1712" s="3"/>
      <c r="M1712" s="1">
        <f t="shared" si="161"/>
        <v>51.300000000001184</v>
      </c>
      <c r="N1712" s="1">
        <f t="shared" si="162"/>
        <v>-0.76108066435130206</v>
      </c>
      <c r="O1712" s="1">
        <f t="shared" si="163"/>
        <v>-0.87432387653981691</v>
      </c>
      <c r="P1712" s="1">
        <f t="shared" si="164"/>
        <v>4.7420359957197817</v>
      </c>
      <c r="R1712" s="3">
        <f t="shared" si="159"/>
        <v>4.4464008761112797E-2</v>
      </c>
      <c r="S1712" s="3">
        <f t="shared" si="160"/>
        <v>-1.4993408391439524</v>
      </c>
    </row>
    <row r="1713" spans="6:19" x14ac:dyDescent="0.2">
      <c r="F1713" s="3"/>
      <c r="G1713" s="3"/>
      <c r="H1713" s="3"/>
      <c r="M1713" s="1">
        <f t="shared" si="161"/>
        <v>51.330000000001185</v>
      </c>
      <c r="N1713" s="1">
        <f t="shared" si="162"/>
        <v>-0.36595093872254442</v>
      </c>
      <c r="O1713" s="1">
        <f t="shared" si="163"/>
        <v>-0.88530240470149324</v>
      </c>
      <c r="P1713" s="1">
        <f t="shared" si="164"/>
        <v>4.7154769235787368</v>
      </c>
      <c r="R1713" s="3">
        <f t="shared" si="159"/>
        <v>4.6319074298858467E-3</v>
      </c>
      <c r="S1713" s="3">
        <f t="shared" si="160"/>
        <v>-1.4999928484608054</v>
      </c>
    </row>
    <row r="1714" spans="6:19" x14ac:dyDescent="0.2">
      <c r="F1714" s="3"/>
      <c r="G1714" s="3"/>
      <c r="H1714" s="3"/>
      <c r="M1714" s="1">
        <f t="shared" si="161"/>
        <v>51.360000000001186</v>
      </c>
      <c r="N1714" s="1">
        <f t="shared" si="162"/>
        <v>3.3358142124275909E-2</v>
      </c>
      <c r="O1714" s="1">
        <f t="shared" si="163"/>
        <v>-0.88430166043776492</v>
      </c>
      <c r="P1714" s="1">
        <f t="shared" si="164"/>
        <v>4.6889478737656036</v>
      </c>
      <c r="R1714" s="3">
        <f t="shared" si="159"/>
        <v>-3.515843988017131E-2</v>
      </c>
      <c r="S1714" s="3">
        <f t="shared" si="160"/>
        <v>-1.4995879047609022</v>
      </c>
    </row>
    <row r="1715" spans="6:19" x14ac:dyDescent="0.2">
      <c r="F1715" s="3"/>
      <c r="G1715" s="3"/>
      <c r="H1715" s="3"/>
      <c r="M1715" s="1">
        <f t="shared" si="161"/>
        <v>51.390000000001187</v>
      </c>
      <c r="N1715" s="1">
        <f t="shared" si="162"/>
        <v>0.43117154824111192</v>
      </c>
      <c r="O1715" s="1">
        <f t="shared" si="163"/>
        <v>-0.87136651399053155</v>
      </c>
      <c r="P1715" s="1">
        <f t="shared" si="164"/>
        <v>4.6628068783458874</v>
      </c>
      <c r="R1715" s="3">
        <f t="shared" si="159"/>
        <v>-7.4342683831670198E-2</v>
      </c>
      <c r="S1715" s="3">
        <f t="shared" si="160"/>
        <v>-1.4981565890656106</v>
      </c>
    </row>
    <row r="1716" spans="6:19" x14ac:dyDescent="0.2">
      <c r="F1716" s="3"/>
      <c r="G1716" s="3"/>
      <c r="H1716" s="3"/>
      <c r="M1716" s="1">
        <f t="shared" si="161"/>
        <v>51.420000000001188</v>
      </c>
      <c r="N1716" s="1">
        <f t="shared" si="162"/>
        <v>0.82184982457584987</v>
      </c>
      <c r="O1716" s="1">
        <f t="shared" si="163"/>
        <v>-0.84671101925325609</v>
      </c>
      <c r="P1716" s="1">
        <f t="shared" si="164"/>
        <v>4.6374055477682896</v>
      </c>
      <c r="R1716" s="3">
        <f t="shared" si="159"/>
        <v>-0.11236977967918313</v>
      </c>
      <c r="S1716" s="3">
        <f t="shared" si="160"/>
        <v>-1.4957850890468363</v>
      </c>
    </row>
    <row r="1717" spans="6:19" x14ac:dyDescent="0.2">
      <c r="F1717" s="3"/>
      <c r="G1717" s="3"/>
      <c r="H1717" s="3"/>
      <c r="M1717" s="1">
        <f t="shared" si="161"/>
        <v>51.450000000001189</v>
      </c>
      <c r="N1717" s="1">
        <f t="shared" si="162"/>
        <v>1.1999017885246244</v>
      </c>
      <c r="O1717" s="1">
        <f t="shared" si="163"/>
        <v>-0.81071396559751741</v>
      </c>
      <c r="P1717" s="1">
        <f t="shared" si="164"/>
        <v>4.6130841288003639</v>
      </c>
      <c r="R1717" s="3">
        <f t="shared" si="159"/>
        <v>-0.1487125755182051</v>
      </c>
      <c r="S1717" s="3">
        <f t="shared" si="160"/>
        <v>-1.4926099858579072</v>
      </c>
    </row>
    <row r="1718" spans="6:19" x14ac:dyDescent="0.2">
      <c r="F1718" s="3"/>
      <c r="G1718" s="3"/>
      <c r="H1718" s="3"/>
      <c r="M1718" s="1">
        <f t="shared" si="161"/>
        <v>51.480000000001191</v>
      </c>
      <c r="N1718" s="1">
        <f t="shared" si="162"/>
        <v>1.5600900120858276</v>
      </c>
      <c r="O1718" s="1">
        <f t="shared" si="163"/>
        <v>-0.76391126523494257</v>
      </c>
      <c r="P1718" s="1">
        <f t="shared" si="164"/>
        <v>4.5901667908433152</v>
      </c>
      <c r="R1718" s="3">
        <f t="shared" si="159"/>
        <v>-0.18287717829519418</v>
      </c>
      <c r="S1718" s="3">
        <f t="shared" si="160"/>
        <v>-1.4888102423273384</v>
      </c>
    </row>
    <row r="1719" spans="6:19" x14ac:dyDescent="0.2">
      <c r="F1719" s="3"/>
      <c r="G1719" s="3"/>
      <c r="H1719" s="3"/>
      <c r="M1719" s="1">
        <f t="shared" si="161"/>
        <v>51.510000000001192</v>
      </c>
      <c r="N1719" s="1">
        <f t="shared" si="162"/>
        <v>1.8975237968230865</v>
      </c>
      <c r="O1719" s="1">
        <f t="shared" si="163"/>
        <v>-0.70698555133024998</v>
      </c>
      <c r="P1719" s="1">
        <f t="shared" si="164"/>
        <v>4.568957224303408</v>
      </c>
      <c r="R1719" s="3">
        <f t="shared" si="159"/>
        <v>-0.21441069906850779</v>
      </c>
      <c r="S1719" s="3">
        <f t="shared" si="160"/>
        <v>-1.4845969325459869</v>
      </c>
    </row>
    <row r="1720" spans="6:19" x14ac:dyDescent="0.2">
      <c r="F1720" s="3"/>
      <c r="G1720" s="3"/>
      <c r="H1720" s="3"/>
      <c r="M1720" s="1">
        <f t="shared" si="161"/>
        <v>51.540000000001193</v>
      </c>
      <c r="N1720" s="1">
        <f t="shared" si="162"/>
        <v>2.2077356903048009</v>
      </c>
      <c r="O1720" s="1">
        <f t="shared" si="163"/>
        <v>-0.64075348062110593</v>
      </c>
      <c r="P1720" s="1">
        <f t="shared" si="164"/>
        <v>4.5497346198847746</v>
      </c>
      <c r="R1720" s="3">
        <f t="shared" si="159"/>
        <v>-0.24290714909150685</v>
      </c>
      <c r="S1720" s="3">
        <f t="shared" si="160"/>
        <v>-1.4802013771511755</v>
      </c>
    </row>
    <row r="1721" spans="6:19" x14ac:dyDescent="0.2">
      <c r="F1721" s="3"/>
      <c r="G1721" s="3"/>
      <c r="H1721" s="3"/>
      <c r="M1721" s="1">
        <f t="shared" si="161"/>
        <v>51.570000000001194</v>
      </c>
      <c r="N1721" s="1">
        <f t="shared" si="162"/>
        <v>2.486739304170968</v>
      </c>
      <c r="O1721" s="1">
        <f t="shared" si="163"/>
        <v>-0.56615130149597692</v>
      </c>
      <c r="P1721" s="1">
        <f t="shared" si="164"/>
        <v>4.5327500808398948</v>
      </c>
      <c r="R1721" s="3">
        <f t="shared" si="159"/>
        <v>-0.26801144303411834</v>
      </c>
      <c r="S1721" s="3">
        <f t="shared" si="160"/>
        <v>-1.4758624144556189</v>
      </c>
    </row>
    <row r="1722" spans="6:19" x14ac:dyDescent="0.2">
      <c r="F1722" s="3"/>
      <c r="G1722" s="3"/>
      <c r="H1722" s="3"/>
      <c r="M1722" s="1">
        <f t="shared" si="161"/>
        <v>51.600000000001195</v>
      </c>
      <c r="N1722" s="1">
        <f t="shared" si="162"/>
        <v>2.7310680474758215</v>
      </c>
      <c r="O1722" s="1">
        <f t="shared" si="163"/>
        <v>-0.4842192600717023</v>
      </c>
      <c r="P1722" s="1">
        <f t="shared" si="164"/>
        <v>4.5182235030377438</v>
      </c>
      <c r="R1722" s="3">
        <f t="shared" si="159"/>
        <v>-0.28942164162189521</v>
      </c>
      <c r="S1722" s="3">
        <f t="shared" si="160"/>
        <v>-1.4718135457186441</v>
      </c>
    </row>
    <row r="1723" spans="6:19" x14ac:dyDescent="0.2">
      <c r="F1723" s="3"/>
      <c r="G1723" s="3"/>
      <c r="H1723" s="3"/>
      <c r="M1723" s="1">
        <f t="shared" si="161"/>
        <v>51.630000000001196</v>
      </c>
      <c r="N1723" s="1">
        <f t="shared" si="162"/>
        <v>2.937796149625405</v>
      </c>
      <c r="O1723" s="1">
        <f t="shared" si="163"/>
        <v>-0.39608537558294016</v>
      </c>
      <c r="P1723" s="1">
        <f t="shared" si="164"/>
        <v>4.5063409417702553</v>
      </c>
      <c r="R1723" s="3">
        <f t="shared" si="159"/>
        <v>-0.30688971245558827</v>
      </c>
      <c r="S1723" s="3">
        <f t="shared" si="160"/>
        <v>-1.4682706509322205</v>
      </c>
    </row>
    <row r="1724" spans="6:19" x14ac:dyDescent="0.2">
      <c r="F1724" s="3"/>
      <c r="G1724" s="3"/>
      <c r="H1724" s="3"/>
      <c r="M1724" s="1">
        <f t="shared" si="161"/>
        <v>51.660000000001197</v>
      </c>
      <c r="N1724" s="1">
        <f t="shared" si="162"/>
        <v>3.1045448083583471</v>
      </c>
      <c r="O1724" s="1">
        <f t="shared" si="163"/>
        <v>-0.30294903133218976</v>
      </c>
      <c r="P1724" s="1">
        <f t="shared" si="164"/>
        <v>4.4972524708302899</v>
      </c>
      <c r="R1724" s="3">
        <f t="shared" si="159"/>
        <v>-0.32022118938712646</v>
      </c>
      <c r="S1724" s="3">
        <f t="shared" si="160"/>
        <v>-1.4654208917125122</v>
      </c>
    </row>
    <row r="1725" spans="6:19" x14ac:dyDescent="0.2">
      <c r="F1725" s="3"/>
      <c r="G1725" s="3"/>
      <c r="H1725" s="3"/>
      <c r="M1725" s="1">
        <f t="shared" si="161"/>
        <v>51.690000000001199</v>
      </c>
      <c r="N1725" s="1">
        <f t="shared" si="162"/>
        <v>3.229477306691162</v>
      </c>
      <c r="O1725" s="1">
        <f t="shared" si="163"/>
        <v>-0.20606471213145489</v>
      </c>
      <c r="P1725" s="1">
        <f t="shared" si="164"/>
        <v>4.491070529466346</v>
      </c>
      <c r="R1725" s="3">
        <f t="shared" si="159"/>
        <v>-0.32927415888109002</v>
      </c>
      <c r="S1725" s="3">
        <f t="shared" si="160"/>
        <v>-1.4634133142394021</v>
      </c>
    </row>
    <row r="1726" spans="6:19" x14ac:dyDescent="0.2">
      <c r="F1726" s="3"/>
      <c r="G1726" s="3"/>
      <c r="H1726" s="3"/>
      <c r="M1726" s="1">
        <f t="shared" si="161"/>
        <v>51.7200000000012</v>
      </c>
      <c r="N1726" s="1">
        <f t="shared" si="162"/>
        <v>3.3112874129027308</v>
      </c>
      <c r="O1726" s="1">
        <f t="shared" si="163"/>
        <v>-0.10672608974437296</v>
      </c>
      <c r="P1726" s="1">
        <f t="shared" si="164"/>
        <v>4.4878687467740148</v>
      </c>
      <c r="R1726" s="3">
        <f t="shared" si="159"/>
        <v>-0.33395799453564301</v>
      </c>
      <c r="S1726" s="3">
        <f t="shared" si="160"/>
        <v>-1.4623515507174503</v>
      </c>
    </row>
    <row r="1727" spans="6:19" x14ac:dyDescent="0.2">
      <c r="F1727" s="3"/>
      <c r="G1727" s="3"/>
      <c r="H1727" s="3"/>
      <c r="M1727" s="1">
        <f t="shared" si="161"/>
        <v>51.750000000001201</v>
      </c>
      <c r="N1727" s="1">
        <f t="shared" si="162"/>
        <v>3.3491852934334236</v>
      </c>
      <c r="O1727" s="1">
        <f t="shared" si="163"/>
        <v>-6.2505309413702637E-3</v>
      </c>
      <c r="P1727" s="1">
        <f t="shared" si="164"/>
        <v>4.4876812308457739</v>
      </c>
      <c r="R1727" s="3">
        <f t="shared" si="159"/>
        <v>-0.33423220287113065</v>
      </c>
      <c r="S1727" s="3">
        <f t="shared" si="160"/>
        <v>-1.4622889025647126</v>
      </c>
    </row>
    <row r="1728" spans="6:19" x14ac:dyDescent="0.2">
      <c r="F1728" s="3"/>
      <c r="G1728" s="3"/>
      <c r="H1728" s="3"/>
      <c r="M1728" s="1">
        <f t="shared" si="161"/>
        <v>51.780000000001202</v>
      </c>
      <c r="N1728" s="1">
        <f t="shared" si="162"/>
        <v>3.3428845764960293</v>
      </c>
      <c r="O1728" s="1">
        <f t="shared" si="163"/>
        <v>9.4036006353510615E-2</v>
      </c>
      <c r="P1728" s="1">
        <f t="shared" si="164"/>
        <v>4.4905023110363791</v>
      </c>
      <c r="R1728" s="3">
        <f t="shared" si="159"/>
        <v>-0.33010564409542104</v>
      </c>
      <c r="S1728" s="3">
        <f t="shared" si="160"/>
        <v>-1.4632259783561619</v>
      </c>
    </row>
    <row r="1729" spans="6:19" x14ac:dyDescent="0.2">
      <c r="F1729" s="3"/>
      <c r="G1729" s="3"/>
      <c r="H1729" s="3"/>
      <c r="M1729" s="1">
        <f t="shared" si="161"/>
        <v>51.810000000001203</v>
      </c>
      <c r="N1729" s="1">
        <f t="shared" si="162"/>
        <v>3.2925932003823939</v>
      </c>
      <c r="O1729" s="1">
        <f t="shared" si="163"/>
        <v>0.19281380236498241</v>
      </c>
      <c r="P1729" s="1">
        <f t="shared" si="164"/>
        <v>4.4962867251073284</v>
      </c>
      <c r="R1729" s="3">
        <f t="shared" si="159"/>
        <v>-0.32163626379614363</v>
      </c>
      <c r="S1729" s="3">
        <f t="shared" si="160"/>
        <v>-1.465110956143342</v>
      </c>
    </row>
    <row r="1730" spans="6:19" x14ac:dyDescent="0.2">
      <c r="F1730" s="3"/>
      <c r="G1730" s="3"/>
      <c r="H1730" s="3"/>
      <c r="M1730" s="1">
        <f t="shared" si="161"/>
        <v>51.840000000001204</v>
      </c>
      <c r="N1730" s="1">
        <f t="shared" si="162"/>
        <v>3.1990093957485874</v>
      </c>
      <c r="O1730" s="1">
        <f t="shared" si="163"/>
        <v>0.28878408423744006</v>
      </c>
      <c r="P1730" s="1">
        <f t="shared" si="164"/>
        <v>4.5049502476344516</v>
      </c>
      <c r="R1730" s="3">
        <f t="shared" ref="R1730:R1793" si="165">$B$3*COS(P1730)</f>
        <v>-0.30893133041448989</v>
      </c>
      <c r="S1730" s="3">
        <f t="shared" ref="S1730:S1793" si="166">$B$3*SIN(P1730)</f>
        <v>-1.4678424415066944</v>
      </c>
    </row>
    <row r="1731" spans="6:19" x14ac:dyDescent="0.2">
      <c r="F1731" s="3"/>
      <c r="G1731" s="3"/>
      <c r="H1731" s="3"/>
      <c r="M1731" s="1">
        <f t="shared" ref="M1731:M1794" si="167">M1730+B$13</f>
        <v>51.870000000001205</v>
      </c>
      <c r="N1731" s="1">
        <f t="shared" ref="N1731:N1794" si="168">-$B$12*$B$3*COS(P1730)-B$10*O1730</f>
        <v>3.0633227365635292</v>
      </c>
      <c r="O1731" s="1">
        <f t="shared" ref="O1731:O1794" si="169">N1731*$B$13+O1730</f>
        <v>0.38068376633434592</v>
      </c>
      <c r="P1731" s="1">
        <f t="shared" ref="P1731:P1794" si="170">O1731*$B$13+P1730</f>
        <v>4.5163707606244818</v>
      </c>
      <c r="R1731" s="3">
        <f t="shared" si="165"/>
        <v>-0.29214803470028161</v>
      </c>
      <c r="S1731" s="3">
        <f t="shared" si="166"/>
        <v>-1.4712747961617376</v>
      </c>
    </row>
    <row r="1732" spans="6:19" x14ac:dyDescent="0.2">
      <c r="F1732" s="3"/>
      <c r="G1732" s="3"/>
      <c r="H1732" s="3"/>
      <c r="M1732" s="1">
        <f t="shared" si="167"/>
        <v>51.900000000001207</v>
      </c>
      <c r="N1732" s="1">
        <f t="shared" si="168"/>
        <v>2.887218808032725</v>
      </c>
      <c r="O1732" s="1">
        <f t="shared" si="169"/>
        <v>0.46730033057532766</v>
      </c>
      <c r="P1732" s="1">
        <f t="shared" si="170"/>
        <v>4.530389770541742</v>
      </c>
      <c r="R1732" s="3">
        <f t="shared" si="165"/>
        <v>-0.27149418650095591</v>
      </c>
      <c r="S1732" s="3">
        <f t="shared" si="166"/>
        <v>-1.4752257138133757</v>
      </c>
    </row>
    <row r="1733" spans="6:19" x14ac:dyDescent="0.2">
      <c r="F1733" s="3"/>
      <c r="G1733" s="3"/>
      <c r="H1733" s="3"/>
      <c r="M1733" s="1">
        <f t="shared" si="167"/>
        <v>51.930000000001208</v>
      </c>
      <c r="N1733" s="1">
        <f t="shared" si="168"/>
        <v>2.6728848352577796</v>
      </c>
      <c r="O1733" s="1">
        <f t="shared" si="169"/>
        <v>0.54748687563306109</v>
      </c>
      <c r="P1733" s="1">
        <f t="shared" si="170"/>
        <v>4.5468143768107341</v>
      </c>
      <c r="R1733" s="3">
        <f t="shared" si="165"/>
        <v>-0.24722865503423019</v>
      </c>
      <c r="S1733" s="3">
        <f t="shared" si="166"/>
        <v>-1.479485718798923</v>
      </c>
    </row>
    <row r="1734" spans="6:19" x14ac:dyDescent="0.2">
      <c r="F1734" s="3"/>
      <c r="G1734" s="3"/>
      <c r="H1734" s="3"/>
      <c r="M1734" s="1">
        <f t="shared" si="167"/>
        <v>51.960000000001209</v>
      </c>
      <c r="N1734" s="1">
        <f t="shared" si="168"/>
        <v>2.4230127315353265</v>
      </c>
      <c r="O1734" s="1">
        <f t="shared" si="169"/>
        <v>0.6201772575791209</v>
      </c>
      <c r="P1734" s="1">
        <f t="shared" si="170"/>
        <v>4.5654196945381074</v>
      </c>
      <c r="R1734" s="3">
        <f t="shared" si="165"/>
        <v>-0.21966115237438055</v>
      </c>
      <c r="S1734" s="3">
        <f t="shared" si="166"/>
        <v>-1.4838291606979421</v>
      </c>
    </row>
    <row r="1735" spans="6:19" x14ac:dyDescent="0.2">
      <c r="F1735" s="3"/>
      <c r="G1735" s="3"/>
      <c r="H1735" s="3"/>
      <c r="M1735" s="1">
        <f t="shared" si="167"/>
        <v>51.99000000000121</v>
      </c>
      <c r="N1735" s="1">
        <f t="shared" si="168"/>
        <v>2.1407955705616848</v>
      </c>
      <c r="O1735" s="1">
        <f t="shared" si="169"/>
        <v>0.68440112469597147</v>
      </c>
      <c r="P1735" s="1">
        <f t="shared" si="170"/>
        <v>4.5859517282789861</v>
      </c>
      <c r="R1735" s="3">
        <f t="shared" si="165"/>
        <v>-0.18915096346633431</v>
      </c>
      <c r="S1735" s="3">
        <f t="shared" si="166"/>
        <v>-1.4880261802198769</v>
      </c>
    </row>
    <row r="1736" spans="6:19" x14ac:dyDescent="0.2">
      <c r="F1736" s="3"/>
      <c r="G1736" s="3"/>
      <c r="H1736" s="3"/>
      <c r="M1736" s="1">
        <f t="shared" si="167"/>
        <v>52.020000000001211</v>
      </c>
      <c r="N1736" s="1">
        <f t="shared" si="168"/>
        <v>1.829913533440706</v>
      </c>
      <c r="O1736" s="1">
        <f t="shared" si="169"/>
        <v>0.7392985306991926</v>
      </c>
      <c r="P1736" s="1">
        <f t="shared" si="170"/>
        <v>4.6081306841999616</v>
      </c>
      <c r="R1736" s="3">
        <f t="shared" si="165"/>
        <v>-0.15610428170994894</v>
      </c>
      <c r="S1736" s="3">
        <f t="shared" si="166"/>
        <v>-1.4918550376064763</v>
      </c>
    </row>
    <row r="1737" spans="6:19" x14ac:dyDescent="0.2">
      <c r="F1737" s="3"/>
      <c r="G1737" s="3"/>
      <c r="H1737" s="3"/>
      <c r="M1737" s="1">
        <f t="shared" si="167"/>
        <v>52.050000000001212</v>
      </c>
      <c r="N1737" s="1">
        <f t="shared" si="168"/>
        <v>1.494505949336562</v>
      </c>
      <c r="O1737" s="1">
        <f t="shared" si="169"/>
        <v>0.78413370917928948</v>
      </c>
      <c r="P1737" s="1">
        <f t="shared" si="170"/>
        <v>4.6316546954753406</v>
      </c>
      <c r="R1737" s="3">
        <f t="shared" si="165"/>
        <v>-0.120969913214964</v>
      </c>
      <c r="S1737" s="3">
        <f t="shared" si="166"/>
        <v>-1.4951141361437139</v>
      </c>
    </row>
    <row r="1738" spans="6:19" x14ac:dyDescent="0.2">
      <c r="F1738" s="3"/>
      <c r="G1738" s="3"/>
      <c r="H1738" s="3"/>
      <c r="M1738" s="1">
        <f t="shared" si="167"/>
        <v>52.080000000001213</v>
      </c>
      <c r="N1738" s="1">
        <f t="shared" si="168"/>
        <v>1.139127098323504</v>
      </c>
      <c r="O1738" s="1">
        <f t="shared" si="169"/>
        <v>0.8183075221289946</v>
      </c>
      <c r="P1738" s="1">
        <f t="shared" si="170"/>
        <v>4.6562039211392108</v>
      </c>
      <c r="R1738" s="3">
        <f t="shared" si="165"/>
        <v>-8.4233255167041263E-2</v>
      </c>
      <c r="S1738" s="3">
        <f t="shared" si="166"/>
        <v>-1.4976330520938579</v>
      </c>
    </row>
    <row r="1739" spans="6:19" x14ac:dyDescent="0.2">
      <c r="F1739" s="3"/>
      <c r="G1739" s="3"/>
      <c r="H1739" s="3"/>
      <c r="M1739" s="1">
        <f t="shared" si="167"/>
        <v>52.110000000001214</v>
      </c>
      <c r="N1739" s="1">
        <f t="shared" si="168"/>
        <v>0.76868487467880309</v>
      </c>
      <c r="O1739" s="1">
        <f t="shared" si="169"/>
        <v>0.84136806836935873</v>
      </c>
      <c r="P1739" s="1">
        <f t="shared" si="170"/>
        <v>4.6814449631902919</v>
      </c>
      <c r="R1739" s="3">
        <f t="shared" si="165"/>
        <v>-4.6408618673017314E-2</v>
      </c>
      <c r="S1739" s="3">
        <f t="shared" si="166"/>
        <v>-1.4992819081523203</v>
      </c>
    </row>
    <row r="1740" spans="6:19" x14ac:dyDescent="0.2">
      <c r="F1740" s="3"/>
      <c r="G1740" s="3"/>
      <c r="H1740" s="3"/>
      <c r="M1740" s="1">
        <f t="shared" si="167"/>
        <v>52.140000000001216</v>
      </c>
      <c r="N1740" s="1">
        <f t="shared" si="168"/>
        <v>0.38836306057693087</v>
      </c>
      <c r="O1740" s="1">
        <f t="shared" si="169"/>
        <v>0.85301896018666667</v>
      </c>
      <c r="P1740" s="1">
        <f t="shared" si="170"/>
        <v>4.7070355319958921</v>
      </c>
      <c r="R1740" s="3">
        <f t="shared" si="165"/>
        <v>-8.030134226584015E-3</v>
      </c>
      <c r="S1740" s="3">
        <f t="shared" si="166"/>
        <v>-1.4999785054940964</v>
      </c>
    </row>
    <row r="1741" spans="6:19" x14ac:dyDescent="0.2">
      <c r="F1741" s="3"/>
      <c r="G1741" s="3"/>
      <c r="H1741" s="3"/>
      <c r="M1741" s="1">
        <f t="shared" si="167"/>
        <v>52.170000000001217</v>
      </c>
      <c r="N1741" s="1">
        <f t="shared" si="168"/>
        <v>3.5296358490401608E-3</v>
      </c>
      <c r="O1741" s="1">
        <f t="shared" si="169"/>
        <v>0.85312484926213783</v>
      </c>
      <c r="P1741" s="1">
        <f t="shared" si="170"/>
        <v>4.7326292774737562</v>
      </c>
      <c r="R1741" s="3">
        <f t="shared" si="165"/>
        <v>3.0358372717324528E-2</v>
      </c>
      <c r="S1741" s="3">
        <f t="shared" si="166"/>
        <v>-1.4996927582694917</v>
      </c>
    </row>
    <row r="1742" spans="6:19" x14ac:dyDescent="0.2">
      <c r="F1742" s="3"/>
      <c r="G1742" s="3"/>
      <c r="H1742" s="3"/>
      <c r="M1742" s="1">
        <f t="shared" si="167"/>
        <v>52.200000000001218</v>
      </c>
      <c r="N1742" s="1">
        <f t="shared" si="168"/>
        <v>-0.38036496360683769</v>
      </c>
      <c r="O1742" s="1">
        <f t="shared" si="169"/>
        <v>0.84171390035393268</v>
      </c>
      <c r="P1742" s="1">
        <f t="shared" si="170"/>
        <v>4.7578806944843741</v>
      </c>
      <c r="R1742" s="3">
        <f t="shared" si="165"/>
        <v>6.821403735413431E-2</v>
      </c>
      <c r="S1742" s="3">
        <f t="shared" si="166"/>
        <v>-1.4984481456186092</v>
      </c>
    </row>
    <row r="1743" spans="6:19" x14ac:dyDescent="0.2">
      <c r="F1743" s="3"/>
      <c r="G1743" s="3"/>
      <c r="H1743" s="3"/>
      <c r="M1743" s="1">
        <f t="shared" si="167"/>
        <v>52.230000000001219</v>
      </c>
      <c r="N1743" s="1">
        <f t="shared" si="168"/>
        <v>-0.75789462457319712</v>
      </c>
      <c r="O1743" s="1">
        <f t="shared" si="169"/>
        <v>0.81897706161673678</v>
      </c>
      <c r="P1743" s="1">
        <f t="shared" si="170"/>
        <v>4.7824500063328763</v>
      </c>
      <c r="R1743" s="3">
        <f t="shared" si="165"/>
        <v>0.10500558555436558</v>
      </c>
      <c r="S1743" s="3">
        <f t="shared" si="166"/>
        <v>-1.4963200951007725</v>
      </c>
    </row>
    <row r="1744" spans="6:19" x14ac:dyDescent="0.2">
      <c r="F1744" s="3"/>
      <c r="G1744" s="3"/>
      <c r="H1744" s="3"/>
      <c r="M1744" s="1">
        <f t="shared" si="167"/>
        <v>52.26000000000122</v>
      </c>
      <c r="N1744" s="1">
        <f t="shared" si="168"/>
        <v>-1.1237637910891622</v>
      </c>
      <c r="O1744" s="1">
        <f t="shared" si="169"/>
        <v>0.78526414788406196</v>
      </c>
      <c r="P1744" s="1">
        <f t="shared" si="170"/>
        <v>4.8060079307693986</v>
      </c>
      <c r="R1744" s="3">
        <f t="shared" si="165"/>
        <v>0.14022338444503918</v>
      </c>
      <c r="S1744" s="3">
        <f t="shared" si="166"/>
        <v>-1.4934314187316333</v>
      </c>
    </row>
    <row r="1745" spans="6:19" x14ac:dyDescent="0.2">
      <c r="F1745" s="3"/>
      <c r="G1745" s="3"/>
      <c r="H1745" s="3"/>
      <c r="M1745" s="1">
        <f t="shared" si="167"/>
        <v>52.290000000001221</v>
      </c>
      <c r="N1745" s="1">
        <f t="shared" si="168"/>
        <v>-1.4729076177599572</v>
      </c>
      <c r="O1745" s="1">
        <f t="shared" si="169"/>
        <v>0.7410769193512633</v>
      </c>
      <c r="P1745" s="1">
        <f t="shared" si="170"/>
        <v>4.8282402383499363</v>
      </c>
      <c r="R1745" s="3">
        <f t="shared" si="165"/>
        <v>0.17338842290893602</v>
      </c>
      <c r="S1745" s="3">
        <f t="shared" si="166"/>
        <v>-1.4899451180500414</v>
      </c>
    </row>
    <row r="1746" spans="6:19" x14ac:dyDescent="0.2">
      <c r="F1746" s="3"/>
      <c r="G1746" s="3"/>
      <c r="H1746" s="3"/>
      <c r="M1746" s="1">
        <f t="shared" si="167"/>
        <v>52.320000000001222</v>
      </c>
      <c r="N1746" s="1">
        <f t="shared" si="168"/>
        <v>-1.8005811518309738</v>
      </c>
      <c r="O1746" s="1">
        <f t="shared" si="169"/>
        <v>0.68705948479633405</v>
      </c>
      <c r="P1746" s="1">
        <f t="shared" si="170"/>
        <v>4.8488520228938263</v>
      </c>
      <c r="R1746" s="3">
        <f t="shared" si="165"/>
        <v>0.20405984582289191</v>
      </c>
      <c r="S1746" s="3">
        <f t="shared" si="166"/>
        <v>-1.4860550391296878</v>
      </c>
    </row>
    <row r="1747" spans="6:19" x14ac:dyDescent="0.2">
      <c r="F1747" s="3"/>
      <c r="G1747" s="3"/>
      <c r="H1747" s="3"/>
      <c r="M1747" s="1">
        <f t="shared" si="167"/>
        <v>52.350000000001224</v>
      </c>
      <c r="N1747" s="1">
        <f t="shared" si="168"/>
        <v>-2.102433811860589</v>
      </c>
      <c r="O1747" s="1">
        <f t="shared" si="169"/>
        <v>0.62398647044051636</v>
      </c>
      <c r="P1747" s="1">
        <f t="shared" si="170"/>
        <v>4.8675716170070418</v>
      </c>
      <c r="R1747" s="3">
        <f t="shared" si="165"/>
        <v>0.23184081570630577</v>
      </c>
      <c r="S1747" s="3">
        <f t="shared" si="166"/>
        <v>-1.4819749782545706</v>
      </c>
    </row>
    <row r="1748" spans="6:19" x14ac:dyDescent="0.2">
      <c r="F1748" s="3"/>
      <c r="G1748" s="3"/>
      <c r="H1748" s="3"/>
      <c r="M1748" s="1">
        <f t="shared" si="167"/>
        <v>52.380000000001225</v>
      </c>
      <c r="N1748" s="1">
        <f t="shared" si="168"/>
        <v>-2.3745669394027038</v>
      </c>
      <c r="O1748" s="1">
        <f t="shared" si="169"/>
        <v>0.55274946225843524</v>
      </c>
      <c r="P1748" s="1">
        <f t="shared" si="170"/>
        <v>4.8841541008747944</v>
      </c>
      <c r="R1748" s="3">
        <f t="shared" si="165"/>
        <v>0.25638264071096878</v>
      </c>
      <c r="S1748" s="3">
        <f t="shared" si="166"/>
        <v>-1.4779269066980512</v>
      </c>
    </row>
    <row r="1749" spans="6:19" x14ac:dyDescent="0.2">
      <c r="F1749" s="3"/>
      <c r="G1749" s="3"/>
      <c r="H1749" s="3"/>
      <c r="M1749" s="1">
        <f t="shared" si="167"/>
        <v>52.410000000001226</v>
      </c>
      <c r="N1749" s="1">
        <f t="shared" si="168"/>
        <v>-2.6135738587129471</v>
      </c>
      <c r="O1749" s="1">
        <f t="shared" si="169"/>
        <v>0.47434224649704682</v>
      </c>
      <c r="P1749" s="1">
        <f t="shared" si="170"/>
        <v>4.8983843682697055</v>
      </c>
      <c r="R1749" s="3">
        <f t="shared" si="165"/>
        <v>0.27738726761289256</v>
      </c>
      <c r="S1749" s="3">
        <f t="shared" si="166"/>
        <v>-1.4741289983465671</v>
      </c>
    </row>
    <row r="1750" spans="6:19" x14ac:dyDescent="0.2">
      <c r="F1750" s="3"/>
      <c r="G1750" s="3"/>
      <c r="H1750" s="3"/>
      <c r="M1750" s="1">
        <f t="shared" si="167"/>
        <v>52.440000000001227</v>
      </c>
      <c r="N1750" s="1">
        <f t="shared" si="168"/>
        <v>-2.8165634783136593</v>
      </c>
      <c r="O1750" s="1">
        <f t="shared" si="169"/>
        <v>0.38984534214763705</v>
      </c>
      <c r="P1750" s="1">
        <f t="shared" si="170"/>
        <v>4.9100797285341349</v>
      </c>
      <c r="R1750" s="3">
        <f t="shared" si="165"/>
        <v>0.29460837379773364</v>
      </c>
      <c r="S1750" s="3">
        <f t="shared" si="166"/>
        <v>-1.4707841126719634</v>
      </c>
    </row>
    <row r="1751" spans="6:19" x14ac:dyDescent="0.2">
      <c r="F1751" s="3"/>
      <c r="G1751" s="3"/>
      <c r="H1751" s="3"/>
      <c r="M1751" s="1">
        <f t="shared" si="167"/>
        <v>52.470000000001228</v>
      </c>
      <c r="N1751" s="1">
        <f t="shared" si="168"/>
        <v>-2.9811698187706241</v>
      </c>
      <c r="O1751" s="1">
        <f t="shared" si="169"/>
        <v>0.30041024758451834</v>
      </c>
      <c r="P1751" s="1">
        <f t="shared" si="170"/>
        <v>4.9190920359616701</v>
      </c>
      <c r="R1751" s="3">
        <f t="shared" si="165"/>
        <v>0.30785138873369799</v>
      </c>
      <c r="S1751" s="3">
        <f t="shared" si="166"/>
        <v>-1.4680693180005955</v>
      </c>
    </row>
    <row r="1752" spans="6:19" x14ac:dyDescent="0.2">
      <c r="F1752" s="3"/>
      <c r="G1752" s="3"/>
      <c r="H1752" s="3"/>
      <c r="M1752" s="1">
        <f t="shared" si="167"/>
        <v>52.500000000001229</v>
      </c>
      <c r="N1752" s="1">
        <f t="shared" si="168"/>
        <v>-3.105550809619587</v>
      </c>
      <c r="O1752" s="1">
        <f t="shared" si="169"/>
        <v>0.20724372329593074</v>
      </c>
      <c r="P1752" s="1">
        <f t="shared" si="170"/>
        <v>4.9253093476605478</v>
      </c>
      <c r="R1752" s="3">
        <f t="shared" si="165"/>
        <v>0.31697282450274716</v>
      </c>
      <c r="S1752" s="3">
        <f t="shared" si="166"/>
        <v>-1.4661269482983901</v>
      </c>
    </row>
    <row r="1753" spans="6:19" x14ac:dyDescent="0.2">
      <c r="F1753" s="3"/>
      <c r="G1753" s="3"/>
      <c r="H1753" s="3"/>
      <c r="M1753" s="1">
        <f t="shared" si="167"/>
        <v>52.53000000000123</v>
      </c>
      <c r="N1753" s="1">
        <f t="shared" si="168"/>
        <v>-3.1883801801241054</v>
      </c>
      <c r="O1753" s="1">
        <f t="shared" si="169"/>
        <v>0.11159231789220758</v>
      </c>
      <c r="P1753" s="1">
        <f t="shared" si="170"/>
        <v>4.9286571171973144</v>
      </c>
      <c r="R1753" s="3">
        <f t="shared" si="165"/>
        <v>0.32187929422458311</v>
      </c>
      <c r="S1753" s="3">
        <f t="shared" si="166"/>
        <v>-1.4650575824688545</v>
      </c>
    </row>
    <row r="1754" spans="6:19" x14ac:dyDescent="0.2">
      <c r="F1754" s="3"/>
      <c r="G1754" s="3"/>
      <c r="H1754" s="3"/>
      <c r="M1754" s="1">
        <f t="shared" si="167"/>
        <v>52.560000000001232</v>
      </c>
      <c r="N1754" s="1">
        <f t="shared" si="168"/>
        <v>-3.2288362508561299</v>
      </c>
      <c r="O1754" s="1">
        <f t="shared" si="169"/>
        <v>1.4727230366523694E-2</v>
      </c>
      <c r="P1754" s="1">
        <f t="shared" si="170"/>
        <v>4.9290989341083105</v>
      </c>
      <c r="R1754" s="3">
        <f t="shared" si="165"/>
        <v>0.32252655000327235</v>
      </c>
      <c r="S1754" s="3">
        <f t="shared" si="166"/>
        <v>-1.4649152277667765</v>
      </c>
    </row>
    <row r="1755" spans="6:19" x14ac:dyDescent="0.2">
      <c r="F1755" s="3"/>
      <c r="G1755" s="3"/>
      <c r="H1755" s="3"/>
      <c r="M1755" s="1">
        <f t="shared" si="167"/>
        <v>52.590000000001233</v>
      </c>
      <c r="N1755" s="1">
        <f t="shared" si="168"/>
        <v>-3.2265909507657105</v>
      </c>
      <c r="O1755" s="1">
        <f t="shared" si="169"/>
        <v>-8.207049815644761E-2</v>
      </c>
      <c r="P1755" s="1">
        <f t="shared" si="170"/>
        <v>4.9266368191636172</v>
      </c>
      <c r="R1755" s="3">
        <f t="shared" si="165"/>
        <v>0.31891878639325177</v>
      </c>
      <c r="S1755" s="3">
        <f t="shared" si="166"/>
        <v>-1.4657048842401581</v>
      </c>
    </row>
    <row r="1756" spans="6:19" x14ac:dyDescent="0.2">
      <c r="F1756" s="3"/>
      <c r="G1756" s="3"/>
      <c r="H1756" s="3"/>
      <c r="M1756" s="1">
        <f t="shared" si="167"/>
        <v>52.620000000001234</v>
      </c>
      <c r="N1756" s="1">
        <f t="shared" si="168"/>
        <v>-3.1818015190984372</v>
      </c>
      <c r="O1756" s="1">
        <f t="shared" si="169"/>
        <v>-0.17752454372940074</v>
      </c>
      <c r="P1756" s="1">
        <f t="shared" si="170"/>
        <v>4.9213110828517355</v>
      </c>
      <c r="R1756" s="3">
        <f t="shared" si="165"/>
        <v>0.31110834275878169</v>
      </c>
      <c r="S1756" s="3">
        <f t="shared" si="166"/>
        <v>-1.467382567385167</v>
      </c>
    </row>
    <row r="1757" spans="6:19" x14ac:dyDescent="0.2">
      <c r="F1757" s="3"/>
      <c r="G1757" s="3"/>
      <c r="H1757" s="3"/>
      <c r="M1757" s="1">
        <f t="shared" si="167"/>
        <v>52.650000000001235</v>
      </c>
      <c r="N1757" s="1">
        <f t="shared" si="168"/>
        <v>-3.0951062186521709</v>
      </c>
      <c r="O1757" s="1">
        <f t="shared" si="169"/>
        <v>-0.27037773028896583</v>
      </c>
      <c r="P1757" s="1">
        <f t="shared" si="170"/>
        <v>4.9131997509430665</v>
      </c>
      <c r="R1757" s="3">
        <f t="shared" si="165"/>
        <v>0.29919581180555799</v>
      </c>
      <c r="S1757" s="3">
        <f t="shared" si="166"/>
        <v>-1.4698577707377041</v>
      </c>
    </row>
    <row r="1758" spans="6:19" x14ac:dyDescent="0.2">
      <c r="F1758" s="3"/>
      <c r="G1758" s="3"/>
      <c r="H1758" s="3"/>
      <c r="M1758" s="1">
        <f t="shared" si="167"/>
        <v>52.680000000001236</v>
      </c>
      <c r="N1758" s="1">
        <f t="shared" si="168"/>
        <v>-2.967624122329573</v>
      </c>
      <c r="O1758" s="1">
        <f t="shared" si="169"/>
        <v>-0.35940645395885301</v>
      </c>
      <c r="P1758" s="1">
        <f t="shared" si="170"/>
        <v>4.9024175573243012</v>
      </c>
      <c r="R1758" s="3">
        <f t="shared" si="165"/>
        <v>0.28333043636266014</v>
      </c>
      <c r="S1758" s="3">
        <f t="shared" si="166"/>
        <v>-1.4729982565605924</v>
      </c>
    </row>
    <row r="1759" spans="6:19" x14ac:dyDescent="0.2">
      <c r="F1759" s="3"/>
      <c r="G1759" s="3"/>
      <c r="H1759" s="3"/>
      <c r="M1759" s="1">
        <f t="shared" si="167"/>
        <v>52.710000000001237</v>
      </c>
      <c r="N1759" s="1">
        <f t="shared" si="168"/>
        <v>-2.8009577827703045</v>
      </c>
      <c r="O1759" s="1">
        <f t="shared" si="169"/>
        <v>-0.44343518744196214</v>
      </c>
      <c r="P1759" s="1">
        <f t="shared" si="170"/>
        <v>4.8891145017010427</v>
      </c>
      <c r="R1759" s="3">
        <f t="shared" si="165"/>
        <v>0.26371056628090772</v>
      </c>
      <c r="S1759" s="3">
        <f t="shared" si="166"/>
        <v>-1.4766369686662335</v>
      </c>
    </row>
    <row r="1760" spans="6:19" x14ac:dyDescent="0.2">
      <c r="F1760" s="3"/>
      <c r="G1760" s="3"/>
      <c r="H1760" s="3"/>
      <c r="M1760" s="1">
        <f t="shared" si="167"/>
        <v>52.740000000001238</v>
      </c>
      <c r="N1760" s="1">
        <f t="shared" si="168"/>
        <v>-2.597196495939301</v>
      </c>
      <c r="O1760" s="1">
        <f t="shared" si="169"/>
        <v>-0.52135108232014116</v>
      </c>
      <c r="P1760" s="1">
        <f t="shared" si="170"/>
        <v>4.8734739692314388</v>
      </c>
      <c r="R1760" s="3">
        <f t="shared" si="165"/>
        <v>0.24058386483151217</v>
      </c>
      <c r="S1760" s="3">
        <f t="shared" si="166"/>
        <v>-1.4805807657749486</v>
      </c>
    </row>
    <row r="1761" spans="6:19" x14ac:dyDescent="0.2">
      <c r="F1761" s="3"/>
      <c r="G1761" s="3"/>
      <c r="H1761" s="3"/>
      <c r="M1761" s="1">
        <f t="shared" si="167"/>
        <v>52.770000000001239</v>
      </c>
      <c r="N1761" s="1">
        <f t="shared" si="168"/>
        <v>-2.3589170509063089</v>
      </c>
      <c r="O1761" s="1">
        <f t="shared" si="169"/>
        <v>-0.59211859384733045</v>
      </c>
      <c r="P1761" s="1">
        <f t="shared" si="170"/>
        <v>4.8557104114160188</v>
      </c>
      <c r="R1761" s="3">
        <f t="shared" si="165"/>
        <v>0.21424690953323455</v>
      </c>
      <c r="S1761" s="3">
        <f t="shared" si="166"/>
        <v>-1.4846205783820516</v>
      </c>
    </row>
    <row r="1762" spans="6:19" x14ac:dyDescent="0.2">
      <c r="F1762" s="3"/>
      <c r="G1762" s="3"/>
      <c r="H1762" s="3"/>
      <c r="M1762" s="1">
        <f t="shared" si="167"/>
        <v>52.800000000001241</v>
      </c>
      <c r="N1762" s="1">
        <f t="shared" si="168"/>
        <v>-2.089178421886086</v>
      </c>
      <c r="O1762" s="1">
        <f t="shared" si="169"/>
        <v>-0.65479394650391298</v>
      </c>
      <c r="P1762" s="1">
        <f t="shared" si="170"/>
        <v>4.8360665930209015</v>
      </c>
      <c r="R1762" s="3">
        <f t="shared" si="165"/>
        <v>0.18504383265037599</v>
      </c>
      <c r="S1762" s="3">
        <f t="shared" si="166"/>
        <v>-1.4885425019118734</v>
      </c>
    </row>
    <row r="1763" spans="6:19" x14ac:dyDescent="0.2">
      <c r="F1763" s="3"/>
      <c r="G1763" s="3"/>
      <c r="H1763" s="3"/>
      <c r="M1763" s="1">
        <f t="shared" si="167"/>
        <v>52.830000000001242</v>
      </c>
      <c r="N1763" s="1">
        <f t="shared" si="168"/>
        <v>-1.7915068713184079</v>
      </c>
      <c r="O1763" s="1">
        <f t="shared" si="169"/>
        <v>-0.70853915264346523</v>
      </c>
      <c r="P1763" s="1">
        <f t="shared" si="170"/>
        <v>4.8148104184415974</v>
      </c>
      <c r="R1763" s="3">
        <f t="shared" si="165"/>
        <v>0.15336369384801085</v>
      </c>
      <c r="S1763" s="3">
        <f t="shared" si="166"/>
        <v>-1.4921392620694938</v>
      </c>
    </row>
    <row r="1764" spans="6:19" x14ac:dyDescent="0.2">
      <c r="F1764" s="3"/>
      <c r="G1764" s="3"/>
      <c r="H1764" s="3"/>
      <c r="M1764" s="1">
        <f t="shared" si="167"/>
        <v>52.860000000001243</v>
      </c>
      <c r="N1764" s="1">
        <f t="shared" si="168"/>
        <v>-1.4698684147421965</v>
      </c>
      <c r="O1764" s="1">
        <f t="shared" si="169"/>
        <v>-0.75263520508573112</v>
      </c>
      <c r="P1764" s="1">
        <f t="shared" si="170"/>
        <v>4.7922313622890256</v>
      </c>
      <c r="R1764" s="3">
        <f t="shared" si="165"/>
        <v>0.11963636848566297</v>
      </c>
      <c r="S1764" s="3">
        <f t="shared" si="166"/>
        <v>-1.4952214348836639</v>
      </c>
    </row>
    <row r="1765" spans="6:19" x14ac:dyDescent="0.2">
      <c r="F1765" s="3"/>
      <c r="G1765" s="3"/>
      <c r="H1765" s="3"/>
      <c r="M1765" s="1">
        <f t="shared" si="167"/>
        <v>52.890000000001244</v>
      </c>
      <c r="N1765" s="1">
        <f t="shared" si="168"/>
        <v>-1.1286265163989142</v>
      </c>
      <c r="O1765" s="1">
        <f t="shared" si="169"/>
        <v>-0.78649400057769858</v>
      </c>
      <c r="P1765" s="1">
        <f t="shared" si="170"/>
        <v>4.768636542271695</v>
      </c>
      <c r="R1765" s="3">
        <f t="shared" si="165"/>
        <v>8.432686102424089E-2</v>
      </c>
      <c r="S1765" s="3">
        <f t="shared" si="166"/>
        <v>-1.4976277843675971</v>
      </c>
    </row>
    <row r="1766" spans="6:19" x14ac:dyDescent="0.2">
      <c r="F1766" s="3"/>
      <c r="G1766" s="3"/>
      <c r="H1766" s="3"/>
      <c r="M1766" s="1">
        <f t="shared" si="167"/>
        <v>52.920000000001245</v>
      </c>
      <c r="N1766" s="1">
        <f t="shared" si="168"/>
        <v>-0.77248415019041605</v>
      </c>
      <c r="O1766" s="1">
        <f t="shared" si="169"/>
        <v>-0.80966852508341103</v>
      </c>
      <c r="P1766" s="1">
        <f t="shared" si="170"/>
        <v>4.7443464865191922</v>
      </c>
      <c r="R1766" s="3">
        <f t="shared" si="165"/>
        <v>4.7928100210366711E-2</v>
      </c>
      <c r="S1766" s="3">
        <f t="shared" si="166"/>
        <v>-1.4992341035376113</v>
      </c>
    </row>
    <row r="1767" spans="6:19" x14ac:dyDescent="0.2">
      <c r="F1767" s="3"/>
      <c r="G1767" s="3"/>
      <c r="H1767" s="3"/>
      <c r="M1767" s="1">
        <f t="shared" si="167"/>
        <v>52.950000000001246</v>
      </c>
      <c r="N1767" s="1">
        <f t="shared" si="168"/>
        <v>-0.40641083484616014</v>
      </c>
      <c r="O1767" s="1">
        <f t="shared" si="169"/>
        <v>-0.82186085012879584</v>
      </c>
      <c r="P1767" s="1">
        <f t="shared" si="170"/>
        <v>4.7196906610153286</v>
      </c>
      <c r="R1767" s="3">
        <f t="shared" si="165"/>
        <v>1.095242362478153E-2</v>
      </c>
      <c r="S1767" s="3">
        <f t="shared" si="166"/>
        <v>-1.4999600142726284</v>
      </c>
    </row>
    <row r="1768" spans="6:19" x14ac:dyDescent="0.2">
      <c r="F1768" s="3"/>
      <c r="G1768" s="3"/>
      <c r="H1768" s="3"/>
      <c r="M1768" s="1">
        <f t="shared" si="167"/>
        <v>52.980000000001247</v>
      </c>
      <c r="N1768" s="1">
        <f t="shared" si="168"/>
        <v>-3.5556759736223673E-2</v>
      </c>
      <c r="O1768" s="1">
        <f t="shared" si="169"/>
        <v>-0.8229275529208826</v>
      </c>
      <c r="P1768" s="1">
        <f t="shared" si="170"/>
        <v>4.6950028344277017</v>
      </c>
      <c r="R1768" s="3">
        <f t="shared" si="165"/>
        <v>-2.6077905092673121E-2</v>
      </c>
      <c r="S1768" s="3">
        <f t="shared" si="166"/>
        <v>-1.4997732971572661</v>
      </c>
    </row>
    <row r="1769" spans="6:19" x14ac:dyDescent="0.2">
      <c r="F1769" s="3"/>
      <c r="G1769" s="3"/>
      <c r="H1769" s="3"/>
      <c r="M1769" s="1">
        <f t="shared" si="167"/>
        <v>53.010000000001249</v>
      </c>
      <c r="N1769" s="1">
        <f t="shared" si="168"/>
        <v>0.33484253068961062</v>
      </c>
      <c r="O1769" s="1">
        <f t="shared" si="169"/>
        <v>-0.81288227700019433</v>
      </c>
      <c r="P1769" s="1">
        <f t="shared" si="170"/>
        <v>4.670616366117696</v>
      </c>
      <c r="R1769" s="3">
        <f t="shared" si="165"/>
        <v>-6.2640700195898527E-2</v>
      </c>
      <c r="S1769" s="3">
        <f t="shared" si="166"/>
        <v>-1.4986914768153476</v>
      </c>
    </row>
    <row r="1770" spans="6:19" x14ac:dyDescent="0.2">
      <c r="F1770" s="3"/>
      <c r="G1770" s="3"/>
      <c r="H1770" s="3"/>
      <c r="M1770" s="1">
        <f t="shared" si="167"/>
        <v>53.04000000000125</v>
      </c>
      <c r="N1770" s="1">
        <f t="shared" si="168"/>
        <v>0.69956640688900285</v>
      </c>
      <c r="O1770" s="1">
        <f t="shared" si="169"/>
        <v>-0.79189528479352422</v>
      </c>
      <c r="P1770" s="1">
        <f t="shared" si="170"/>
        <v>4.6468595075738905</v>
      </c>
      <c r="R1770" s="3">
        <f t="shared" si="165"/>
        <v>-9.8223876597980153E-2</v>
      </c>
      <c r="S1770" s="3">
        <f t="shared" si="166"/>
        <v>-1.4967805684421698</v>
      </c>
    </row>
    <row r="1771" spans="6:19" x14ac:dyDescent="0.2">
      <c r="F1771" s="3"/>
      <c r="G1771" s="3"/>
      <c r="H1771" s="3"/>
      <c r="M1771" s="1">
        <f t="shared" si="167"/>
        <v>53.070000000001251</v>
      </c>
      <c r="N1771" s="1">
        <f t="shared" si="168"/>
        <v>1.0535093416112189</v>
      </c>
      <c r="O1771" s="1">
        <f t="shared" si="169"/>
        <v>-0.76029000454518769</v>
      </c>
      <c r="P1771" s="1">
        <f t="shared" si="170"/>
        <v>4.624050807437535</v>
      </c>
      <c r="R1771" s="3">
        <f t="shared" si="165"/>
        <v>-0.13233498698604543</v>
      </c>
      <c r="S1771" s="3">
        <f t="shared" si="166"/>
        <v>-1.4941510804531795</v>
      </c>
    </row>
    <row r="1772" spans="6:19" x14ac:dyDescent="0.2">
      <c r="F1772" s="3"/>
      <c r="G1772" s="3"/>
      <c r="H1772" s="3"/>
      <c r="M1772" s="1">
        <f t="shared" si="167"/>
        <v>53.100000000001252</v>
      </c>
      <c r="N1772" s="1">
        <f t="shared" si="168"/>
        <v>1.3917759702695212</v>
      </c>
      <c r="O1772" s="1">
        <f t="shared" si="169"/>
        <v>-0.71853672543710201</v>
      </c>
      <c r="P1772" s="1">
        <f t="shared" si="170"/>
        <v>4.6024947056744221</v>
      </c>
      <c r="R1772" s="3">
        <f t="shared" si="165"/>
        <v>-0.16450982089108651</v>
      </c>
      <c r="S1772" s="3">
        <f t="shared" si="166"/>
        <v>-1.4909515481162969</v>
      </c>
    </row>
    <row r="1773" spans="6:19" x14ac:dyDescent="0.2">
      <c r="F1773" s="3"/>
      <c r="G1773" s="3"/>
      <c r="H1773" s="3"/>
      <c r="M1773" s="1">
        <f t="shared" si="167"/>
        <v>53.130000000001253</v>
      </c>
      <c r="N1773" s="1">
        <f t="shared" si="168"/>
        <v>1.7097665142002043</v>
      </c>
      <c r="O1773" s="1">
        <f t="shared" si="169"/>
        <v>-0.66724373001109583</v>
      </c>
      <c r="P1773" s="1">
        <f t="shared" si="170"/>
        <v>4.5824773937740888</v>
      </c>
      <c r="R1773" s="3">
        <f t="shared" si="165"/>
        <v>-0.19431971214797489</v>
      </c>
      <c r="S1773" s="3">
        <f t="shared" si="166"/>
        <v>-1.4873600268498304</v>
      </c>
    </row>
    <row r="1774" spans="6:19" x14ac:dyDescent="0.2">
      <c r="F1774" s="3"/>
      <c r="G1774" s="3"/>
      <c r="H1774" s="3"/>
      <c r="M1774" s="1">
        <f t="shared" si="167"/>
        <v>53.160000000001254</v>
      </c>
      <c r="N1774" s="1">
        <f t="shared" si="168"/>
        <v>2.0032490571807475</v>
      </c>
      <c r="O1774" s="1">
        <f t="shared" si="169"/>
        <v>-0.60714625829567337</v>
      </c>
      <c r="P1774" s="1">
        <f t="shared" si="170"/>
        <v>4.5642630060252189</v>
      </c>
      <c r="R1774" s="3">
        <f t="shared" si="165"/>
        <v>-0.22137733319150665</v>
      </c>
      <c r="S1774" s="3">
        <f t="shared" si="166"/>
        <v>-1.4835740885945052</v>
      </c>
    </row>
    <row r="1775" spans="6:19" x14ac:dyDescent="0.2">
      <c r="F1775" s="3"/>
      <c r="G1775" s="3"/>
      <c r="H1775" s="3"/>
      <c r="M1775" s="1">
        <f t="shared" si="167"/>
        <v>53.190000000001255</v>
      </c>
      <c r="N1775" s="1">
        <f t="shared" si="168"/>
        <v>2.2684164951616768</v>
      </c>
      <c r="O1775" s="1">
        <f t="shared" si="169"/>
        <v>-0.53909376344082305</v>
      </c>
      <c r="P1775" s="1">
        <f t="shared" si="170"/>
        <v>4.5480901931219941</v>
      </c>
      <c r="R1775" s="3">
        <f t="shared" si="165"/>
        <v>-0.24534090232606282</v>
      </c>
      <c r="S1775" s="3">
        <f t="shared" si="166"/>
        <v>-1.4797999329793989</v>
      </c>
    </row>
    <row r="1776" spans="6:19" x14ac:dyDescent="0.2">
      <c r="F1776" s="3"/>
      <c r="G1776" s="3"/>
      <c r="H1776" s="3"/>
      <c r="M1776" s="1">
        <f t="shared" si="167"/>
        <v>53.220000000001257</v>
      </c>
      <c r="N1776" s="1">
        <f t="shared" si="168"/>
        <v>2.5019274619703018</v>
      </c>
      <c r="O1776" s="1">
        <f t="shared" si="169"/>
        <v>-0.46403593958171396</v>
      </c>
      <c r="P1776" s="1">
        <f t="shared" si="170"/>
        <v>4.5341691149345431</v>
      </c>
      <c r="R1776" s="3">
        <f t="shared" si="165"/>
        <v>-0.26591687481024678</v>
      </c>
      <c r="S1776" s="3">
        <f t="shared" si="166"/>
        <v>-1.4762412457627485</v>
      </c>
    </row>
    <row r="1777" spans="6:19" x14ac:dyDescent="0.2">
      <c r="F1777" s="3"/>
      <c r="G1777" s="3"/>
      <c r="H1777" s="3"/>
      <c r="M1777" s="1">
        <f t="shared" si="167"/>
        <v>53.250000000001258</v>
      </c>
      <c r="N1777" s="1">
        <f t="shared" si="168"/>
        <v>2.7009319826648226</v>
      </c>
      <c r="O1777" s="1">
        <f t="shared" si="169"/>
        <v>-0.38300798010176929</v>
      </c>
      <c r="P1777" s="1">
        <f t="shared" si="170"/>
        <v>4.52267887553149</v>
      </c>
      <c r="R1777" s="3">
        <f t="shared" si="165"/>
        <v>-0.28286131317422325</v>
      </c>
      <c r="S1777" s="3">
        <f t="shared" si="166"/>
        <v>-1.4730884146952463</v>
      </c>
    </row>
    <row r="1778" spans="6:19" x14ac:dyDescent="0.2">
      <c r="F1778" s="3"/>
      <c r="G1778" s="3"/>
      <c r="H1778" s="3"/>
      <c r="M1778" s="1">
        <f t="shared" si="167"/>
        <v>53.280000000001259</v>
      </c>
      <c r="N1778" s="1">
        <f t="shared" si="168"/>
        <v>2.8630838499513915</v>
      </c>
      <c r="O1778" s="1">
        <f t="shared" si="169"/>
        <v>-0.29711546460322757</v>
      </c>
      <c r="P1778" s="1">
        <f t="shared" si="170"/>
        <v>4.5137654115933934</v>
      </c>
      <c r="R1778" s="3">
        <f t="shared" si="165"/>
        <v>-0.29598022320139949</v>
      </c>
      <c r="S1778" s="3">
        <f t="shared" si="166"/>
        <v>-1.4705086560349279</v>
      </c>
    </row>
    <row r="1779" spans="6:19" x14ac:dyDescent="0.2">
      <c r="F1779" s="3"/>
      <c r="G1779" s="3"/>
      <c r="H1779" s="3"/>
      <c r="M1779" s="1">
        <f t="shared" si="167"/>
        <v>53.31000000000126</v>
      </c>
      <c r="N1779" s="1">
        <f t="shared" si="168"/>
        <v>2.9865426238282855</v>
      </c>
      <c r="O1779" s="1">
        <f t="shared" si="169"/>
        <v>-0.20751918588837903</v>
      </c>
      <c r="P1779" s="1">
        <f t="shared" si="170"/>
        <v>4.5075398360167425</v>
      </c>
      <c r="R1779" s="3">
        <f t="shared" si="165"/>
        <v>-0.30512919108805292</v>
      </c>
      <c r="S1779" s="3">
        <f t="shared" si="166"/>
        <v>-1.468637523947264</v>
      </c>
    </row>
    <row r="1780" spans="6:19" x14ac:dyDescent="0.2">
      <c r="F1780" s="3"/>
      <c r="G1780" s="3"/>
      <c r="H1780" s="3"/>
      <c r="M1780" s="1">
        <f t="shared" si="167"/>
        <v>53.340000000001261</v>
      </c>
      <c r="N1780" s="1">
        <f t="shared" si="168"/>
        <v>3.0699686376104829</v>
      </c>
      <c r="O1780" s="1">
        <f t="shared" si="169"/>
        <v>-0.11542012676006455</v>
      </c>
      <c r="P1780" s="1">
        <f t="shared" si="170"/>
        <v>4.5040772322139402</v>
      </c>
      <c r="R1780" s="3">
        <f t="shared" si="165"/>
        <v>-0.31021266161111466</v>
      </c>
      <c r="S1780" s="3">
        <f t="shared" si="166"/>
        <v>-1.4675721803632515</v>
      </c>
    </row>
    <row r="1781" spans="6:19" x14ac:dyDescent="0.2">
      <c r="F1781" s="3"/>
      <c r="G1781" s="3"/>
      <c r="H1781" s="3"/>
      <c r="M1781" s="1">
        <f t="shared" si="167"/>
        <v>53.370000000001262</v>
      </c>
      <c r="N1781" s="1">
        <f t="shared" si="168"/>
        <v>3.1125144275195527</v>
      </c>
      <c r="O1781" s="1">
        <f t="shared" si="169"/>
        <v>-2.2044693934477971E-2</v>
      </c>
      <c r="P1781" s="1">
        <f t="shared" si="170"/>
        <v>4.5034158913959059</v>
      </c>
      <c r="R1781" s="3">
        <f t="shared" si="165"/>
        <v>-0.31118315908753713</v>
      </c>
      <c r="S1781" s="3">
        <f t="shared" si="166"/>
        <v>-1.4673667031455704</v>
      </c>
    </row>
    <row r="1782" spans="6:19" x14ac:dyDescent="0.2">
      <c r="F1782" s="3"/>
      <c r="G1782" s="3"/>
      <c r="H1782" s="3"/>
      <c r="M1782" s="1">
        <f t="shared" si="167"/>
        <v>53.400000000001263</v>
      </c>
      <c r="N1782" s="1">
        <f t="shared" si="168"/>
        <v>3.1138156133294745</v>
      </c>
      <c r="O1782" s="1">
        <f t="shared" si="169"/>
        <v>7.1369774465406266E-2</v>
      </c>
      <c r="P1782" s="1">
        <f t="shared" si="170"/>
        <v>4.5055569846298678</v>
      </c>
      <c r="R1782" s="3">
        <f t="shared" si="165"/>
        <v>-0.30804067929301837</v>
      </c>
      <c r="S1782" s="3">
        <f t="shared" si="166"/>
        <v>-1.4680296113841491</v>
      </c>
    </row>
    <row r="1783" spans="6:19" x14ac:dyDescent="0.2">
      <c r="F1783" s="3"/>
      <c r="G1783" s="3"/>
      <c r="H1783" s="3"/>
      <c r="M1783" s="1">
        <f t="shared" si="167"/>
        <v>53.430000000001264</v>
      </c>
      <c r="N1783" s="1">
        <f t="shared" si="168"/>
        <v>3.0739835132282973</v>
      </c>
      <c r="O1783" s="1">
        <f t="shared" si="169"/>
        <v>0.16358927986225519</v>
      </c>
      <c r="P1783" s="1">
        <f t="shared" si="170"/>
        <v>4.5104646630257355</v>
      </c>
      <c r="R1783" s="3">
        <f t="shared" si="165"/>
        <v>-0.30083238138584711</v>
      </c>
      <c r="S1783" s="3">
        <f t="shared" si="166"/>
        <v>-1.4695236909657905</v>
      </c>
    </row>
    <row r="1784" spans="6:19" x14ac:dyDescent="0.2">
      <c r="F1784" s="3"/>
      <c r="G1784" s="3"/>
      <c r="H1784" s="3"/>
      <c r="M1784" s="1">
        <f t="shared" si="167"/>
        <v>53.460000000001266</v>
      </c>
      <c r="N1784" s="1">
        <f t="shared" si="168"/>
        <v>2.993600778670868</v>
      </c>
      <c r="O1784" s="1">
        <f t="shared" si="169"/>
        <v>0.25339730322238124</v>
      </c>
      <c r="P1784" s="1">
        <f t="shared" si="170"/>
        <v>4.5180665821224073</v>
      </c>
      <c r="R1784" s="3">
        <f t="shared" si="165"/>
        <v>-0.28965259638636176</v>
      </c>
      <c r="S1784" s="3">
        <f t="shared" si="166"/>
        <v>-1.4717681112888128</v>
      </c>
    </row>
    <row r="1785" spans="6:19" x14ac:dyDescent="0.2">
      <c r="F1785" s="3"/>
      <c r="G1785" s="3"/>
      <c r="H1785" s="3"/>
      <c r="M1785" s="1">
        <f t="shared" si="167"/>
        <v>53.490000000001267</v>
      </c>
      <c r="N1785" s="1">
        <f t="shared" si="168"/>
        <v>2.8737202065736032</v>
      </c>
      <c r="O1785" s="1">
        <f t="shared" si="169"/>
        <v>0.33960890941958932</v>
      </c>
      <c r="P1785" s="1">
        <f t="shared" si="170"/>
        <v>4.5282548494049948</v>
      </c>
      <c r="R1785" s="3">
        <f t="shared" si="165"/>
        <v>-0.27464305594649763</v>
      </c>
      <c r="S1785" s="3">
        <f t="shared" si="166"/>
        <v>-1.4746427336207131</v>
      </c>
    </row>
    <row r="1786" spans="6:19" x14ac:dyDescent="0.2">
      <c r="F1786" s="3"/>
      <c r="G1786" s="3"/>
      <c r="H1786" s="3"/>
      <c r="M1786" s="1">
        <f t="shared" si="167"/>
        <v>53.520000000001268</v>
      </c>
      <c r="N1786" s="1">
        <f t="shared" si="168"/>
        <v>2.7158657576172129</v>
      </c>
      <c r="O1786" s="1">
        <f t="shared" si="169"/>
        <v>0.42108488214810569</v>
      </c>
      <c r="P1786" s="1">
        <f t="shared" si="170"/>
        <v>4.5408873958694382</v>
      </c>
      <c r="R1786" s="3">
        <f t="shared" si="165"/>
        <v>-0.25599314490431685</v>
      </c>
      <c r="S1786" s="3">
        <f t="shared" si="166"/>
        <v>-1.4779944214245186</v>
      </c>
    </row>
    <row r="1787" spans="6:19" x14ac:dyDescent="0.2">
      <c r="F1787" s="3"/>
      <c r="G1787" s="3"/>
      <c r="H1787" s="3"/>
      <c r="M1787" s="1">
        <f t="shared" si="167"/>
        <v>53.550000000001269</v>
      </c>
      <c r="N1787" s="1">
        <f t="shared" si="168"/>
        <v>2.5220338096498391</v>
      </c>
      <c r="O1787" s="1">
        <f t="shared" si="169"/>
        <v>0.49674589643760086</v>
      </c>
      <c r="P1787" s="1">
        <f t="shared" si="170"/>
        <v>4.5557897727625667</v>
      </c>
      <c r="R1787" s="3">
        <f t="shared" si="165"/>
        <v>-0.23393990516641891</v>
      </c>
      <c r="S1787" s="3">
        <f t="shared" si="166"/>
        <v>-1.4816450724686825</v>
      </c>
    </row>
    <row r="1788" spans="6:19" x14ac:dyDescent="0.2">
      <c r="F1788" s="3"/>
      <c r="G1788" s="3"/>
      <c r="H1788" s="3"/>
      <c r="M1788" s="1">
        <f t="shared" si="167"/>
        <v>53.58000000000127</v>
      </c>
      <c r="N1788" s="1">
        <f t="shared" si="168"/>
        <v>2.2946919209848051</v>
      </c>
      <c r="O1788" s="1">
        <f t="shared" si="169"/>
        <v>0.56558665406714503</v>
      </c>
      <c r="P1788" s="1">
        <f t="shared" si="170"/>
        <v>4.5727573723845811</v>
      </c>
      <c r="R1788" s="3">
        <f t="shared" si="165"/>
        <v>-0.20876747629865178</v>
      </c>
      <c r="S1788" s="3">
        <f t="shared" si="166"/>
        <v>-1.4854010033791858</v>
      </c>
    </row>
    <row r="1789" spans="6:19" x14ac:dyDescent="0.2">
      <c r="F1789" s="3"/>
      <c r="G1789" s="3"/>
      <c r="H1789" s="3"/>
      <c r="M1789" s="1">
        <f t="shared" si="167"/>
        <v>53.610000000001271</v>
      </c>
      <c r="N1789" s="1">
        <f t="shared" si="168"/>
        <v>2.0367719641204749</v>
      </c>
      <c r="O1789" s="1">
        <f t="shared" si="169"/>
        <v>0.62668981299075932</v>
      </c>
      <c r="P1789" s="1">
        <f t="shared" si="170"/>
        <v>4.5915580667743043</v>
      </c>
      <c r="R1789" s="3">
        <f t="shared" si="165"/>
        <v>-0.18080565611450788</v>
      </c>
      <c r="S1789" s="3">
        <f t="shared" si="166"/>
        <v>-1.4890632339551608</v>
      </c>
    </row>
    <row r="1790" spans="6:19" x14ac:dyDescent="0.2">
      <c r="F1790" s="3"/>
      <c r="G1790" s="3"/>
      <c r="H1790" s="3"/>
      <c r="M1790" s="1">
        <f t="shared" si="167"/>
        <v>53.640000000001272</v>
      </c>
      <c r="N1790" s="1">
        <f t="shared" si="168"/>
        <v>1.7516544779759107</v>
      </c>
      <c r="O1790" s="1">
        <f t="shared" si="169"/>
        <v>0.67923944733003661</v>
      </c>
      <c r="P1790" s="1">
        <f t="shared" si="170"/>
        <v>4.6119352501942057</v>
      </c>
      <c r="R1790" s="3">
        <f t="shared" si="165"/>
        <v>-0.15042730467656246</v>
      </c>
      <c r="S1790" s="3">
        <f t="shared" si="166"/>
        <v>-1.492438148134704</v>
      </c>
    </row>
    <row r="1791" spans="6:19" x14ac:dyDescent="0.2">
      <c r="F1791" s="3"/>
      <c r="G1791" s="3"/>
      <c r="H1791" s="3"/>
      <c r="M1791" s="1">
        <f t="shared" si="167"/>
        <v>53.670000000001274</v>
      </c>
      <c r="N1791" s="1">
        <f t="shared" si="168"/>
        <v>1.4431414965059215</v>
      </c>
      <c r="O1791" s="1">
        <f t="shared" si="169"/>
        <v>0.72253369222521424</v>
      </c>
      <c r="P1791" s="1">
        <f t="shared" si="170"/>
        <v>4.6336112609609623</v>
      </c>
      <c r="R1791" s="3">
        <f t="shared" si="165"/>
        <v>-0.11804439482020429</v>
      </c>
      <c r="S1791" s="3">
        <f t="shared" si="166"/>
        <v>-1.4953479597911423</v>
      </c>
    </row>
    <row r="1792" spans="6:19" x14ac:dyDescent="0.2">
      <c r="F1792" s="3"/>
      <c r="G1792" s="3"/>
      <c r="H1792" s="3"/>
      <c r="M1792" s="1">
        <f t="shared" si="167"/>
        <v>53.700000000001275</v>
      </c>
      <c r="N1792" s="1">
        <f t="shared" si="168"/>
        <v>1.1154159159017736</v>
      </c>
      <c r="O1792" s="1">
        <f t="shared" si="169"/>
        <v>0.75599616970226746</v>
      </c>
      <c r="P1792" s="1">
        <f t="shared" si="170"/>
        <v>4.6562911460520304</v>
      </c>
      <c r="R1792" s="3">
        <f t="shared" si="165"/>
        <v>-8.4102623934371068E-2</v>
      </c>
      <c r="S1792" s="3">
        <f t="shared" si="166"/>
        <v>-1.4976403936350522</v>
      </c>
    </row>
    <row r="1793" spans="6:19" x14ac:dyDescent="0.2">
      <c r="F1793" s="3"/>
      <c r="G1793" s="3"/>
      <c r="H1793" s="3"/>
      <c r="M1793" s="1">
        <f t="shared" si="167"/>
        <v>53.730000000001276</v>
      </c>
      <c r="N1793" s="1">
        <f t="shared" si="168"/>
        <v>0.77298658407050669</v>
      </c>
      <c r="O1793" s="1">
        <f t="shared" si="169"/>
        <v>0.77918576722438271</v>
      </c>
      <c r="P1793" s="1">
        <f t="shared" si="170"/>
        <v>4.679666719068762</v>
      </c>
      <c r="R1793" s="3">
        <f t="shared" si="165"/>
        <v>-4.9074633132071492E-2</v>
      </c>
      <c r="S1793" s="3">
        <f t="shared" si="166"/>
        <v>-1.4991970118643354</v>
      </c>
    </row>
    <row r="1794" spans="6:19" x14ac:dyDescent="0.2">
      <c r="F1794" s="3"/>
      <c r="G1794" s="3"/>
      <c r="H1794" s="3"/>
      <c r="M1794" s="1">
        <f t="shared" si="167"/>
        <v>53.760000000001277</v>
      </c>
      <c r="N1794" s="1">
        <f t="shared" si="168"/>
        <v>0.42061961227052047</v>
      </c>
      <c r="O1794" s="1">
        <f t="shared" si="169"/>
        <v>0.79180435559249829</v>
      </c>
      <c r="P1794" s="1">
        <f t="shared" si="170"/>
        <v>4.7034208497365366</v>
      </c>
      <c r="R1794" s="3">
        <f t="shared" ref="R1794:R1857" si="171">$B$3*COS(P1794)</f>
        <v>-1.3452015652170527E-2</v>
      </c>
      <c r="S1794" s="3">
        <f t="shared" ref="S1794:S1857" si="172">$B$3*SIN(P1794)</f>
        <v>-1.4999396798787923</v>
      </c>
    </row>
    <row r="1795" spans="6:19" x14ac:dyDescent="0.2">
      <c r="F1795" s="3"/>
      <c r="G1795" s="3"/>
      <c r="H1795" s="3"/>
      <c r="M1795" s="1">
        <f t="shared" ref="M1795:M1858" si="173">M1794+B$13</f>
        <v>53.790000000001278</v>
      </c>
      <c r="N1795" s="1">
        <f t="shared" ref="N1795:N1858" si="174">-$B$12*$B$3*COS(P1794)-B$10*O1794</f>
        <v>6.3257764518380416E-2</v>
      </c>
      <c r="O1795" s="1">
        <f t="shared" ref="O1795:O1858" si="175">N1795*$B$13+O1794</f>
        <v>0.79370208852804969</v>
      </c>
      <c r="P1795" s="1">
        <f t="shared" ref="P1795:P1858" si="176">O1795*$B$13+P1794</f>
        <v>4.7272319123923783</v>
      </c>
      <c r="R1795" s="3">
        <f t="shared" si="171"/>
        <v>2.2263580499189046E-2</v>
      </c>
      <c r="S1795" s="3">
        <f t="shared" si="172"/>
        <v>-1.4998347685606426</v>
      </c>
    </row>
    <row r="1796" spans="6:19" x14ac:dyDescent="0.2">
      <c r="F1796" s="3"/>
      <c r="G1796" s="3"/>
      <c r="H1796" s="3"/>
      <c r="M1796" s="1">
        <f t="shared" si="173"/>
        <v>53.820000000001279</v>
      </c>
      <c r="N1796" s="1">
        <f t="shared" si="174"/>
        <v>-0.29406899295941491</v>
      </c>
      <c r="O1796" s="1">
        <f t="shared" si="175"/>
        <v>0.78488001873926727</v>
      </c>
      <c r="P1796" s="1">
        <f t="shared" si="176"/>
        <v>4.750778312954556</v>
      </c>
      <c r="R1796" s="3">
        <f t="shared" si="171"/>
        <v>5.7569855915038201E-2</v>
      </c>
      <c r="S1796" s="3">
        <f t="shared" si="172"/>
        <v>-1.4988948300964686</v>
      </c>
    </row>
    <row r="1797" spans="6:19" x14ac:dyDescent="0.2">
      <c r="F1797" s="3"/>
      <c r="G1797" s="3"/>
      <c r="H1797" s="3"/>
      <c r="M1797" s="1">
        <f t="shared" si="173"/>
        <v>53.85000000000128</v>
      </c>
      <c r="N1797" s="1">
        <f t="shared" si="174"/>
        <v>-0.64633776083691608</v>
      </c>
      <c r="O1797" s="1">
        <f t="shared" si="175"/>
        <v>0.76548988591415978</v>
      </c>
      <c r="P1797" s="1">
        <f t="shared" si="176"/>
        <v>4.7737430095319811</v>
      </c>
      <c r="R1797" s="3">
        <f t="shared" si="171"/>
        <v>9.1973315585270721E-2</v>
      </c>
      <c r="S1797" s="3">
        <f t="shared" si="172"/>
        <v>-1.4971776478495302</v>
      </c>
    </row>
    <row r="1798" spans="6:19" x14ac:dyDescent="0.2">
      <c r="F1798" s="3"/>
      <c r="G1798" s="3"/>
      <c r="H1798" s="3"/>
      <c r="M1798" s="1">
        <f t="shared" si="173"/>
        <v>53.880000000001282</v>
      </c>
      <c r="N1798" s="1">
        <f t="shared" si="174"/>
        <v>-0.98862724558498172</v>
      </c>
      <c r="O1798" s="1">
        <f t="shared" si="175"/>
        <v>0.73583106854661029</v>
      </c>
      <c r="P1798" s="1">
        <f t="shared" si="176"/>
        <v>4.7958179415883793</v>
      </c>
      <c r="R1798" s="3">
        <f t="shared" si="171"/>
        <v>0.12499831776123854</v>
      </c>
      <c r="S1798" s="3">
        <f t="shared" si="172"/>
        <v>-1.4947827335625938</v>
      </c>
    </row>
    <row r="1799" spans="6:19" x14ac:dyDescent="0.2">
      <c r="F1799" s="3"/>
      <c r="G1799" s="3"/>
      <c r="H1799" s="3"/>
      <c r="M1799" s="1">
        <f t="shared" si="173"/>
        <v>53.910000000001283</v>
      </c>
      <c r="N1799" s="1">
        <f t="shared" si="174"/>
        <v>-1.3162079737815802</v>
      </c>
      <c r="O1799" s="1">
        <f t="shared" si="175"/>
        <v>0.69634482933316288</v>
      </c>
      <c r="P1799" s="1">
        <f t="shared" si="176"/>
        <v>4.8167082864683746</v>
      </c>
      <c r="R1799" s="3">
        <f t="shared" si="171"/>
        <v>0.15619529934446827</v>
      </c>
      <c r="S1799" s="3">
        <f t="shared" si="172"/>
        <v>-1.4918455109235311</v>
      </c>
    </row>
    <row r="1800" spans="6:19" x14ac:dyDescent="0.2">
      <c r="F1800" s="3"/>
      <c r="G1800" s="3"/>
      <c r="H1800" s="3"/>
      <c r="M1800" s="1">
        <f t="shared" si="173"/>
        <v>53.940000000001284</v>
      </c>
      <c r="N1800" s="1">
        <f t="shared" si="174"/>
        <v>-1.6246240280846673</v>
      </c>
      <c r="O1800" s="1">
        <f t="shared" si="175"/>
        <v>0.64760610849062283</v>
      </c>
      <c r="P1800" s="1">
        <f t="shared" si="176"/>
        <v>4.8361364697230931</v>
      </c>
      <c r="R1800" s="3">
        <f t="shared" si="171"/>
        <v>0.18514784663963529</v>
      </c>
      <c r="S1800" s="3">
        <f t="shared" si="172"/>
        <v>-1.4885295680250044</v>
      </c>
    </row>
    <row r="1801" spans="6:19" x14ac:dyDescent="0.2">
      <c r="F1801" s="3"/>
      <c r="G1801" s="3"/>
      <c r="H1801" s="3"/>
      <c r="M1801" s="1">
        <f t="shared" si="173"/>
        <v>53.970000000001285</v>
      </c>
      <c r="N1801" s="1">
        <f t="shared" si="174"/>
        <v>-1.9097630161605088</v>
      </c>
      <c r="O1801" s="1">
        <f t="shared" si="175"/>
        <v>0.59031321800580761</v>
      </c>
      <c r="P1801" s="1">
        <f t="shared" si="176"/>
        <v>4.8538458662632671</v>
      </c>
      <c r="R1801" s="3">
        <f t="shared" si="171"/>
        <v>0.21147839661640827</v>
      </c>
      <c r="S1801" s="3">
        <f t="shared" si="172"/>
        <v>-1.4850174705250283</v>
      </c>
    </row>
    <row r="1802" spans="6:19" x14ac:dyDescent="0.2">
      <c r="F1802" s="3"/>
      <c r="G1802" s="3"/>
      <c r="H1802" s="3"/>
      <c r="M1802" s="1">
        <f t="shared" si="173"/>
        <v>54.000000000001286</v>
      </c>
      <c r="N1802" s="1">
        <f t="shared" si="174"/>
        <v>-2.1679121557846059</v>
      </c>
      <c r="O1802" s="1">
        <f t="shared" si="175"/>
        <v>0.52527585333226945</v>
      </c>
      <c r="P1802" s="1">
        <f t="shared" si="176"/>
        <v>4.8696041418632348</v>
      </c>
      <c r="R1802" s="3">
        <f t="shared" si="171"/>
        <v>0.23485248572664652</v>
      </c>
      <c r="S1802" s="3">
        <f t="shared" si="172"/>
        <v>-1.4815006952236018</v>
      </c>
    </row>
    <row r="1803" spans="6:19" x14ac:dyDescent="0.2">
      <c r="F1803" s="3"/>
      <c r="G1803" s="3"/>
      <c r="H1803" s="3"/>
      <c r="M1803" s="1">
        <f t="shared" si="173"/>
        <v>54.030000000001287</v>
      </c>
      <c r="N1803" s="1">
        <f t="shared" si="174"/>
        <v>-2.3957996840663696</v>
      </c>
      <c r="O1803" s="1">
        <f t="shared" si="175"/>
        <v>0.45340186281027839</v>
      </c>
      <c r="P1803" s="1">
        <f t="shared" si="176"/>
        <v>4.8832061977475432</v>
      </c>
      <c r="R1803" s="3">
        <f t="shared" si="171"/>
        <v>0.25498159420155525</v>
      </c>
      <c r="S1803" s="3">
        <f t="shared" si="172"/>
        <v>-1.4781692685949175</v>
      </c>
    </row>
    <row r="1804" spans="6:19" x14ac:dyDescent="0.2">
      <c r="F1804" s="3"/>
      <c r="G1804" s="3"/>
      <c r="H1804" s="3"/>
      <c r="M1804" s="1">
        <f t="shared" si="173"/>
        <v>54.060000000001288</v>
      </c>
      <c r="N1804" s="1">
        <f t="shared" si="174"/>
        <v>-2.5906221096684776</v>
      </c>
      <c r="O1804" s="1">
        <f t="shared" si="175"/>
        <v>0.37568319952022405</v>
      </c>
      <c r="P1804" s="1">
        <f t="shared" si="176"/>
        <v>4.8944766937331501</v>
      </c>
      <c r="R1804" s="3">
        <f t="shared" si="171"/>
        <v>0.27162474808459047</v>
      </c>
      <c r="S1804" s="3">
        <f t="shared" si="172"/>
        <v>-1.4752016798485497</v>
      </c>
    </row>
    <row r="1805" spans="6:19" x14ac:dyDescent="0.2">
      <c r="F1805" s="3"/>
      <c r="G1805" s="3"/>
      <c r="H1805" s="3"/>
      <c r="M1805" s="1">
        <f t="shared" si="173"/>
        <v>54.090000000001289</v>
      </c>
      <c r="N1805" s="1">
        <f t="shared" si="174"/>
        <v>-2.7500589688027253</v>
      </c>
      <c r="O1805" s="1">
        <f t="shared" si="175"/>
        <v>0.29318143045614231</v>
      </c>
      <c r="P1805" s="1">
        <f t="shared" si="176"/>
        <v>4.9032721366468346</v>
      </c>
      <c r="R1805" s="3">
        <f t="shared" si="171"/>
        <v>0.28458912660270036</v>
      </c>
      <c r="S1805" s="3">
        <f t="shared" si="172"/>
        <v>-1.4727555903881377</v>
      </c>
    </row>
    <row r="1806" spans="6:19" x14ac:dyDescent="0.2">
      <c r="F1806" s="3"/>
      <c r="G1806" s="3"/>
      <c r="H1806" s="3"/>
      <c r="M1806" s="1">
        <f t="shared" si="173"/>
        <v>54.120000000001291</v>
      </c>
      <c r="N1806" s="1">
        <f t="shared" si="174"/>
        <v>-2.8722775947680566</v>
      </c>
      <c r="O1806" s="1">
        <f t="shared" si="175"/>
        <v>0.20701310261310063</v>
      </c>
      <c r="P1806" s="1">
        <f t="shared" si="176"/>
        <v>4.9094825297252278</v>
      </c>
      <c r="R1806" s="3">
        <f t="shared" si="171"/>
        <v>0.29372997079418767</v>
      </c>
      <c r="S1806" s="3">
        <f t="shared" si="172"/>
        <v>-1.470959790156497</v>
      </c>
    </row>
    <row r="1807" spans="6:19" x14ac:dyDescent="0.2">
      <c r="F1807" s="3"/>
      <c r="G1807" s="3"/>
      <c r="H1807" s="3"/>
      <c r="M1807" s="1">
        <f t="shared" si="173"/>
        <v>54.150000000001292</v>
      </c>
      <c r="N1807" s="1">
        <f t="shared" si="174"/>
        <v>-2.9559308871770562</v>
      </c>
      <c r="O1807" s="1">
        <f t="shared" si="175"/>
        <v>0.11833517599778895</v>
      </c>
      <c r="P1807" s="1">
        <f t="shared" si="176"/>
        <v>4.913032585005161</v>
      </c>
      <c r="R1807" s="3">
        <f t="shared" si="171"/>
        <v>0.29895009747343804</v>
      </c>
      <c r="S1807" s="3">
        <f t="shared" si="172"/>
        <v>-1.4699077655487849</v>
      </c>
    </row>
    <row r="1808" spans="6:19" x14ac:dyDescent="0.2">
      <c r="F1808" s="3"/>
      <c r="G1808" s="3"/>
      <c r="H1808" s="3"/>
      <c r="M1808" s="1">
        <f t="shared" si="173"/>
        <v>54.180000000001293</v>
      </c>
      <c r="N1808" s="1">
        <f t="shared" si="174"/>
        <v>-3.0001511405741814</v>
      </c>
      <c r="O1808" s="1">
        <f t="shared" si="175"/>
        <v>2.8330641780563506E-2</v>
      </c>
      <c r="P1808" s="1">
        <f t="shared" si="176"/>
        <v>4.9138825042585781</v>
      </c>
      <c r="R1808" s="3">
        <f t="shared" si="171"/>
        <v>0.30019929225851805</v>
      </c>
      <c r="S1808" s="3">
        <f t="shared" si="172"/>
        <v>-1.4696531512324549</v>
      </c>
    </row>
    <row r="1809" spans="6:19" x14ac:dyDescent="0.2">
      <c r="F1809" s="3"/>
      <c r="G1809" s="3"/>
      <c r="H1809" s="3"/>
      <c r="M1809" s="1">
        <f t="shared" si="173"/>
        <v>54.210000000001294</v>
      </c>
      <c r="N1809" s="1">
        <f t="shared" si="174"/>
        <v>-3.0045426803454309</v>
      </c>
      <c r="O1809" s="1">
        <f t="shared" si="175"/>
        <v>-6.1805638629799417E-2</v>
      </c>
      <c r="P1809" s="1">
        <f t="shared" si="176"/>
        <v>4.9120283350996843</v>
      </c>
      <c r="R1809" s="3">
        <f t="shared" si="171"/>
        <v>0.29747379223870202</v>
      </c>
      <c r="S1809" s="3">
        <f t="shared" si="172"/>
        <v>-1.4702072448913879</v>
      </c>
    </row>
    <row r="1810" spans="6:19" x14ac:dyDescent="0.2">
      <c r="F1810" s="3"/>
      <c r="G1810" s="3"/>
      <c r="H1810" s="3"/>
      <c r="M1810" s="1">
        <f t="shared" si="173"/>
        <v>54.240000000001295</v>
      </c>
      <c r="N1810" s="1">
        <f t="shared" si="174"/>
        <v>-2.9691754149103384</v>
      </c>
      <c r="O1810" s="1">
        <f t="shared" si="175"/>
        <v>-0.15088090107710955</v>
      </c>
      <c r="P1810" s="1">
        <f t="shared" si="176"/>
        <v>4.9075019080673714</v>
      </c>
      <c r="R1810" s="3">
        <f t="shared" si="171"/>
        <v>0.29081598174988399</v>
      </c>
      <c r="S1810" s="3">
        <f t="shared" si="172"/>
        <v>-1.4715386725325472</v>
      </c>
    </row>
    <row r="1811" spans="6:19" x14ac:dyDescent="0.2">
      <c r="F1811" s="3"/>
      <c r="G1811" s="3"/>
      <c r="H1811" s="3"/>
      <c r="M1811" s="1">
        <f t="shared" si="173"/>
        <v>54.270000000001296</v>
      </c>
      <c r="N1811" s="1">
        <f t="shared" si="174"/>
        <v>-2.8945805364018997</v>
      </c>
      <c r="O1811" s="1">
        <f t="shared" si="175"/>
        <v>-0.23771831716916653</v>
      </c>
      <c r="P1811" s="1">
        <f t="shared" si="176"/>
        <v>4.9003703585522969</v>
      </c>
      <c r="R1811" s="3">
        <f t="shared" si="171"/>
        <v>0.280314324525063</v>
      </c>
      <c r="S1811" s="3">
        <f t="shared" si="172"/>
        <v>-1.4735752031932601</v>
      </c>
    </row>
    <row r="1812" spans="6:19" x14ac:dyDescent="0.2">
      <c r="F1812" s="3"/>
      <c r="G1812" s="3"/>
      <c r="H1812" s="3"/>
      <c r="M1812" s="1">
        <f t="shared" si="173"/>
        <v>54.300000000001297</v>
      </c>
      <c r="N1812" s="1">
        <f t="shared" si="174"/>
        <v>-2.7817485967054045</v>
      </c>
      <c r="O1812" s="1">
        <f t="shared" si="175"/>
        <v>-0.32117077507032865</v>
      </c>
      <c r="P1812" s="1">
        <f t="shared" si="176"/>
        <v>4.8907352353001867</v>
      </c>
      <c r="R1812" s="3">
        <f t="shared" si="171"/>
        <v>0.26610345402761221</v>
      </c>
      <c r="S1812" s="3">
        <f t="shared" si="172"/>
        <v>-1.4762076248802452</v>
      </c>
    </row>
    <row r="1813" spans="6:19" x14ac:dyDescent="0.2">
      <c r="F1813" s="3"/>
      <c r="G1813" s="3"/>
      <c r="H1813" s="3"/>
      <c r="M1813" s="1">
        <f t="shared" si="173"/>
        <v>54.330000000001299</v>
      </c>
      <c r="N1813" s="1">
        <f t="shared" si="174"/>
        <v>-2.6321291705197929</v>
      </c>
      <c r="O1813" s="1">
        <f t="shared" si="175"/>
        <v>-0.40013465018592242</v>
      </c>
      <c r="P1813" s="1">
        <f t="shared" si="176"/>
        <v>4.8787311957946091</v>
      </c>
      <c r="R1813" s="3">
        <f t="shared" si="171"/>
        <v>0.24836425283458019</v>
      </c>
      <c r="S1813" s="3">
        <f t="shared" si="172"/>
        <v>-1.4792955072986331</v>
      </c>
    </row>
    <row r="1814" spans="6:19" x14ac:dyDescent="0.2">
      <c r="F1814" s="3"/>
      <c r="G1814" s="3"/>
      <c r="H1814" s="3"/>
      <c r="M1814" s="1">
        <f t="shared" si="173"/>
        <v>54.3600000000013</v>
      </c>
      <c r="N1814" s="1">
        <f t="shared" si="174"/>
        <v>-2.4476304098290691</v>
      </c>
      <c r="O1814" s="1">
        <f t="shared" si="175"/>
        <v>-0.47356356248079451</v>
      </c>
      <c r="P1814" s="1">
        <f t="shared" si="176"/>
        <v>4.864524288920185</v>
      </c>
      <c r="R1814" s="3">
        <f t="shared" si="171"/>
        <v>0.22732368226032681</v>
      </c>
      <c r="S1814" s="3">
        <f t="shared" si="172"/>
        <v>-1.4826745912315371</v>
      </c>
    </row>
    <row r="1815" spans="6:19" x14ac:dyDescent="0.2">
      <c r="F1815" s="3"/>
      <c r="G1815" s="3"/>
      <c r="H1815" s="3"/>
      <c r="M1815" s="1">
        <f t="shared" si="173"/>
        <v>54.390000000001301</v>
      </c>
      <c r="N1815" s="1">
        <f t="shared" si="174"/>
        <v>-2.2306161019799964</v>
      </c>
      <c r="O1815" s="1">
        <f t="shared" si="175"/>
        <v>-0.54048204554019441</v>
      </c>
      <c r="P1815" s="1">
        <f t="shared" si="176"/>
        <v>4.8483098275539795</v>
      </c>
      <c r="R1815" s="3">
        <f t="shared" si="171"/>
        <v>0.20325408375107148</v>
      </c>
      <c r="S1815" s="3">
        <f t="shared" si="172"/>
        <v>-1.4861654609896275</v>
      </c>
    </row>
    <row r="1816" spans="6:19" x14ac:dyDescent="0.2">
      <c r="F1816" s="3"/>
      <c r="G1816" s="3"/>
      <c r="H1816" s="3"/>
      <c r="M1816" s="1">
        <f t="shared" si="173"/>
        <v>54.420000000001302</v>
      </c>
      <c r="N1816" s="1">
        <f t="shared" si="174"/>
        <v>-1.9838974534120974</v>
      </c>
      <c r="O1816" s="1">
        <f t="shared" si="175"/>
        <v>-0.59999896914255735</v>
      </c>
      <c r="P1816" s="1">
        <f t="shared" si="176"/>
        <v>4.8303098584797031</v>
      </c>
      <c r="R1816" s="3">
        <f t="shared" si="171"/>
        <v>0.17647166977657533</v>
      </c>
      <c r="S1816" s="3">
        <f t="shared" si="172"/>
        <v>-1.4895830791756017</v>
      </c>
    </row>
    <row r="1817" spans="6:19" x14ac:dyDescent="0.2">
      <c r="F1817" s="3"/>
      <c r="G1817" s="3"/>
      <c r="H1817" s="3"/>
      <c r="M1817" s="1">
        <f t="shared" si="173"/>
        <v>54.450000000001303</v>
      </c>
      <c r="N1817" s="1">
        <f t="shared" si="174"/>
        <v>-1.7107167905429232</v>
      </c>
      <c r="O1817" s="1">
        <f t="shared" si="175"/>
        <v>-0.65132047285884509</v>
      </c>
      <c r="P1817" s="1">
        <f t="shared" si="176"/>
        <v>4.8107702442939377</v>
      </c>
      <c r="R1817" s="3">
        <f t="shared" si="171"/>
        <v>0.14733395610059194</v>
      </c>
      <c r="S1817" s="3">
        <f t="shared" si="172"/>
        <v>-1.4927466983315518</v>
      </c>
    </row>
    <row r="1818" spans="6:19" x14ac:dyDescent="0.2">
      <c r="F1818" s="3"/>
      <c r="G1818" s="3"/>
      <c r="H1818" s="3"/>
      <c r="M1818" s="1">
        <f t="shared" si="173"/>
        <v>54.480000000001304</v>
      </c>
      <c r="N1818" s="1">
        <f t="shared" si="174"/>
        <v>-1.4147207184486232</v>
      </c>
      <c r="O1818" s="1">
        <f t="shared" si="175"/>
        <v>-0.69376209441230374</v>
      </c>
      <c r="P1818" s="1">
        <f t="shared" si="176"/>
        <v>4.7899573814615684</v>
      </c>
      <c r="R1818" s="3">
        <f t="shared" si="171"/>
        <v>0.1162359572212234</v>
      </c>
      <c r="S1818" s="3">
        <f t="shared" si="172"/>
        <v>-1.4954896195724214</v>
      </c>
    </row>
    <row r="1819" spans="6:19" x14ac:dyDescent="0.2">
      <c r="F1819" s="3"/>
      <c r="G1819" s="3"/>
      <c r="H1819" s="3"/>
      <c r="M1819" s="1">
        <f t="shared" si="173"/>
        <v>54.510000000001305</v>
      </c>
      <c r="N1819" s="1">
        <f t="shared" si="174"/>
        <v>-1.0999209837151267</v>
      </c>
      <c r="O1819" s="1">
        <f t="shared" si="175"/>
        <v>-0.72675972392375754</v>
      </c>
      <c r="P1819" s="1">
        <f t="shared" si="176"/>
        <v>4.7681545897438555</v>
      </c>
      <c r="R1819" s="3">
        <f t="shared" si="171"/>
        <v>8.3605065762097641E-2</v>
      </c>
      <c r="S1819" s="3">
        <f t="shared" si="172"/>
        <v>-1.4976682519766902</v>
      </c>
    </row>
    <row r="1820" spans="6:19" x14ac:dyDescent="0.2">
      <c r="F1820" s="3"/>
      <c r="G1820" s="3"/>
      <c r="H1820" s="3"/>
      <c r="M1820" s="1">
        <f t="shared" si="173"/>
        <v>54.540000000001307</v>
      </c>
      <c r="N1820" s="1">
        <f t="shared" si="174"/>
        <v>-0.77064228246783839</v>
      </c>
      <c r="O1820" s="1">
        <f t="shared" si="175"/>
        <v>-0.74987899239779265</v>
      </c>
      <c r="P1820" s="1">
        <f t="shared" si="176"/>
        <v>4.7456582199719222</v>
      </c>
      <c r="R1820" s="3">
        <f t="shared" si="171"/>
        <v>4.9894653939873246E-2</v>
      </c>
      <c r="S1820" s="3">
        <f t="shared" si="172"/>
        <v>-1.4991699448388833</v>
      </c>
    </row>
    <row r="1821" spans="6:19" x14ac:dyDescent="0.2">
      <c r="F1821" s="3"/>
      <c r="G1821" s="3"/>
      <c r="H1821" s="3"/>
      <c r="M1821" s="1">
        <f t="shared" si="173"/>
        <v>54.570000000001308</v>
      </c>
      <c r="N1821" s="1">
        <f t="shared" si="174"/>
        <v>-0.43145743008293114</v>
      </c>
      <c r="O1821" s="1">
        <f t="shared" si="175"/>
        <v>-0.76282271530028056</v>
      </c>
      <c r="P1821" s="1">
        <f t="shared" si="176"/>
        <v>4.7227735385129135</v>
      </c>
      <c r="R1821" s="3">
        <f t="shared" si="171"/>
        <v>1.557655722863063E-2</v>
      </c>
      <c r="S1821" s="3">
        <f t="shared" si="172"/>
        <v>-1.4999191214411873</v>
      </c>
    </row>
    <row r="1822" spans="6:19" x14ac:dyDescent="0.2">
      <c r="F1822" s="3"/>
      <c r="G1822" s="3"/>
      <c r="H1822" s="3"/>
      <c r="M1822" s="1">
        <f t="shared" si="173"/>
        <v>54.600000000001309</v>
      </c>
      <c r="N1822" s="1">
        <f t="shared" si="174"/>
        <v>-8.7111527909281061E-2</v>
      </c>
      <c r="O1822" s="1">
        <f t="shared" si="175"/>
        <v>-0.76543606113755902</v>
      </c>
      <c r="P1822" s="1">
        <f t="shared" si="176"/>
        <v>4.6998104566787866</v>
      </c>
      <c r="R1822" s="3">
        <f t="shared" si="171"/>
        <v>-1.8867288021617072E-2</v>
      </c>
      <c r="S1822" s="3">
        <f t="shared" si="172"/>
        <v>-1.4998813371206101</v>
      </c>
    </row>
    <row r="1823" spans="6:19" x14ac:dyDescent="0.2">
      <c r="F1823" s="3"/>
      <c r="G1823" s="3"/>
      <c r="H1823" s="3"/>
      <c r="M1823" s="1">
        <f t="shared" si="173"/>
        <v>54.63000000000131</v>
      </c>
      <c r="N1823" s="1">
        <f t="shared" si="174"/>
        <v>0.25756212571855103</v>
      </c>
      <c r="O1823" s="1">
        <f t="shared" si="175"/>
        <v>-0.75770919736600251</v>
      </c>
      <c r="P1823" s="1">
        <f t="shared" si="176"/>
        <v>4.6770791807578069</v>
      </c>
      <c r="R1823" s="3">
        <f t="shared" si="171"/>
        <v>-5.2953694221196723E-2</v>
      </c>
      <c r="S1823" s="3">
        <f t="shared" si="172"/>
        <v>-1.4990650106877714</v>
      </c>
    </row>
    <row r="1824" spans="6:19" x14ac:dyDescent="0.2">
      <c r="F1824" s="3"/>
      <c r="G1824" s="3"/>
      <c r="H1824" s="3"/>
      <c r="M1824" s="1">
        <f t="shared" si="173"/>
        <v>54.660000000001311</v>
      </c>
      <c r="N1824" s="1">
        <f t="shared" si="174"/>
        <v>0.59773076997490748</v>
      </c>
      <c r="O1824" s="1">
        <f t="shared" si="175"/>
        <v>-0.73977727426675532</v>
      </c>
      <c r="P1824" s="1">
        <f t="shared" si="176"/>
        <v>4.6548858625298042</v>
      </c>
      <c r="R1824" s="3">
        <f t="shared" si="171"/>
        <v>-8.620714956522918E-2</v>
      </c>
      <c r="S1824" s="3">
        <f t="shared" si="172"/>
        <v>-1.4975207268561721</v>
      </c>
    </row>
    <row r="1825" spans="6:19" x14ac:dyDescent="0.2">
      <c r="F1825" s="3"/>
      <c r="G1825" s="3"/>
      <c r="H1825" s="3"/>
      <c r="M1825" s="1">
        <f t="shared" si="173"/>
        <v>54.690000000001312</v>
      </c>
      <c r="N1825" s="1">
        <f t="shared" si="174"/>
        <v>0.92865145033629981</v>
      </c>
      <c r="O1825" s="1">
        <f t="shared" si="175"/>
        <v>-0.71191773075666631</v>
      </c>
      <c r="P1825" s="1">
        <f t="shared" si="176"/>
        <v>4.6335283306071045</v>
      </c>
      <c r="R1825" s="3">
        <f t="shared" si="171"/>
        <v>-0.11816840414958643</v>
      </c>
      <c r="S1825" s="3">
        <f t="shared" si="172"/>
        <v>-1.4953381651856346</v>
      </c>
    </row>
    <row r="1826" spans="6:19" x14ac:dyDescent="0.2">
      <c r="F1826" s="3"/>
      <c r="G1826" s="3"/>
      <c r="H1826" s="3"/>
      <c r="M1826" s="1">
        <f t="shared" si="173"/>
        <v>54.720000000001313</v>
      </c>
      <c r="N1826" s="1">
        <f t="shared" si="174"/>
        <v>1.2457566372639644</v>
      </c>
      <c r="O1826" s="1">
        <f t="shared" si="175"/>
        <v>-0.67454503163874735</v>
      </c>
      <c r="P1826" s="1">
        <f t="shared" si="176"/>
        <v>4.6132919796579417</v>
      </c>
      <c r="R1826" s="3">
        <f t="shared" si="171"/>
        <v>-0.14840233204251044</v>
      </c>
      <c r="S1826" s="3">
        <f t="shared" si="172"/>
        <v>-1.4926408636521862</v>
      </c>
    </row>
    <row r="1827" spans="6:19" x14ac:dyDescent="0.2">
      <c r="F1827" s="3"/>
      <c r="G1827" s="3"/>
      <c r="H1827" s="3"/>
      <c r="M1827" s="1">
        <f t="shared" si="173"/>
        <v>54.750000000001315</v>
      </c>
      <c r="N1827" s="1">
        <f t="shared" si="174"/>
        <v>1.5447323732725915</v>
      </c>
      <c r="O1827" s="1">
        <f t="shared" si="175"/>
        <v>-0.62820306044056962</v>
      </c>
      <c r="P1827" s="1">
        <f t="shared" si="176"/>
        <v>4.5944458878447243</v>
      </c>
      <c r="R1827" s="3">
        <f t="shared" si="171"/>
        <v>-0.17650475999434417</v>
      </c>
      <c r="S1827" s="3">
        <f t="shared" si="172"/>
        <v>-1.4895791585878673</v>
      </c>
    </row>
    <row r="1828" spans="6:19" x14ac:dyDescent="0.2">
      <c r="F1828" s="3"/>
      <c r="G1828" s="3"/>
      <c r="H1828" s="3"/>
      <c r="M1828" s="1">
        <f t="shared" si="173"/>
        <v>54.780000000001316</v>
      </c>
      <c r="N1828" s="1">
        <f t="shared" si="174"/>
        <v>1.8215858753830929</v>
      </c>
      <c r="O1828" s="1">
        <f t="shared" si="175"/>
        <v>-0.57355548417907687</v>
      </c>
      <c r="P1828" s="1">
        <f t="shared" si="176"/>
        <v>4.577239223319352</v>
      </c>
      <c r="R1828" s="3">
        <f t="shared" si="171"/>
        <v>-0.20210805595943065</v>
      </c>
      <c r="S1828" s="3">
        <f t="shared" si="172"/>
        <v>-1.486321746364595</v>
      </c>
    </row>
    <row r="1829" spans="6:19" x14ac:dyDescent="0.2">
      <c r="F1829" s="3"/>
      <c r="G1829" s="3"/>
      <c r="H1829" s="3"/>
      <c r="M1829" s="1">
        <f t="shared" si="173"/>
        <v>54.810000000001317</v>
      </c>
      <c r="N1829" s="1">
        <f t="shared" si="174"/>
        <v>2.0727005531704235</v>
      </c>
      <c r="O1829" s="1">
        <f t="shared" si="175"/>
        <v>-0.51137446758396421</v>
      </c>
      <c r="P1829" s="1">
        <f t="shared" si="176"/>
        <v>4.5618979892918334</v>
      </c>
      <c r="R1829" s="3">
        <f t="shared" si="171"/>
        <v>-0.22488538835031108</v>
      </c>
      <c r="S1829" s="3">
        <f t="shared" si="172"/>
        <v>-1.4830463789465687</v>
      </c>
    </row>
    <row r="1830" spans="6:19" x14ac:dyDescent="0.2">
      <c r="F1830" s="3"/>
      <c r="G1830" s="3"/>
      <c r="H1830" s="3"/>
      <c r="M1830" s="1">
        <f t="shared" si="173"/>
        <v>54.840000000001318</v>
      </c>
      <c r="N1830" s="1">
        <f t="shared" si="174"/>
        <v>2.2948775855856676</v>
      </c>
      <c r="O1830" s="1">
        <f t="shared" si="175"/>
        <v>-0.44252814001639418</v>
      </c>
      <c r="P1830" s="1">
        <f t="shared" si="176"/>
        <v>4.5486221450913416</v>
      </c>
      <c r="R1830" s="3">
        <f t="shared" si="171"/>
        <v>-0.24455368516218723</v>
      </c>
      <c r="S1830" s="3">
        <f t="shared" si="172"/>
        <v>-1.4799302331777651</v>
      </c>
    </row>
    <row r="1831" spans="6:19" x14ac:dyDescent="0.2">
      <c r="F1831" s="3"/>
      <c r="G1831" s="3"/>
      <c r="H1831" s="3"/>
      <c r="M1831" s="1">
        <f t="shared" si="173"/>
        <v>54.870000000001319</v>
      </c>
      <c r="N1831" s="1">
        <f t="shared" si="174"/>
        <v>2.4853643842233479</v>
      </c>
      <c r="O1831" s="1">
        <f t="shared" si="175"/>
        <v>-0.36796720848969378</v>
      </c>
      <c r="P1831" s="1">
        <f t="shared" si="176"/>
        <v>4.5375831288366504</v>
      </c>
      <c r="R1831" s="3">
        <f t="shared" si="171"/>
        <v>-0.26087542677042164</v>
      </c>
      <c r="S1831" s="3">
        <f t="shared" si="172"/>
        <v>-1.4771404847567311</v>
      </c>
    </row>
    <row r="1832" spans="6:19" x14ac:dyDescent="0.2">
      <c r="F1832" s="3"/>
      <c r="G1832" s="3"/>
      <c r="H1832" s="3"/>
      <c r="M1832" s="1">
        <f t="shared" si="173"/>
        <v>54.90000000000132</v>
      </c>
      <c r="N1832" s="1">
        <f t="shared" si="174"/>
        <v>2.641871316468289</v>
      </c>
      <c r="O1832" s="1">
        <f t="shared" si="175"/>
        <v>-0.28871106899564514</v>
      </c>
      <c r="P1832" s="1">
        <f t="shared" si="176"/>
        <v>4.528921796766781</v>
      </c>
      <c r="R1832" s="3">
        <f t="shared" si="171"/>
        <v>-0.27365948585545319</v>
      </c>
      <c r="S1832" s="3">
        <f t="shared" si="172"/>
        <v>-1.4748255780943484</v>
      </c>
    </row>
    <row r="1833" spans="6:19" x14ac:dyDescent="0.2">
      <c r="F1833" s="3"/>
      <c r="G1833" s="3"/>
      <c r="H1833" s="3"/>
      <c r="M1833" s="1">
        <f t="shared" si="173"/>
        <v>54.930000000001321</v>
      </c>
      <c r="N1833" s="1">
        <f t="shared" si="174"/>
        <v>2.7625788547641403</v>
      </c>
      <c r="O1833" s="1">
        <f t="shared" si="175"/>
        <v>-0.20583370335272094</v>
      </c>
      <c r="P1833" s="1">
        <f t="shared" si="176"/>
        <v>4.5227467856661994</v>
      </c>
      <c r="R1833" s="3">
        <f t="shared" si="171"/>
        <v>-0.28276127488937136</v>
      </c>
      <c r="S1833" s="3">
        <f t="shared" si="172"/>
        <v>-1.4731076204483289</v>
      </c>
    </row>
    <row r="1834" spans="6:19" x14ac:dyDescent="0.2">
      <c r="F1834" s="3"/>
      <c r="G1834" s="3"/>
      <c r="H1834" s="3"/>
      <c r="M1834" s="1">
        <f t="shared" si="173"/>
        <v>54.960000000001322</v>
      </c>
      <c r="N1834" s="1">
        <f t="shared" si="174"/>
        <v>2.8461377821954583</v>
      </c>
      <c r="O1834" s="1">
        <f t="shared" si="175"/>
        <v>-0.12044956988685719</v>
      </c>
      <c r="P1834" s="1">
        <f t="shared" si="176"/>
        <v>4.519133298569594</v>
      </c>
      <c r="R1834" s="3">
        <f t="shared" si="171"/>
        <v>-0.28808247263783482</v>
      </c>
      <c r="S1834" s="3">
        <f t="shared" si="172"/>
        <v>-1.4720762510681542</v>
      </c>
    </row>
    <row r="1835" spans="6:19" x14ac:dyDescent="0.2">
      <c r="F1835" s="3"/>
      <c r="G1835" s="3"/>
      <c r="H1835" s="3"/>
      <c r="M1835" s="1">
        <f t="shared" si="173"/>
        <v>54.990000000001324</v>
      </c>
      <c r="N1835" s="1">
        <f t="shared" si="174"/>
        <v>2.8916651876681656</v>
      </c>
      <c r="O1835" s="1">
        <f t="shared" si="175"/>
        <v>-3.3699614256812227E-2</v>
      </c>
      <c r="P1835" s="1">
        <f t="shared" si="176"/>
        <v>4.5181223101418899</v>
      </c>
      <c r="R1835" s="3">
        <f t="shared" si="171"/>
        <v>-0.28957057721465007</v>
      </c>
      <c r="S1835" s="3">
        <f t="shared" si="172"/>
        <v>-1.4717842507689687</v>
      </c>
    </row>
    <row r="1836" spans="6:19" x14ac:dyDescent="0.2">
      <c r="F1836" s="3"/>
      <c r="G1836" s="3"/>
      <c r="H1836" s="3"/>
      <c r="M1836" s="1">
        <f t="shared" si="173"/>
        <v>55.020000000001325</v>
      </c>
      <c r="N1836" s="1">
        <f t="shared" si="174"/>
        <v>2.8987387374296141</v>
      </c>
      <c r="O1836" s="1">
        <f t="shared" si="175"/>
        <v>5.326254786607619E-2</v>
      </c>
      <c r="P1836" s="1">
        <f t="shared" si="176"/>
        <v>4.5197201865778718</v>
      </c>
      <c r="R1836" s="3">
        <f t="shared" si="171"/>
        <v>-0.28721847917520138</v>
      </c>
      <c r="S1836" s="3">
        <f t="shared" si="172"/>
        <v>-1.4722450696878846</v>
      </c>
    </row>
    <row r="1837" spans="6:19" x14ac:dyDescent="0.2">
      <c r="F1837" s="3"/>
      <c r="G1837" s="3"/>
      <c r="H1837" s="3"/>
      <c r="M1837" s="1">
        <f t="shared" si="173"/>
        <v>55.050000000001326</v>
      </c>
      <c r="N1837" s="1">
        <f t="shared" si="174"/>
        <v>2.8673911624440671</v>
      </c>
      <c r="O1837" s="1">
        <f t="shared" si="175"/>
        <v>0.13928428273939819</v>
      </c>
      <c r="P1837" s="1">
        <f t="shared" si="176"/>
        <v>4.5238987150600538</v>
      </c>
      <c r="R1837" s="3">
        <f t="shared" si="171"/>
        <v>-0.28106417169256043</v>
      </c>
      <c r="S1837" s="3">
        <f t="shared" si="172"/>
        <v>-1.4734323640366989</v>
      </c>
    </row>
    <row r="1838" spans="6:19" x14ac:dyDescent="0.2">
      <c r="F1838" s="3"/>
      <c r="G1838" s="3"/>
      <c r="H1838" s="3"/>
      <c r="M1838" s="1">
        <f t="shared" si="173"/>
        <v>55.080000000001327</v>
      </c>
      <c r="N1838" s="1">
        <f t="shared" si="174"/>
        <v>2.798106131479059</v>
      </c>
      <c r="O1838" s="1">
        <f t="shared" si="175"/>
        <v>0.22322746668376997</v>
      </c>
      <c r="P1838" s="1">
        <f t="shared" si="176"/>
        <v>4.5305955390605668</v>
      </c>
      <c r="R1838" s="3">
        <f t="shared" si="171"/>
        <v>-0.27119062574540975</v>
      </c>
      <c r="S1838" s="3">
        <f t="shared" si="172"/>
        <v>-1.4752815475385752</v>
      </c>
    </row>
    <row r="1839" spans="6:19" x14ac:dyDescent="0.2">
      <c r="F1839" s="3"/>
      <c r="G1839" s="3"/>
      <c r="H1839" s="3"/>
      <c r="M1839" s="1">
        <f t="shared" si="173"/>
        <v>55.110000000001328</v>
      </c>
      <c r="N1839" s="1">
        <f t="shared" si="174"/>
        <v>2.6918157854525582</v>
      </c>
      <c r="O1839" s="1">
        <f t="shared" si="175"/>
        <v>0.3039819402473467</v>
      </c>
      <c r="P1839" s="1">
        <f t="shared" si="176"/>
        <v>4.5397149972679873</v>
      </c>
      <c r="R1839" s="3">
        <f t="shared" si="171"/>
        <v>-0.25772576716635248</v>
      </c>
      <c r="S1839" s="3">
        <f t="shared" si="172"/>
        <v>-1.4776932797229996</v>
      </c>
    </row>
    <row r="1840" spans="6:19" x14ac:dyDescent="0.2">
      <c r="F1840" s="3"/>
      <c r="G1840" s="3"/>
      <c r="H1840" s="3"/>
      <c r="M1840" s="1">
        <f t="shared" si="173"/>
        <v>55.140000000001329</v>
      </c>
      <c r="N1840" s="1">
        <f t="shared" si="174"/>
        <v>2.5498992970412639</v>
      </c>
      <c r="O1840" s="1">
        <f t="shared" si="175"/>
        <v>0.38047891915858462</v>
      </c>
      <c r="P1840" s="1">
        <f t="shared" si="176"/>
        <v>4.5511293648427449</v>
      </c>
      <c r="R1840" s="3">
        <f t="shared" si="171"/>
        <v>-0.24084241008805593</v>
      </c>
      <c r="S1840" s="3">
        <f t="shared" si="172"/>
        <v>-1.4805387308351567</v>
      </c>
    </row>
    <row r="1841" spans="6:19" x14ac:dyDescent="0.2">
      <c r="F1841" s="3"/>
      <c r="G1841" s="3"/>
      <c r="H1841" s="3"/>
      <c r="M1841" s="1">
        <f t="shared" si="173"/>
        <v>55.17000000000133</v>
      </c>
      <c r="N1841" s="1">
        <f t="shared" si="174"/>
        <v>2.3741809981562865</v>
      </c>
      <c r="O1841" s="1">
        <f t="shared" si="175"/>
        <v>0.45170434910327323</v>
      </c>
      <c r="P1841" s="1">
        <f t="shared" si="176"/>
        <v>4.5646804953158435</v>
      </c>
      <c r="R1841" s="3">
        <f t="shared" si="171"/>
        <v>-0.22075793762292661</v>
      </c>
      <c r="S1841" s="3">
        <f t="shared" si="172"/>
        <v>-1.483666381966132</v>
      </c>
    </row>
    <row r="1842" spans="6:19" x14ac:dyDescent="0.2">
      <c r="F1842" s="3"/>
      <c r="G1842" s="3"/>
      <c r="H1842" s="3"/>
      <c r="M1842" s="1">
        <f t="shared" si="173"/>
        <v>55.200000000001332</v>
      </c>
      <c r="N1842" s="1">
        <f t="shared" si="174"/>
        <v>2.1669259848099718</v>
      </c>
      <c r="O1842" s="1">
        <f t="shared" si="175"/>
        <v>0.51671212864757243</v>
      </c>
      <c r="P1842" s="1">
        <f t="shared" si="176"/>
        <v>4.580181859175271</v>
      </c>
      <c r="R1842" s="3">
        <f t="shared" si="171"/>
        <v>-0.19773348357031734</v>
      </c>
      <c r="S1842" s="3">
        <f t="shared" si="172"/>
        <v>-1.486910040814557</v>
      </c>
    </row>
    <row r="1843" spans="6:19" x14ac:dyDescent="0.2">
      <c r="F1843" s="3"/>
      <c r="G1843" s="3"/>
      <c r="H1843" s="3"/>
      <c r="M1843" s="1">
        <f t="shared" si="173"/>
        <v>55.230000000001333</v>
      </c>
      <c r="N1843" s="1">
        <f t="shared" si="174"/>
        <v>1.9308307441248918</v>
      </c>
      <c r="O1843" s="1">
        <f t="shared" si="175"/>
        <v>0.57463705097131923</v>
      </c>
      <c r="P1843" s="1">
        <f t="shared" si="176"/>
        <v>4.5974209707044107</v>
      </c>
      <c r="R1843" s="3">
        <f t="shared" si="171"/>
        <v>-0.17207236397729286</v>
      </c>
      <c r="S1843" s="3">
        <f t="shared" si="172"/>
        <v>-1.4900976818837302</v>
      </c>
    </row>
    <row r="1844" spans="6:19" x14ac:dyDescent="0.2">
      <c r="F1844" s="3"/>
      <c r="G1844" s="3"/>
      <c r="H1844" s="3"/>
      <c r="M1844" s="1">
        <f t="shared" si="173"/>
        <v>55.260000000001334</v>
      </c>
      <c r="N1844" s="1">
        <f t="shared" si="174"/>
        <v>1.6690063051855102</v>
      </c>
      <c r="O1844" s="1">
        <f t="shared" si="175"/>
        <v>0.6247072401268845</v>
      </c>
      <c r="P1844" s="1">
        <f t="shared" si="176"/>
        <v>4.6161621879082171</v>
      </c>
      <c r="R1844" s="3">
        <f t="shared" si="171"/>
        <v>-0.14411753652735165</v>
      </c>
      <c r="S1844" s="3">
        <f t="shared" si="172"/>
        <v>-1.4930606604104495</v>
      </c>
    </row>
    <row r="1845" spans="6:19" x14ac:dyDescent="0.2">
      <c r="F1845" s="3"/>
      <c r="G1845" s="3"/>
      <c r="H1845" s="3"/>
      <c r="M1845" s="1">
        <f t="shared" si="173"/>
        <v>55.290000000001335</v>
      </c>
      <c r="N1845" s="1">
        <f t="shared" si="174"/>
        <v>1.3849517136620968</v>
      </c>
      <c r="O1845" s="1">
        <f t="shared" si="175"/>
        <v>0.66625579153674741</v>
      </c>
      <c r="P1845" s="1">
        <f t="shared" si="176"/>
        <v>4.6361498616543191</v>
      </c>
      <c r="R1845" s="3">
        <f t="shared" si="171"/>
        <v>-0.11424792716201977</v>
      </c>
      <c r="S1845" s="3">
        <f t="shared" si="172"/>
        <v>-1.495642808674311</v>
      </c>
    </row>
    <row r="1846" spans="6:19" x14ac:dyDescent="0.2">
      <c r="F1846" s="3"/>
      <c r="G1846" s="3"/>
      <c r="H1846" s="3"/>
      <c r="M1846" s="1">
        <f t="shared" si="173"/>
        <v>55.320000000001336</v>
      </c>
      <c r="N1846" s="1">
        <f t="shared" si="174"/>
        <v>1.0825162503818904</v>
      </c>
      <c r="O1846" s="1">
        <f t="shared" si="175"/>
        <v>0.69873127904820409</v>
      </c>
      <c r="P1846" s="1">
        <f t="shared" si="176"/>
        <v>4.6571118000257652</v>
      </c>
      <c r="R1846" s="3">
        <f t="shared" si="171"/>
        <v>-8.2873551211644164E-2</v>
      </c>
      <c r="S1846" s="3">
        <f t="shared" si="172"/>
        <v>-1.4977089084697237</v>
      </c>
    </row>
    <row r="1847" spans="6:19" x14ac:dyDescent="0.2">
      <c r="F1847" s="3"/>
      <c r="G1847" s="3"/>
      <c r="H1847" s="3"/>
      <c r="M1847" s="1">
        <f t="shared" si="173"/>
        <v>55.350000000001337</v>
      </c>
      <c r="N1847" s="1">
        <f t="shared" si="174"/>
        <v>0.76584969700210337</v>
      </c>
      <c r="O1847" s="1">
        <f t="shared" si="175"/>
        <v>0.72170676995826721</v>
      </c>
      <c r="P1847" s="1">
        <f t="shared" si="176"/>
        <v>4.6787630031245131</v>
      </c>
      <c r="R1847" s="3">
        <f t="shared" si="171"/>
        <v>-5.0429461151158955E-2</v>
      </c>
      <c r="S1847" s="3">
        <f t="shared" si="172"/>
        <v>-1.4991520501430147</v>
      </c>
    </row>
    <row r="1848" spans="6:19" x14ac:dyDescent="0.2">
      <c r="F1848" s="3"/>
      <c r="G1848" s="3"/>
      <c r="H1848" s="3"/>
      <c r="M1848" s="1">
        <f t="shared" si="173"/>
        <v>55.380000000001338</v>
      </c>
      <c r="N1848" s="1">
        <f t="shared" si="174"/>
        <v>0.43934100221534556</v>
      </c>
      <c r="O1848" s="1">
        <f t="shared" si="175"/>
        <v>0.73488700002472762</v>
      </c>
      <c r="P1848" s="1">
        <f t="shared" si="176"/>
        <v>4.700809613125255</v>
      </c>
      <c r="R1848" s="3">
        <f t="shared" si="171"/>
        <v>-1.7368662746309098E-2</v>
      </c>
      <c r="S1848" s="3">
        <f t="shared" si="172"/>
        <v>-1.499899439814018</v>
      </c>
    </row>
    <row r="1849" spans="6:19" x14ac:dyDescent="0.2">
      <c r="F1849" s="3"/>
      <c r="G1849" s="3"/>
      <c r="H1849" s="3"/>
      <c r="M1849" s="1">
        <f t="shared" si="173"/>
        <v>55.41000000000134</v>
      </c>
      <c r="N1849" s="1">
        <f t="shared" si="174"/>
        <v>0.10754679746086548</v>
      </c>
      <c r="O1849" s="1">
        <f t="shared" si="175"/>
        <v>0.73811340394855363</v>
      </c>
      <c r="P1849" s="1">
        <f t="shared" si="176"/>
        <v>4.7229530152437116</v>
      </c>
      <c r="R1849" s="3">
        <f t="shared" si="171"/>
        <v>1.5845757556687982E-2</v>
      </c>
      <c r="S1849" s="3">
        <f t="shared" si="172"/>
        <v>-1.4999163016540138</v>
      </c>
    </row>
    <row r="1850" spans="6:19" x14ac:dyDescent="0.2">
      <c r="F1850" s="3"/>
      <c r="G1850" s="3"/>
      <c r="H1850" s="3"/>
      <c r="M1850" s="1">
        <f t="shared" si="173"/>
        <v>55.440000000001341</v>
      </c>
      <c r="N1850" s="1">
        <f t="shared" si="174"/>
        <v>-0.22488778192224967</v>
      </c>
      <c r="O1850" s="1">
        <f t="shared" si="175"/>
        <v>0.73136677049088616</v>
      </c>
      <c r="P1850" s="1">
        <f t="shared" si="176"/>
        <v>4.7448940183584378</v>
      </c>
      <c r="R1850" s="3">
        <f t="shared" si="171"/>
        <v>4.8748971391311943E-2</v>
      </c>
      <c r="S1850" s="3">
        <f t="shared" si="172"/>
        <v>-1.4992076366495366</v>
      </c>
    </row>
    <row r="1851" spans="6:19" x14ac:dyDescent="0.2">
      <c r="F1851" s="3"/>
      <c r="G1851" s="3"/>
      <c r="H1851" s="3"/>
      <c r="M1851" s="1">
        <f t="shared" si="173"/>
        <v>55.470000000001342</v>
      </c>
      <c r="N1851" s="1">
        <f t="shared" si="174"/>
        <v>-0.55331272325729919</v>
      </c>
      <c r="O1851" s="1">
        <f t="shared" si="175"/>
        <v>0.71476738879316715</v>
      </c>
      <c r="P1851" s="1">
        <f t="shared" si="176"/>
        <v>4.7663370400222327</v>
      </c>
      <c r="R1851" s="3">
        <f t="shared" si="171"/>
        <v>8.0882842652277825E-2</v>
      </c>
      <c r="S1851" s="3">
        <f t="shared" si="172"/>
        <v>-1.4978177344939159</v>
      </c>
    </row>
    <row r="1852" spans="6:19" x14ac:dyDescent="0.2">
      <c r="F1852" s="3"/>
      <c r="G1852" s="3"/>
      <c r="H1852" s="3"/>
      <c r="M1852" s="1">
        <f t="shared" si="173"/>
        <v>55.500000000001343</v>
      </c>
      <c r="N1852" s="1">
        <f t="shared" si="174"/>
        <v>-0.87315749151416333</v>
      </c>
      <c r="O1852" s="1">
        <f t="shared" si="175"/>
        <v>0.6885726640477422</v>
      </c>
      <c r="P1852" s="1">
        <f t="shared" si="176"/>
        <v>4.786994219943665</v>
      </c>
      <c r="R1852" s="3">
        <f t="shared" si="171"/>
        <v>0.11180407612046686</v>
      </c>
      <c r="S1852" s="3">
        <f t="shared" si="172"/>
        <v>-1.4958274795453015</v>
      </c>
    </row>
    <row r="1853" spans="6:19" x14ac:dyDescent="0.2">
      <c r="F1853" s="3"/>
      <c r="G1853" s="3"/>
      <c r="H1853" s="3"/>
      <c r="M1853" s="1">
        <f t="shared" si="173"/>
        <v>55.530000000001344</v>
      </c>
      <c r="N1853" s="1">
        <f t="shared" si="174"/>
        <v>-1.1800123009689654</v>
      </c>
      <c r="O1853" s="1">
        <f t="shared" si="175"/>
        <v>0.65317229501867324</v>
      </c>
      <c r="P1853" s="1">
        <f t="shared" si="176"/>
        <v>4.806589388794225</v>
      </c>
      <c r="R1853" s="3">
        <f t="shared" si="171"/>
        <v>0.14109172837475492</v>
      </c>
      <c r="S1853" s="3">
        <f t="shared" si="172"/>
        <v>-1.493349632264402</v>
      </c>
    </row>
    <row r="1854" spans="6:19" x14ac:dyDescent="0.2">
      <c r="F1854" s="3"/>
      <c r="G1854" s="3"/>
      <c r="H1854" s="3"/>
      <c r="M1854" s="1">
        <f t="shared" si="173"/>
        <v>55.560000000001345</v>
      </c>
      <c r="N1854" s="1">
        <f t="shared" si="174"/>
        <v>-1.4697027902992297</v>
      </c>
      <c r="O1854" s="1">
        <f t="shared" si="175"/>
        <v>0.60908121130969639</v>
      </c>
      <c r="P1854" s="1">
        <f t="shared" si="176"/>
        <v>4.8248618251335156</v>
      </c>
      <c r="R1854" s="3">
        <f t="shared" si="171"/>
        <v>0.16835379270709011</v>
      </c>
      <c r="S1854" s="3">
        <f t="shared" si="172"/>
        <v>-1.4905223918080326</v>
      </c>
    </row>
    <row r="1855" spans="6:19" x14ac:dyDescent="0.2">
      <c r="F1855" s="3"/>
      <c r="G1855" s="3"/>
      <c r="H1855" s="3"/>
      <c r="M1855" s="1">
        <f t="shared" si="173"/>
        <v>55.590000000001346</v>
      </c>
      <c r="N1855" s="1">
        <f t="shared" si="174"/>
        <v>-1.7383552360887737</v>
      </c>
      <c r="O1855" s="1">
        <f t="shared" si="175"/>
        <v>0.55693055422703319</v>
      </c>
      <c r="P1855" s="1">
        <f t="shared" si="176"/>
        <v>4.8415697417603267</v>
      </c>
      <c r="R1855" s="3">
        <f t="shared" si="171"/>
        <v>0.1932326601100246</v>
      </c>
      <c r="S1855" s="3">
        <f t="shared" si="172"/>
        <v>-1.4875016433828918</v>
      </c>
    </row>
    <row r="1856" spans="6:19" x14ac:dyDescent="0.2">
      <c r="F1856" s="3"/>
      <c r="G1856" s="3"/>
      <c r="H1856" s="3"/>
      <c r="M1856" s="1">
        <f t="shared" si="173"/>
        <v>55.620000000001347</v>
      </c>
      <c r="N1856" s="1">
        <f t="shared" si="174"/>
        <v>-1.9824503509806792</v>
      </c>
      <c r="O1856" s="1">
        <f t="shared" si="175"/>
        <v>0.49745704369761279</v>
      </c>
      <c r="P1856" s="1">
        <f t="shared" si="176"/>
        <v>4.8564934530712547</v>
      </c>
      <c r="R1856" s="3">
        <f t="shared" si="171"/>
        <v>0.215409363486331</v>
      </c>
      <c r="S1856" s="3">
        <f t="shared" si="172"/>
        <v>-1.4844523589938525</v>
      </c>
    </row>
    <row r="1857" spans="6:19" x14ac:dyDescent="0.2">
      <c r="F1857" s="3"/>
      <c r="G1857" s="3"/>
      <c r="H1857" s="3"/>
      <c r="M1857" s="1">
        <f t="shared" si="173"/>
        <v>55.650000000001349</v>
      </c>
      <c r="N1857" s="1">
        <f t="shared" si="174"/>
        <v>-2.1988647687960952</v>
      </c>
      <c r="O1857" s="1">
        <f t="shared" si="175"/>
        <v>0.43149110063372992</v>
      </c>
      <c r="P1857" s="1">
        <f t="shared" si="176"/>
        <v>4.8694381860902665</v>
      </c>
      <c r="R1857" s="3">
        <f t="shared" si="171"/>
        <v>0.23460661890067261</v>
      </c>
      <c r="S1857" s="3">
        <f t="shared" si="172"/>
        <v>-1.481539649947984</v>
      </c>
    </row>
    <row r="1858" spans="6:19" x14ac:dyDescent="0.2">
      <c r="F1858" s="3"/>
      <c r="G1858" s="3"/>
      <c r="H1858" s="3"/>
      <c r="M1858" s="1">
        <f t="shared" si="173"/>
        <v>55.68000000000135</v>
      </c>
      <c r="N1858" s="1">
        <f t="shared" si="174"/>
        <v>-2.384900388063762</v>
      </c>
      <c r="O1858" s="1">
        <f t="shared" si="175"/>
        <v>0.35994408899181707</v>
      </c>
      <c r="P1858" s="1">
        <f t="shared" si="176"/>
        <v>4.8802365087600208</v>
      </c>
      <c r="R1858" s="3">
        <f t="shared" ref="R1858:R1921" si="177">$B$3*COS(P1858)</f>
        <v>0.25059077330785251</v>
      </c>
      <c r="S1858" s="3">
        <f t="shared" ref="S1858:S1921" si="178">$B$3*SIN(P1858)</f>
        <v>-1.4789199654927148</v>
      </c>
    </row>
    <row r="1859" spans="6:19" x14ac:dyDescent="0.2">
      <c r="F1859" s="3"/>
      <c r="G1859" s="3"/>
      <c r="H1859" s="3"/>
      <c r="M1859" s="1">
        <f t="shared" ref="M1859:M1922" si="179">M1858+B$13</f>
        <v>55.710000000001351</v>
      </c>
      <c r="N1859" s="1">
        <f t="shared" ref="N1859:N1922" si="180">-$B$12*$B$3*COS(P1858)-B$10*O1858</f>
        <v>-2.5383027010877885</v>
      </c>
      <c r="O1859" s="1">
        <f t="shared" ref="O1859:O1922" si="181">N1859*$B$13+O1858</f>
        <v>0.28379500795918344</v>
      </c>
      <c r="P1859" s="1">
        <f t="shared" ref="P1859:P1922" si="182">O1859*$B$13+P1858</f>
        <v>4.888750358998796</v>
      </c>
      <c r="R1859" s="3">
        <f t="shared" si="177"/>
        <v>0.26317284223278536</v>
      </c>
      <c r="S1859" s="3">
        <f t="shared" si="178"/>
        <v>-1.476732899041366</v>
      </c>
    </row>
    <row r="1860" spans="6:19" x14ac:dyDescent="0.2">
      <c r="F1860" s="3"/>
      <c r="G1860" s="3"/>
      <c r="H1860" s="3"/>
      <c r="M1860" s="1">
        <f t="shared" si="179"/>
        <v>55.740000000001352</v>
      </c>
      <c r="N1860" s="1">
        <f t="shared" si="180"/>
        <v>-2.6572699730441802</v>
      </c>
      <c r="O1860" s="1">
        <f t="shared" si="181"/>
        <v>0.20407690876785806</v>
      </c>
      <c r="P1860" s="1">
        <f t="shared" si="182"/>
        <v>4.8948726662618318</v>
      </c>
      <c r="R1860" s="3">
        <f t="shared" si="177"/>
        <v>0.27220886611421258</v>
      </c>
      <c r="S1860" s="3">
        <f t="shared" si="178"/>
        <v>-1.4750940082614445</v>
      </c>
    </row>
    <row r="1861" spans="6:19" x14ac:dyDescent="0.2">
      <c r="F1861" s="3"/>
      <c r="G1861" s="3"/>
      <c r="H1861" s="3"/>
      <c r="M1861" s="1">
        <f t="shared" si="179"/>
        <v>55.770000000001353</v>
      </c>
      <c r="N1861" s="1">
        <f t="shared" si="180"/>
        <v>-2.7404555829312325</v>
      </c>
      <c r="O1861" s="1">
        <f t="shared" si="181"/>
        <v>0.12186324127992108</v>
      </c>
      <c r="P1861" s="1">
        <f t="shared" si="182"/>
        <v>4.8985285635002294</v>
      </c>
      <c r="R1861" s="3">
        <f t="shared" si="177"/>
        <v>0.27759982709913972</v>
      </c>
      <c r="S1861" s="3">
        <f t="shared" si="178"/>
        <v>-1.4740889851004679</v>
      </c>
    </row>
    <row r="1862" spans="6:19" x14ac:dyDescent="0.2">
      <c r="F1862" s="3"/>
      <c r="G1862" s="3"/>
      <c r="H1862" s="3"/>
      <c r="M1862" s="1">
        <f t="shared" si="179"/>
        <v>55.800000000001354</v>
      </c>
      <c r="N1862" s="1">
        <f t="shared" si="180"/>
        <v>-2.7869659627065904</v>
      </c>
      <c r="O1862" s="1">
        <f t="shared" si="181"/>
        <v>3.8254262398723371E-2</v>
      </c>
      <c r="P1862" s="1">
        <f t="shared" si="182"/>
        <v>4.8996761913721913</v>
      </c>
      <c r="R1862" s="3">
        <f t="shared" si="177"/>
        <v>0.27929134952648088</v>
      </c>
      <c r="S1862" s="3">
        <f t="shared" si="178"/>
        <v>-1.4737694331474231</v>
      </c>
    </row>
    <row r="1863" spans="6:19" x14ac:dyDescent="0.2">
      <c r="F1863" s="3"/>
      <c r="G1863" s="3"/>
      <c r="H1863" s="3"/>
      <c r="M1863" s="1">
        <f t="shared" si="179"/>
        <v>55.830000000001355</v>
      </c>
      <c r="N1863" s="1">
        <f t="shared" si="180"/>
        <v>-2.7963563788806938</v>
      </c>
      <c r="O1863" s="1">
        <f t="shared" si="181"/>
        <v>-4.5636428967697443E-2</v>
      </c>
      <c r="P1863" s="1">
        <f t="shared" si="182"/>
        <v>4.8983070985031603</v>
      </c>
      <c r="R1863" s="3">
        <f t="shared" si="177"/>
        <v>0.27727336118135959</v>
      </c>
      <c r="S1863" s="3">
        <f t="shared" si="178"/>
        <v>-1.4741504275952273</v>
      </c>
    </row>
    <row r="1864" spans="6:19" x14ac:dyDescent="0.2">
      <c r="F1864" s="3"/>
      <c r="G1864" s="3"/>
      <c r="H1864" s="3"/>
      <c r="M1864" s="1">
        <f t="shared" si="179"/>
        <v>55.860000000001357</v>
      </c>
      <c r="N1864" s="1">
        <f t="shared" si="180"/>
        <v>-2.7686263332065026</v>
      </c>
      <c r="O1864" s="1">
        <f t="shared" si="181"/>
        <v>-0.12869521896389252</v>
      </c>
      <c r="P1864" s="1">
        <f t="shared" si="182"/>
        <v>4.8944462419342436</v>
      </c>
      <c r="R1864" s="3">
        <f t="shared" si="177"/>
        <v>0.27157982541375569</v>
      </c>
      <c r="S1864" s="3">
        <f t="shared" si="178"/>
        <v>-1.4752099506267689</v>
      </c>
    </row>
    <row r="1865" spans="6:19" x14ac:dyDescent="0.2">
      <c r="F1865" s="3"/>
      <c r="G1865" s="3"/>
      <c r="H1865" s="3"/>
      <c r="M1865" s="1">
        <f t="shared" si="179"/>
        <v>55.890000000001358</v>
      </c>
      <c r="N1865" s="1">
        <f t="shared" si="180"/>
        <v>-2.7042156844308067</v>
      </c>
      <c r="O1865" s="1">
        <f t="shared" si="181"/>
        <v>-0.20982168949681673</v>
      </c>
      <c r="P1865" s="1">
        <f t="shared" si="182"/>
        <v>4.888151591249339</v>
      </c>
      <c r="R1865" s="3">
        <f t="shared" si="177"/>
        <v>0.26228857507437969</v>
      </c>
      <c r="S1865" s="3">
        <f t="shared" si="178"/>
        <v>-1.4768902137211999</v>
      </c>
    </row>
    <row r="1866" spans="6:19" x14ac:dyDescent="0.2">
      <c r="F1866" s="3"/>
      <c r="G1866" s="3"/>
      <c r="H1866" s="3"/>
      <c r="M1866" s="1">
        <f t="shared" si="179"/>
        <v>55.920000000001359</v>
      </c>
      <c r="N1866" s="1">
        <f t="shared" si="180"/>
        <v>-2.6040017986890835</v>
      </c>
      <c r="O1866" s="1">
        <f t="shared" si="181"/>
        <v>-0.28794174345748924</v>
      </c>
      <c r="P1866" s="1">
        <f t="shared" si="182"/>
        <v>4.879513338945614</v>
      </c>
      <c r="R1866" s="3">
        <f t="shared" si="177"/>
        <v>0.24952119759780639</v>
      </c>
      <c r="S1866" s="3">
        <f t="shared" si="178"/>
        <v>-1.4791007984411868</v>
      </c>
    </row>
    <row r="1867" spans="6:19" x14ac:dyDescent="0.2">
      <c r="F1867" s="3"/>
      <c r="G1867" s="3"/>
      <c r="H1867" s="3"/>
      <c r="M1867" s="1">
        <f t="shared" si="179"/>
        <v>55.95000000000136</v>
      </c>
      <c r="N1867" s="1">
        <f t="shared" si="180"/>
        <v>-2.46929721906689</v>
      </c>
      <c r="O1867" s="1">
        <f t="shared" si="181"/>
        <v>-0.36202066002949596</v>
      </c>
      <c r="P1867" s="1">
        <f t="shared" si="182"/>
        <v>4.8686527191447295</v>
      </c>
      <c r="R1867" s="3">
        <f t="shared" si="177"/>
        <v>0.2334428462255459</v>
      </c>
      <c r="S1867" s="3">
        <f t="shared" si="178"/>
        <v>-1.4817234686493008</v>
      </c>
    </row>
    <row r="1868" spans="6:19" x14ac:dyDescent="0.2">
      <c r="F1868" s="3"/>
      <c r="G1868" s="3"/>
      <c r="H1868" s="3"/>
      <c r="M1868" s="1">
        <f t="shared" si="179"/>
        <v>55.980000000001361</v>
      </c>
      <c r="N1868" s="1">
        <f t="shared" si="180"/>
        <v>-2.3018466028528044</v>
      </c>
      <c r="O1868" s="1">
        <f t="shared" si="181"/>
        <v>-0.4310760581150801</v>
      </c>
      <c r="P1868" s="1">
        <f t="shared" si="182"/>
        <v>4.8557204374012768</v>
      </c>
      <c r="R1868" s="3">
        <f t="shared" si="177"/>
        <v>0.21426179430649883</v>
      </c>
      <c r="S1868" s="3">
        <f t="shared" si="178"/>
        <v>-1.4846184302710781</v>
      </c>
    </row>
    <row r="1869" spans="6:19" x14ac:dyDescent="0.2">
      <c r="F1869" s="3"/>
      <c r="G1869" s="3"/>
      <c r="H1869" s="3"/>
      <c r="M1869" s="1">
        <f t="shared" si="179"/>
        <v>56.010000000001362</v>
      </c>
      <c r="N1869" s="1">
        <f t="shared" si="180"/>
        <v>-2.103821097834631</v>
      </c>
      <c r="O1869" s="1">
        <f t="shared" si="181"/>
        <v>-0.49419069105011904</v>
      </c>
      <c r="P1869" s="1">
        <f t="shared" si="182"/>
        <v>4.8408947166697729</v>
      </c>
      <c r="R1869" s="3">
        <f t="shared" si="177"/>
        <v>0.19222851523066928</v>
      </c>
      <c r="S1869" s="3">
        <f t="shared" si="178"/>
        <v>-1.4876317413702265</v>
      </c>
    </row>
    <row r="1870" spans="6:19" x14ac:dyDescent="0.2">
      <c r="F1870" s="3"/>
      <c r="G1870" s="3"/>
      <c r="H1870" s="3"/>
      <c r="M1870" s="1">
        <f t="shared" si="179"/>
        <v>56.040000000001363</v>
      </c>
      <c r="N1870" s="1">
        <f t="shared" si="180"/>
        <v>-1.877807990112182</v>
      </c>
      <c r="O1870" s="1">
        <f t="shared" si="181"/>
        <v>-0.55052493075348452</v>
      </c>
      <c r="P1870" s="1">
        <f t="shared" si="182"/>
        <v>4.8243789687471681</v>
      </c>
      <c r="R1870" s="3">
        <f t="shared" si="177"/>
        <v>0.16763406485331095</v>
      </c>
      <c r="S1870" s="3">
        <f t="shared" si="178"/>
        <v>-1.4906035087509877</v>
      </c>
    </row>
    <row r="1871" spans="6:19" x14ac:dyDescent="0.2">
      <c r="F1871" s="3"/>
      <c r="G1871" s="3"/>
      <c r="H1871" s="3"/>
      <c r="M1871" s="1">
        <f t="shared" si="179"/>
        <v>56.070000000001365</v>
      </c>
      <c r="N1871" s="1">
        <f t="shared" si="180"/>
        <v>-1.6267934047652961</v>
      </c>
      <c r="O1871" s="1">
        <f t="shared" si="181"/>
        <v>-0.59932873289644339</v>
      </c>
      <c r="P1871" s="1">
        <f t="shared" si="182"/>
        <v>4.8063991067602752</v>
      </c>
      <c r="R1871" s="3">
        <f t="shared" si="177"/>
        <v>0.14080756821677218</v>
      </c>
      <c r="S1871" s="3">
        <f t="shared" si="178"/>
        <v>-1.4933764524502451</v>
      </c>
    </row>
    <row r="1872" spans="6:19" x14ac:dyDescent="0.2">
      <c r="F1872" s="3"/>
      <c r="G1872" s="3"/>
      <c r="H1872" s="3"/>
      <c r="M1872" s="1">
        <f t="shared" si="179"/>
        <v>56.100000000001366</v>
      </c>
      <c r="N1872" s="1">
        <f t="shared" si="180"/>
        <v>-1.3541360962070419</v>
      </c>
      <c r="O1872" s="1">
        <f t="shared" si="181"/>
        <v>-0.63995281578265462</v>
      </c>
      <c r="P1872" s="1">
        <f t="shared" si="182"/>
        <v>4.7872005222867955</v>
      </c>
      <c r="R1872" s="3">
        <f t="shared" si="177"/>
        <v>0.11211266645299955</v>
      </c>
      <c r="S1872" s="3">
        <f t="shared" si="178"/>
        <v>-1.49580438227089</v>
      </c>
    </row>
    <row r="1873" spans="6:19" x14ac:dyDescent="0.2">
      <c r="F1873" s="3"/>
      <c r="G1873" s="3"/>
      <c r="H1873" s="3"/>
      <c r="M1873" s="1">
        <f t="shared" si="179"/>
        <v>56.130000000001367</v>
      </c>
      <c r="N1873" s="1">
        <f t="shared" si="180"/>
        <v>-1.0635309111095566</v>
      </c>
      <c r="O1873" s="1">
        <f t="shared" si="181"/>
        <v>-0.67185874311594129</v>
      </c>
      <c r="P1873" s="1">
        <f t="shared" si="182"/>
        <v>4.7670447599933174</v>
      </c>
      <c r="R1873" s="3">
        <f t="shared" si="177"/>
        <v>8.1942857831739463E-2</v>
      </c>
      <c r="S1873" s="3">
        <f t="shared" si="178"/>
        <v>-1.4977601169914918</v>
      </c>
    </row>
    <row r="1874" spans="6:19" x14ac:dyDescent="0.2">
      <c r="F1874" s="3"/>
      <c r="G1874" s="3"/>
      <c r="H1874" s="3"/>
      <c r="M1874" s="1">
        <f t="shared" si="179"/>
        <v>56.160000000001368</v>
      </c>
      <c r="N1874" s="1">
        <f t="shared" si="180"/>
        <v>-0.75896129143696001</v>
      </c>
      <c r="O1874" s="1">
        <f t="shared" si="181"/>
        <v>-0.69462758185905005</v>
      </c>
      <c r="P1874" s="1">
        <f t="shared" si="182"/>
        <v>4.7462059325375456</v>
      </c>
      <c r="R1874" s="3">
        <f t="shared" si="177"/>
        <v>5.0715760631687493E-2</v>
      </c>
      <c r="S1874" s="3">
        <f t="shared" si="178"/>
        <v>-1.4991423920440476</v>
      </c>
    </row>
    <row r="1875" spans="6:19" x14ac:dyDescent="0.2">
      <c r="F1875" s="3"/>
      <c r="G1875" s="3"/>
      <c r="H1875" s="3"/>
      <c r="M1875" s="1">
        <f t="shared" si="179"/>
        <v>56.190000000001369</v>
      </c>
      <c r="N1875" s="1">
        <f t="shared" si="180"/>
        <v>-0.4446411239495604</v>
      </c>
      <c r="O1875" s="1">
        <f t="shared" si="181"/>
        <v>-0.70796681557753682</v>
      </c>
      <c r="P1875" s="1">
        <f t="shared" si="182"/>
        <v>4.7249669280702191</v>
      </c>
      <c r="R1875" s="3">
        <f t="shared" si="177"/>
        <v>1.8866424059405192E-2</v>
      </c>
      <c r="S1875" s="3">
        <f t="shared" si="178"/>
        <v>-1.4998813479883035</v>
      </c>
    </row>
    <row r="1876" spans="6:19" x14ac:dyDescent="0.2">
      <c r="F1876" s="3"/>
      <c r="G1876" s="3"/>
      <c r="H1876" s="3"/>
      <c r="M1876" s="1">
        <f t="shared" si="179"/>
        <v>56.22000000000137</v>
      </c>
      <c r="N1876" s="1">
        <f t="shared" si="180"/>
        <v>-0.12494722719207359</v>
      </c>
      <c r="O1876" s="1">
        <f t="shared" si="181"/>
        <v>-0.71171523239329904</v>
      </c>
      <c r="P1876" s="1">
        <f t="shared" si="182"/>
        <v>4.7036154710984199</v>
      </c>
      <c r="R1876" s="3">
        <f t="shared" si="177"/>
        <v>-1.3160095096008382E-2</v>
      </c>
      <c r="S1876" s="3">
        <f t="shared" si="178"/>
        <v>-1.4999422695214186</v>
      </c>
    </row>
    <row r="1877" spans="6:19" x14ac:dyDescent="0.2">
      <c r="F1877" s="3"/>
      <c r="G1877" s="3"/>
      <c r="H1877" s="3"/>
      <c r="M1877" s="1">
        <f t="shared" si="179"/>
        <v>56.250000000001371</v>
      </c>
      <c r="N1877" s="1">
        <f t="shared" si="180"/>
        <v>0.19565532187548074</v>
      </c>
      <c r="O1877" s="1">
        <f t="shared" si="181"/>
        <v>-0.70584557273703463</v>
      </c>
      <c r="P1877" s="1">
        <f t="shared" si="182"/>
        <v>4.682440103916309</v>
      </c>
      <c r="R1877" s="3">
        <f t="shared" si="177"/>
        <v>-4.4916599453346362E-2</v>
      </c>
      <c r="S1877" s="3">
        <f t="shared" si="178"/>
        <v>-1.4993273488780052</v>
      </c>
    </row>
    <row r="1878" spans="6:19" x14ac:dyDescent="0.2">
      <c r="F1878" s="3"/>
      <c r="G1878" s="3"/>
      <c r="H1878" s="3"/>
      <c r="M1878" s="1">
        <f t="shared" si="179"/>
        <v>56.280000000001372</v>
      </c>
      <c r="N1878" s="1">
        <f t="shared" si="180"/>
        <v>0.51269209607979671</v>
      </c>
      <c r="O1878" s="1">
        <f t="shared" si="181"/>
        <v>-0.69046480985464076</v>
      </c>
      <c r="P1878" s="1">
        <f t="shared" si="182"/>
        <v>4.6617261596206694</v>
      </c>
      <c r="R1878" s="3">
        <f t="shared" si="177"/>
        <v>-7.5961725981238043E-2</v>
      </c>
      <c r="S1878" s="3">
        <f t="shared" si="178"/>
        <v>-1.4980753706626215</v>
      </c>
    </row>
    <row r="1879" spans="6:19" x14ac:dyDescent="0.2">
      <c r="F1879" s="3"/>
      <c r="G1879" s="3"/>
      <c r="H1879" s="3"/>
      <c r="M1879" s="1">
        <f t="shared" si="179"/>
        <v>56.310000000001374</v>
      </c>
      <c r="N1879" s="1">
        <f t="shared" si="180"/>
        <v>0.82175909269929814</v>
      </c>
      <c r="O1879" s="1">
        <f t="shared" si="181"/>
        <v>-0.66581203707366177</v>
      </c>
      <c r="P1879" s="1">
        <f t="shared" si="182"/>
        <v>4.6417517985084595</v>
      </c>
      <c r="R1879" s="3">
        <f t="shared" si="177"/>
        <v>-0.1058676817711134</v>
      </c>
      <c r="S1879" s="3">
        <f t="shared" si="178"/>
        <v>-1.4962593471575742</v>
      </c>
    </row>
    <row r="1880" spans="6:19" x14ac:dyDescent="0.2">
      <c r="F1880" s="3"/>
      <c r="G1880" s="3"/>
      <c r="H1880" s="3"/>
      <c r="M1880" s="1">
        <f t="shared" si="179"/>
        <v>56.340000000001375</v>
      </c>
      <c r="N1880" s="1">
        <f t="shared" si="180"/>
        <v>1.1185999010477636</v>
      </c>
      <c r="O1880" s="1">
        <f t="shared" si="181"/>
        <v>-0.63225404004222885</v>
      </c>
      <c r="P1880" s="1">
        <f t="shared" si="182"/>
        <v>4.6227841773071923</v>
      </c>
      <c r="R1880" s="3">
        <f t="shared" si="177"/>
        <v>-0.13422741710185365</v>
      </c>
      <c r="S1880" s="3">
        <f t="shared" si="178"/>
        <v>-1.493982262444292</v>
      </c>
    </row>
    <row r="1881" spans="6:19" x14ac:dyDescent="0.2">
      <c r="F1881" s="3"/>
      <c r="G1881" s="3"/>
      <c r="H1881" s="3"/>
      <c r="M1881" s="1">
        <f t="shared" si="179"/>
        <v>56.370000000001376</v>
      </c>
      <c r="N1881" s="1">
        <f t="shared" si="180"/>
        <v>1.3991770346223373</v>
      </c>
      <c r="O1881" s="1">
        <f t="shared" si="181"/>
        <v>-0.59027872900355871</v>
      </c>
      <c r="P1881" s="1">
        <f t="shared" si="182"/>
        <v>4.6050758154370852</v>
      </c>
      <c r="R1881" s="3">
        <f t="shared" si="177"/>
        <v>-0.16066096757516724</v>
      </c>
      <c r="S1881" s="3">
        <f t="shared" si="178"/>
        <v>-1.4913711990975993</v>
      </c>
    </row>
    <row r="1882" spans="6:19" x14ac:dyDescent="0.2">
      <c r="F1882" s="3"/>
      <c r="G1882" s="3"/>
      <c r="H1882" s="3"/>
      <c r="M1882" s="1">
        <f t="shared" si="179"/>
        <v>56.400000000001377</v>
      </c>
      <c r="N1882" s="1">
        <f t="shared" si="180"/>
        <v>1.6597347613619926</v>
      </c>
      <c r="O1882" s="1">
        <f t="shared" si="181"/>
        <v>-0.5404866861626989</v>
      </c>
      <c r="P1882" s="1">
        <f t="shared" si="182"/>
        <v>4.5888612148522041</v>
      </c>
      <c r="R1882" s="3">
        <f t="shared" si="177"/>
        <v>-0.18482077679102499</v>
      </c>
      <c r="S1882" s="3">
        <f t="shared" si="178"/>
        <v>-1.488570213482173</v>
      </c>
    </row>
    <row r="1883" spans="6:19" x14ac:dyDescent="0.2">
      <c r="F1883" s="3"/>
      <c r="G1883" s="3"/>
      <c r="H1883" s="3"/>
      <c r="M1883" s="1">
        <f t="shared" si="179"/>
        <v>56.430000000001378</v>
      </c>
      <c r="N1883" s="1">
        <f t="shared" si="180"/>
        <v>1.8968515696648929</v>
      </c>
      <c r="O1883" s="1">
        <f t="shared" si="181"/>
        <v>-0.48358113907275213</v>
      </c>
      <c r="P1883" s="1">
        <f t="shared" si="182"/>
        <v>4.5743537806800214</v>
      </c>
      <c r="R1883" s="3">
        <f t="shared" si="177"/>
        <v>-0.20639590479809192</v>
      </c>
      <c r="S1883" s="3">
        <f t="shared" si="178"/>
        <v>-1.4857323885823372</v>
      </c>
    </row>
    <row r="1884" spans="6:19" x14ac:dyDescent="0.2">
      <c r="F1884" s="3"/>
      <c r="G1884" s="3"/>
      <c r="H1884" s="3"/>
      <c r="M1884" s="1">
        <f t="shared" si="179"/>
        <v>56.460000000001379</v>
      </c>
      <c r="N1884" s="1">
        <f t="shared" si="180"/>
        <v>2.107481350497467</v>
      </c>
      <c r="O1884" s="1">
        <f t="shared" si="181"/>
        <v>-0.42035669855782809</v>
      </c>
      <c r="P1884" s="1">
        <f t="shared" si="182"/>
        <v>4.5617430797232865</v>
      </c>
      <c r="R1884" s="3">
        <f t="shared" si="177"/>
        <v>-0.22511512372580544</v>
      </c>
      <c r="S1884" s="3">
        <f t="shared" si="178"/>
        <v>-1.4830115242539135</v>
      </c>
    </row>
    <row r="1885" spans="6:19" x14ac:dyDescent="0.2">
      <c r="F1885" s="3"/>
      <c r="G1885" s="3"/>
      <c r="H1885" s="3"/>
      <c r="M1885" s="1">
        <f t="shared" si="179"/>
        <v>56.49000000000138</v>
      </c>
      <c r="N1885" s="1">
        <f t="shared" si="180"/>
        <v>2.2889833401282589</v>
      </c>
      <c r="O1885" s="1">
        <f t="shared" si="181"/>
        <v>-0.35168719835398032</v>
      </c>
      <c r="P1885" s="1">
        <f t="shared" si="182"/>
        <v>4.5511924637726668</v>
      </c>
      <c r="R1885" s="3">
        <f t="shared" si="177"/>
        <v>-0.2407489891990402</v>
      </c>
      <c r="S1885" s="3">
        <f t="shared" si="178"/>
        <v>-1.480553924786139</v>
      </c>
    </row>
    <row r="1886" spans="6:19" x14ac:dyDescent="0.2">
      <c r="F1886" s="3"/>
      <c r="G1886" s="3"/>
      <c r="H1886" s="3"/>
      <c r="M1886" s="1">
        <f t="shared" si="179"/>
        <v>56.520000000001382</v>
      </c>
      <c r="N1886" s="1">
        <f t="shared" si="180"/>
        <v>2.4391417398422601</v>
      </c>
      <c r="O1886" s="1">
        <f t="shared" si="181"/>
        <v>-0.27851294615871253</v>
      </c>
      <c r="P1886" s="1">
        <f t="shared" si="182"/>
        <v>4.5428370753879053</v>
      </c>
      <c r="R1886" s="3">
        <f t="shared" si="177"/>
        <v>-0.25311104473123447</v>
      </c>
      <c r="S1886" s="3">
        <f t="shared" si="178"/>
        <v>-1.4784907165873795</v>
      </c>
    </row>
    <row r="1887" spans="6:19" x14ac:dyDescent="0.2">
      <c r="F1887" s="3"/>
      <c r="G1887" s="3"/>
      <c r="H1887" s="3"/>
      <c r="M1887" s="1">
        <f t="shared" si="179"/>
        <v>56.550000000001383</v>
      </c>
      <c r="N1887" s="1">
        <f t="shared" si="180"/>
        <v>2.5561766124666292</v>
      </c>
      <c r="O1887" s="1">
        <f t="shared" si="181"/>
        <v>-0.20182764778471365</v>
      </c>
      <c r="P1887" s="1">
        <f t="shared" si="182"/>
        <v>4.5367822459543641</v>
      </c>
      <c r="R1887" s="3">
        <f t="shared" si="177"/>
        <v>-0.2620583595084367</v>
      </c>
      <c r="S1887" s="3">
        <f t="shared" si="178"/>
        <v>-1.4769310803865381</v>
      </c>
    </row>
    <row r="1888" spans="6:19" x14ac:dyDescent="0.2">
      <c r="F1888" s="3"/>
      <c r="G1888" s="3"/>
      <c r="H1888" s="3"/>
      <c r="M1888" s="1">
        <f t="shared" si="179"/>
        <v>56.580000000001384</v>
      </c>
      <c r="N1888" s="1">
        <f t="shared" si="180"/>
        <v>2.638748083384991</v>
      </c>
      <c r="O1888" s="1">
        <f t="shared" si="181"/>
        <v>-0.12266520528316392</v>
      </c>
      <c r="P1888" s="1">
        <f t="shared" si="182"/>
        <v>4.5331022897958695</v>
      </c>
      <c r="R1888" s="3">
        <f t="shared" si="177"/>
        <v>-0.26749161446114439</v>
      </c>
      <c r="S1888" s="3">
        <f t="shared" si="178"/>
        <v>-1.4759567189429947</v>
      </c>
    </row>
    <row r="1889" spans="6:19" x14ac:dyDescent="0.2">
      <c r="F1889" s="3"/>
      <c r="G1889" s="3"/>
      <c r="H1889" s="3"/>
      <c r="M1889" s="1">
        <f t="shared" si="179"/>
        <v>56.610000000001385</v>
      </c>
      <c r="N1889" s="1">
        <f t="shared" si="180"/>
        <v>2.6859560130869284</v>
      </c>
      <c r="O1889" s="1">
        <f t="shared" si="181"/>
        <v>-4.2086524890556073E-2</v>
      </c>
      <c r="P1889" s="1">
        <f t="shared" si="182"/>
        <v>4.531839694049153</v>
      </c>
      <c r="R1889" s="3">
        <f t="shared" si="177"/>
        <v>-0.26935493743110855</v>
      </c>
      <c r="S1889" s="3">
        <f t="shared" si="178"/>
        <v>-1.4756178088114427</v>
      </c>
    </row>
    <row r="1890" spans="6:19" x14ac:dyDescent="0.2">
      <c r="F1890" s="3"/>
      <c r="G1890" s="3"/>
      <c r="H1890" s="3"/>
      <c r="M1890" s="1">
        <f t="shared" si="179"/>
        <v>56.640000000001386</v>
      </c>
      <c r="N1890" s="1">
        <f t="shared" si="180"/>
        <v>2.6973371615512356</v>
      </c>
      <c r="O1890" s="1">
        <f t="shared" si="181"/>
        <v>3.8833589955980991E-2</v>
      </c>
      <c r="P1890" s="1">
        <f t="shared" si="182"/>
        <v>4.5330047017478323</v>
      </c>
      <c r="R1890" s="3">
        <f t="shared" si="177"/>
        <v>-0.26763564892238634</v>
      </c>
      <c r="S1890" s="3">
        <f t="shared" si="178"/>
        <v>-1.4759306079304315</v>
      </c>
    </row>
    <row r="1891" spans="6:19" x14ac:dyDescent="0.2">
      <c r="F1891" s="3"/>
      <c r="G1891" s="3"/>
      <c r="H1891" s="3"/>
      <c r="M1891" s="1">
        <f t="shared" si="179"/>
        <v>56.670000000001387</v>
      </c>
      <c r="N1891" s="1">
        <f t="shared" si="180"/>
        <v>2.6728614661278245</v>
      </c>
      <c r="O1891" s="1">
        <f t="shared" si="181"/>
        <v>0.11901943393981572</v>
      </c>
      <c r="P1891" s="1">
        <f t="shared" si="182"/>
        <v>4.5365752847660268</v>
      </c>
      <c r="R1891" s="3">
        <f t="shared" si="177"/>
        <v>-0.26236402130537956</v>
      </c>
      <c r="S1891" s="3">
        <f t="shared" si="178"/>
        <v>-1.4768768128467826</v>
      </c>
    </row>
    <row r="1892" spans="6:19" x14ac:dyDescent="0.2">
      <c r="F1892" s="3"/>
      <c r="G1892" s="3"/>
      <c r="H1892" s="3"/>
      <c r="M1892" s="1">
        <f t="shared" si="179"/>
        <v>56.700000000001388</v>
      </c>
      <c r="N1892" s="1">
        <f t="shared" si="180"/>
        <v>2.6129284639992121</v>
      </c>
      <c r="O1892" s="1">
        <f t="shared" si="181"/>
        <v>0.19740728785979209</v>
      </c>
      <c r="P1892" s="1">
        <f t="shared" si="182"/>
        <v>4.5424975034018207</v>
      </c>
      <c r="R1892" s="3">
        <f t="shared" si="177"/>
        <v>-0.25361308415761763</v>
      </c>
      <c r="S1892" s="3">
        <f t="shared" si="178"/>
        <v>-1.4784046819271308</v>
      </c>
    </row>
    <row r="1893" spans="6:19" x14ac:dyDescent="0.2">
      <c r="F1893" s="3"/>
      <c r="G1893" s="3"/>
      <c r="H1893" s="3"/>
      <c r="M1893" s="1">
        <f t="shared" si="179"/>
        <v>56.73000000000139</v>
      </c>
      <c r="N1893" s="1">
        <f t="shared" si="180"/>
        <v>2.5183641856687951</v>
      </c>
      <c r="O1893" s="1">
        <f t="shared" si="181"/>
        <v>0.27295821342985593</v>
      </c>
      <c r="P1893" s="1">
        <f t="shared" si="182"/>
        <v>4.5506862498047163</v>
      </c>
      <c r="R1893" s="3">
        <f t="shared" si="177"/>
        <v>-0.24149843539778743</v>
      </c>
      <c r="S1893" s="3">
        <f t="shared" si="178"/>
        <v>-1.4804318645923631</v>
      </c>
    </row>
    <row r="1894" spans="6:19" x14ac:dyDescent="0.2">
      <c r="F1894" s="3"/>
      <c r="G1894" s="3"/>
      <c r="H1894" s="3"/>
      <c r="M1894" s="1">
        <f t="shared" si="179"/>
        <v>56.760000000001391</v>
      </c>
      <c r="N1894" s="1">
        <f t="shared" si="180"/>
        <v>2.390418114769187</v>
      </c>
      <c r="O1894" s="1">
        <f t="shared" si="181"/>
        <v>0.34467075687293153</v>
      </c>
      <c r="P1894" s="1">
        <f t="shared" si="182"/>
        <v>4.5610263725109039</v>
      </c>
      <c r="R1894" s="3">
        <f t="shared" si="177"/>
        <v>-0.22617795087293602</v>
      </c>
      <c r="S1894" s="3">
        <f t="shared" si="178"/>
        <v>-1.482849801746259</v>
      </c>
    </row>
    <row r="1895" spans="6:19" x14ac:dyDescent="0.2">
      <c r="F1895" s="3"/>
      <c r="G1895" s="3"/>
      <c r="H1895" s="3"/>
      <c r="M1895" s="1">
        <f t="shared" si="179"/>
        <v>56.790000000001392</v>
      </c>
      <c r="N1895" s="1">
        <f t="shared" si="180"/>
        <v>2.2307591406107963</v>
      </c>
      <c r="O1895" s="1">
        <f t="shared" si="181"/>
        <v>0.4115935310912554</v>
      </c>
      <c r="P1895" s="1">
        <f t="shared" si="182"/>
        <v>4.5733741784436415</v>
      </c>
      <c r="R1895" s="3">
        <f t="shared" si="177"/>
        <v>-0.20785123230496599</v>
      </c>
      <c r="S1895" s="3">
        <f t="shared" si="178"/>
        <v>-1.4855294898551517</v>
      </c>
    </row>
    <row r="1896" spans="6:19" x14ac:dyDescent="0.2">
      <c r="F1896" s="3"/>
      <c r="G1896" s="3"/>
      <c r="H1896" s="3"/>
      <c r="M1896" s="1">
        <f t="shared" si="179"/>
        <v>56.820000000001393</v>
      </c>
      <c r="N1896" s="1">
        <f t="shared" si="180"/>
        <v>2.0414689052514468</v>
      </c>
      <c r="O1896" s="1">
        <f t="shared" si="181"/>
        <v>0.47283759824879878</v>
      </c>
      <c r="P1896" s="1">
        <f t="shared" si="182"/>
        <v>4.5875593063911051</v>
      </c>
      <c r="R1896" s="3">
        <f t="shared" si="177"/>
        <v>-0.1867586017670175</v>
      </c>
      <c r="S1896" s="3">
        <f t="shared" si="178"/>
        <v>-1.4883283322795506</v>
      </c>
    </row>
    <row r="1897" spans="6:19" x14ac:dyDescent="0.2">
      <c r="F1897" s="3"/>
      <c r="G1897" s="3"/>
      <c r="H1897" s="3"/>
      <c r="M1897" s="1">
        <f t="shared" si="179"/>
        <v>56.850000000001394</v>
      </c>
      <c r="N1897" s="1">
        <f t="shared" si="180"/>
        <v>1.8250306338277831</v>
      </c>
      <c r="O1897" s="1">
        <f t="shared" si="181"/>
        <v>0.52758851726363232</v>
      </c>
      <c r="P1897" s="1">
        <f t="shared" si="182"/>
        <v>4.6033869619090142</v>
      </c>
      <c r="R1897" s="3">
        <f t="shared" si="177"/>
        <v>-0.16317944476844709</v>
      </c>
      <c r="S1897" s="3">
        <f t="shared" si="178"/>
        <v>-1.4910977395211424</v>
      </c>
    </row>
    <row r="1898" spans="6:19" x14ac:dyDescent="0.2">
      <c r="F1898" s="3"/>
      <c r="G1898" s="3"/>
      <c r="H1898" s="3"/>
      <c r="M1898" s="1">
        <f t="shared" si="179"/>
        <v>56.880000000001395</v>
      </c>
      <c r="N1898" s="1">
        <f t="shared" si="180"/>
        <v>1.5843114811307439</v>
      </c>
      <c r="O1898" s="1">
        <f t="shared" si="181"/>
        <v>0.57511786169755463</v>
      </c>
      <c r="P1898" s="1">
        <f t="shared" si="182"/>
        <v>4.6206404977599407</v>
      </c>
      <c r="R1898" s="3">
        <f t="shared" si="177"/>
        <v>-0.137429725457279</v>
      </c>
      <c r="S1898" s="3">
        <f t="shared" si="178"/>
        <v>-1.4936910894026036</v>
      </c>
    </row>
    <row r="1899" spans="6:19" x14ac:dyDescent="0.2">
      <c r="F1899" s="3"/>
      <c r="G1899" s="3"/>
      <c r="H1899" s="3"/>
      <c r="M1899" s="1">
        <f t="shared" si="179"/>
        <v>56.910000000001396</v>
      </c>
      <c r="N1899" s="1">
        <f t="shared" si="180"/>
        <v>1.3225366470200099</v>
      </c>
      <c r="O1899" s="1">
        <f t="shared" si="181"/>
        <v>0.61479396110815498</v>
      </c>
      <c r="P1899" s="1">
        <f t="shared" si="182"/>
        <v>4.639084316593185</v>
      </c>
      <c r="R1899" s="3">
        <f t="shared" si="177"/>
        <v>-0.10985854513856963</v>
      </c>
      <c r="S1899" s="3">
        <f t="shared" si="178"/>
        <v>-1.4959716240825014</v>
      </c>
    </row>
    <row r="1900" spans="6:19" x14ac:dyDescent="0.2">
      <c r="F1900" s="3"/>
      <c r="G1900" s="3"/>
      <c r="H1900" s="3"/>
      <c r="M1900" s="1">
        <f t="shared" si="179"/>
        <v>56.940000000001397</v>
      </c>
      <c r="N1900" s="1">
        <f t="shared" si="180"/>
        <v>1.0432539948859623</v>
      </c>
      <c r="O1900" s="1">
        <f t="shared" si="181"/>
        <v>0.64609158095473385</v>
      </c>
      <c r="P1900" s="1">
        <f t="shared" si="182"/>
        <v>4.6584670640218269</v>
      </c>
      <c r="R1900" s="3">
        <f t="shared" si="177"/>
        <v>-8.0843684764188559E-2</v>
      </c>
      <c r="S1900" s="3">
        <f t="shared" si="178"/>
        <v>-1.4978198485244305</v>
      </c>
    </row>
    <row r="1901" spans="6:19" x14ac:dyDescent="0.2">
      <c r="F1901" s="3"/>
      <c r="G1901" s="3"/>
      <c r="H1901" s="3"/>
      <c r="M1901" s="1">
        <f t="shared" si="179"/>
        <v>56.970000000001399</v>
      </c>
      <c r="N1901" s="1">
        <f t="shared" si="180"/>
        <v>0.75028860535595943</v>
      </c>
      <c r="O1901" s="1">
        <f t="shared" si="181"/>
        <v>0.66860023911541266</v>
      </c>
      <c r="P1901" s="1">
        <f t="shared" si="182"/>
        <v>4.6785250711952893</v>
      </c>
      <c r="R1901" s="3">
        <f t="shared" si="177"/>
        <v>-5.078615585983752E-2</v>
      </c>
      <c r="S1901" s="3">
        <f t="shared" si="178"/>
        <v>-1.4991400089294462</v>
      </c>
    </row>
    <row r="1902" spans="6:19" x14ac:dyDescent="0.2">
      <c r="F1902" s="3"/>
      <c r="G1902" s="3"/>
      <c r="H1902" s="3"/>
      <c r="M1902" s="1">
        <f t="shared" si="179"/>
        <v>57.0000000000014</v>
      </c>
      <c r="N1902" s="1">
        <f t="shared" si="180"/>
        <v>0.44768753707798808</v>
      </c>
      <c r="O1902" s="1">
        <f t="shared" si="181"/>
        <v>0.68203086522775236</v>
      </c>
      <c r="P1902" s="1">
        <f t="shared" si="182"/>
        <v>4.6989859971521222</v>
      </c>
      <c r="R1902" s="3">
        <f t="shared" si="177"/>
        <v>-2.010387292641664E-2</v>
      </c>
      <c r="S1902" s="3">
        <f t="shared" si="178"/>
        <v>-1.4998652720472456</v>
      </c>
    </row>
    <row r="1903" spans="6:19" x14ac:dyDescent="0.2">
      <c r="F1903" s="3"/>
      <c r="G1903" s="3"/>
      <c r="H1903" s="3"/>
      <c r="M1903" s="1">
        <f t="shared" si="179"/>
        <v>57.030000000001401</v>
      </c>
      <c r="N1903" s="1">
        <f t="shared" si="180"/>
        <v>0.13965595139366868</v>
      </c>
      <c r="O1903" s="1">
        <f t="shared" si="181"/>
        <v>0.68622054376956243</v>
      </c>
      <c r="P1903" s="1">
        <f t="shared" si="182"/>
        <v>4.7195726134652087</v>
      </c>
      <c r="R1903" s="3">
        <f t="shared" si="177"/>
        <v>1.0775356943917834E-2</v>
      </c>
      <c r="S1903" s="3">
        <f t="shared" si="178"/>
        <v>-1.4999612967282627</v>
      </c>
    </row>
    <row r="1904" spans="6:19" x14ac:dyDescent="0.2">
      <c r="F1904" s="3"/>
      <c r="G1904" s="3"/>
      <c r="H1904" s="3"/>
      <c r="M1904" s="1">
        <f t="shared" si="179"/>
        <v>57.060000000001402</v>
      </c>
      <c r="N1904" s="1">
        <f t="shared" si="180"/>
        <v>-0.16951341837843897</v>
      </c>
      <c r="O1904" s="1">
        <f t="shared" si="181"/>
        <v>0.68113514121820928</v>
      </c>
      <c r="P1904" s="1">
        <f t="shared" si="182"/>
        <v>4.7400066677017554</v>
      </c>
      <c r="R1904" s="3">
        <f t="shared" si="177"/>
        <v>4.1421264920837766E-2</v>
      </c>
      <c r="S1904" s="3">
        <f t="shared" si="178"/>
        <v>-1.4994279838699682</v>
      </c>
    </row>
    <row r="1905" spans="6:19" x14ac:dyDescent="0.2">
      <c r="F1905" s="3"/>
      <c r="G1905" s="3"/>
      <c r="H1905" s="3"/>
      <c r="M1905" s="1">
        <f t="shared" si="179"/>
        <v>57.090000000001403</v>
      </c>
      <c r="N1905" s="1">
        <f t="shared" si="180"/>
        <v>-0.47551481191801648</v>
      </c>
      <c r="O1905" s="1">
        <f t="shared" si="181"/>
        <v>0.66686969686066877</v>
      </c>
      <c r="P1905" s="1">
        <f t="shared" si="182"/>
        <v>4.7600127586075756</v>
      </c>
      <c r="R1905" s="3">
        <f t="shared" si="177"/>
        <v>7.140866742533486E-2</v>
      </c>
      <c r="S1905" s="3">
        <f t="shared" si="178"/>
        <v>-1.4982993032824043</v>
      </c>
    </row>
    <row r="1906" spans="6:19" x14ac:dyDescent="0.2">
      <c r="F1906" s="3"/>
      <c r="G1906" s="3"/>
      <c r="H1906" s="3"/>
      <c r="M1906" s="1">
        <f t="shared" si="179"/>
        <v>57.120000000001404</v>
      </c>
      <c r="N1906" s="1">
        <f t="shared" si="180"/>
        <v>-0.77410494697080867</v>
      </c>
      <c r="O1906" s="1">
        <f t="shared" si="181"/>
        <v>0.64364654845154456</v>
      </c>
      <c r="P1906" s="1">
        <f t="shared" si="182"/>
        <v>4.7793221550611218</v>
      </c>
      <c r="R1906" s="3">
        <f t="shared" si="177"/>
        <v>0.10032481281526065</v>
      </c>
      <c r="S1906" s="3">
        <f t="shared" si="178"/>
        <v>-1.4966412168364143</v>
      </c>
    </row>
    <row r="1907" spans="6:19" x14ac:dyDescent="0.2">
      <c r="F1907" s="3"/>
      <c r="G1907" s="3"/>
      <c r="H1907" s="3"/>
      <c r="M1907" s="1">
        <f t="shared" si="179"/>
        <v>57.150000000001405</v>
      </c>
      <c r="N1907" s="1">
        <f t="shared" si="180"/>
        <v>-1.0611763175132454</v>
      </c>
      <c r="O1907" s="1">
        <f t="shared" si="181"/>
        <v>0.61181125892614718</v>
      </c>
      <c r="P1907" s="1">
        <f t="shared" si="182"/>
        <v>4.7976764928289066</v>
      </c>
      <c r="R1907" s="3">
        <f t="shared" si="177"/>
        <v>0.1277762305803179</v>
      </c>
      <c r="S1907" s="3">
        <f t="shared" si="178"/>
        <v>-1.4945478362697815</v>
      </c>
    </row>
    <row r="1908" spans="6:19" x14ac:dyDescent="0.2">
      <c r="F1908" s="3"/>
      <c r="G1908" s="3"/>
      <c r="H1908" s="3"/>
      <c r="M1908" s="1">
        <f t="shared" si="179"/>
        <v>57.180000000001407</v>
      </c>
      <c r="N1908" s="1">
        <f t="shared" si="180"/>
        <v>-1.332825319106532</v>
      </c>
      <c r="O1908" s="1">
        <f t="shared" si="181"/>
        <v>0.57182649935295127</v>
      </c>
      <c r="P1908" s="1">
        <f t="shared" si="182"/>
        <v>4.8148312878094952</v>
      </c>
      <c r="R1908" s="3">
        <f t="shared" si="177"/>
        <v>0.15339483381782615</v>
      </c>
      <c r="S1908" s="3">
        <f t="shared" si="178"/>
        <v>-1.4921360611412089</v>
      </c>
    </row>
    <row r="1909" spans="6:19" x14ac:dyDescent="0.2">
      <c r="F1909" s="3"/>
      <c r="G1909" s="3"/>
      <c r="H1909" s="3"/>
      <c r="M1909" s="1">
        <f t="shared" si="179"/>
        <v>57.210000000001408</v>
      </c>
      <c r="N1909" s="1">
        <f t="shared" si="180"/>
        <v>-1.5854127231200272</v>
      </c>
      <c r="O1909" s="1">
        <f t="shared" si="181"/>
        <v>0.52426411765935044</v>
      </c>
      <c r="P1909" s="1">
        <f t="shared" si="182"/>
        <v>4.8305592113392759</v>
      </c>
      <c r="R1909" s="3">
        <f t="shared" si="177"/>
        <v>0.17684309608686388</v>
      </c>
      <c r="S1909" s="3">
        <f t="shared" si="178"/>
        <v>-1.4895390291517749</v>
      </c>
    </row>
    <row r="1910" spans="6:19" x14ac:dyDescent="0.2">
      <c r="F1910" s="3"/>
      <c r="G1910" s="3"/>
      <c r="H1910" s="3"/>
      <c r="M1910" s="1">
        <f t="shared" si="179"/>
        <v>57.240000000001409</v>
      </c>
      <c r="N1910" s="1">
        <f t="shared" si="180"/>
        <v>-1.8156147314579805</v>
      </c>
      <c r="O1910" s="1">
        <f t="shared" si="181"/>
        <v>0.46979567571561104</v>
      </c>
      <c r="P1910" s="1">
        <f t="shared" si="182"/>
        <v>4.844653081610744</v>
      </c>
      <c r="R1910" s="3">
        <f t="shared" si="177"/>
        <v>0.19781820740813946</v>
      </c>
      <c r="S1910" s="3">
        <f t="shared" si="178"/>
        <v>-1.4868987715435877</v>
      </c>
    </row>
    <row r="1911" spans="6:19" x14ac:dyDescent="0.2">
      <c r="F1911" s="3"/>
      <c r="G1911" s="3"/>
      <c r="H1911" s="3"/>
      <c r="M1911" s="1">
        <f t="shared" si="179"/>
        <v>57.27000000000141</v>
      </c>
      <c r="N1911" s="1">
        <f t="shared" si="180"/>
        <v>-2.0204636848957995</v>
      </c>
      <c r="O1911" s="1">
        <f t="shared" si="181"/>
        <v>0.40918176516873705</v>
      </c>
      <c r="P1911" s="1">
        <f t="shared" si="182"/>
        <v>4.8569285345658058</v>
      </c>
      <c r="R1911" s="3">
        <f t="shared" si="177"/>
        <v>0.21605520082884044</v>
      </c>
      <c r="S1911" s="3">
        <f t="shared" si="178"/>
        <v>-1.4843584978686279</v>
      </c>
    </row>
    <row r="1912" spans="6:19" x14ac:dyDescent="0.2">
      <c r="F1912" s="3"/>
      <c r="G1912" s="3"/>
      <c r="H1912" s="3"/>
      <c r="M1912" s="1">
        <f t="shared" si="179"/>
        <v>57.300000000001411</v>
      </c>
      <c r="N1912" s="1">
        <f t="shared" si="180"/>
        <v>-2.1973783671535911</v>
      </c>
      <c r="O1912" s="1">
        <f t="shared" si="181"/>
        <v>0.34326041415412933</v>
      </c>
      <c r="P1912" s="1">
        <f t="shared" si="182"/>
        <v>4.8672263469904298</v>
      </c>
      <c r="R1912" s="3">
        <f t="shared" si="177"/>
        <v>0.23132912037207945</v>
      </c>
      <c r="S1912" s="3">
        <f t="shared" si="178"/>
        <v>-1.4820549376011267</v>
      </c>
    </row>
    <row r="1913" spans="6:19" x14ac:dyDescent="0.2">
      <c r="F1913" s="3"/>
      <c r="G1913" s="3"/>
      <c r="H1913" s="3"/>
      <c r="M1913" s="1">
        <f t="shared" si="179"/>
        <v>57.330000000001412</v>
      </c>
      <c r="N1913" s="1">
        <f t="shared" si="180"/>
        <v>-2.3441846409946661</v>
      </c>
      <c r="O1913" s="1">
        <f t="shared" si="181"/>
        <v>0.27293487492428936</v>
      </c>
      <c r="P1913" s="1">
        <f t="shared" si="182"/>
        <v>4.8754143932381586</v>
      </c>
      <c r="R1913" s="3">
        <f t="shared" si="177"/>
        <v>0.24345636456191924</v>
      </c>
      <c r="S1913" s="3">
        <f t="shared" si="178"/>
        <v>-1.4801111439869286</v>
      </c>
    </row>
    <row r="1914" spans="6:19" x14ac:dyDescent="0.2">
      <c r="F1914" s="3"/>
      <c r="G1914" s="3"/>
      <c r="H1914" s="3"/>
      <c r="M1914" s="1">
        <f t="shared" si="179"/>
        <v>57.360000000001413</v>
      </c>
      <c r="N1914" s="1">
        <f t="shared" si="180"/>
        <v>-2.4591277843623787</v>
      </c>
      <c r="O1914" s="1">
        <f t="shared" si="181"/>
        <v>0.199161041393418</v>
      </c>
      <c r="P1914" s="1">
        <f t="shared" si="182"/>
        <v>4.8813892244799613</v>
      </c>
      <c r="R1914" s="3">
        <f t="shared" si="177"/>
        <v>0.25229538073640334</v>
      </c>
      <c r="S1914" s="3">
        <f t="shared" si="178"/>
        <v>-1.478630123073067</v>
      </c>
    </row>
    <row r="1915" spans="6:19" x14ac:dyDescent="0.2">
      <c r="F1915" s="3"/>
      <c r="G1915" s="3"/>
      <c r="H1915" s="3"/>
      <c r="M1915" s="1">
        <f t="shared" si="179"/>
        <v>57.390000000001415</v>
      </c>
      <c r="N1915" s="1">
        <f t="shared" si="180"/>
        <v>-2.5408783010894411</v>
      </c>
      <c r="O1915" s="1">
        <f t="shared" si="181"/>
        <v>0.12293469236073477</v>
      </c>
      <c r="P1915" s="1">
        <f t="shared" si="182"/>
        <v>4.885077265250783</v>
      </c>
      <c r="R1915" s="3">
        <f t="shared" si="177"/>
        <v>0.25774690073895695</v>
      </c>
      <c r="S1915" s="3">
        <f t="shared" si="178"/>
        <v>-1.4776895936425425</v>
      </c>
    </row>
    <row r="1916" spans="6:19" x14ac:dyDescent="0.2">
      <c r="F1916" s="3"/>
      <c r="G1916" s="3"/>
      <c r="H1916" s="3"/>
      <c r="M1916" s="1">
        <f t="shared" si="179"/>
        <v>57.420000000001416</v>
      </c>
      <c r="N1916" s="1">
        <f t="shared" si="180"/>
        <v>-2.5885331297020358</v>
      </c>
      <c r="O1916" s="1">
        <f t="shared" si="181"/>
        <v>4.5278698469673709E-2</v>
      </c>
      <c r="P1916" s="1">
        <f t="shared" si="182"/>
        <v>4.8864356262048734</v>
      </c>
      <c r="R1916" s="3">
        <f t="shared" si="177"/>
        <v>0.2597538981778541</v>
      </c>
      <c r="S1916" s="3">
        <f t="shared" si="178"/>
        <v>-1.4773381171490192</v>
      </c>
    </row>
    <row r="1917" spans="6:19" x14ac:dyDescent="0.2">
      <c r="F1917" s="3"/>
      <c r="G1917" s="3"/>
      <c r="H1917" s="3"/>
      <c r="M1917" s="1">
        <f t="shared" si="179"/>
        <v>57.450000000001417</v>
      </c>
      <c r="N1917" s="1">
        <f t="shared" si="180"/>
        <v>-2.6016140646408119</v>
      </c>
      <c r="O1917" s="1">
        <f t="shared" si="181"/>
        <v>-3.2769723469550649E-2</v>
      </c>
      <c r="P1917" s="1">
        <f t="shared" si="182"/>
        <v>4.8854525345007866</v>
      </c>
      <c r="R1917" s="3">
        <f t="shared" si="177"/>
        <v>0.25830141404262341</v>
      </c>
      <c r="S1917" s="3">
        <f t="shared" si="178"/>
        <v>-1.4775927651093792</v>
      </c>
    </row>
    <row r="1918" spans="6:19" x14ac:dyDescent="0.2">
      <c r="F1918" s="3"/>
      <c r="G1918" s="3"/>
      <c r="H1918" s="3"/>
      <c r="M1918" s="1">
        <f t="shared" si="179"/>
        <v>57.480000000001418</v>
      </c>
      <c r="N1918" s="1">
        <f t="shared" si="180"/>
        <v>-2.5800648653139744</v>
      </c>
      <c r="O1918" s="1">
        <f t="shared" si="181"/>
        <v>-0.11017166942896987</v>
      </c>
      <c r="P1918" s="1">
        <f t="shared" si="182"/>
        <v>4.8821473844179177</v>
      </c>
      <c r="R1918" s="3">
        <f t="shared" si="177"/>
        <v>0.25341634624086851</v>
      </c>
      <c r="S1918" s="3">
        <f t="shared" si="178"/>
        <v>-1.4784384178781098</v>
      </c>
    </row>
    <row r="1919" spans="6:19" x14ac:dyDescent="0.2">
      <c r="F1919" s="3"/>
      <c r="G1919" s="3"/>
      <c r="H1919" s="3"/>
      <c r="M1919" s="1">
        <f t="shared" si="179"/>
        <v>57.510000000001419</v>
      </c>
      <c r="N1919" s="1">
        <f t="shared" si="180"/>
        <v>-2.5242480121600779</v>
      </c>
      <c r="O1919" s="1">
        <f t="shared" si="181"/>
        <v>-0.18589910979377222</v>
      </c>
      <c r="P1919" s="1">
        <f t="shared" si="182"/>
        <v>4.8765704111241046</v>
      </c>
      <c r="R1919" s="3">
        <f t="shared" si="177"/>
        <v>0.2451672364616902</v>
      </c>
      <c r="S1919" s="3">
        <f t="shared" si="178"/>
        <v>-1.4798287151443363</v>
      </c>
    </row>
    <row r="1920" spans="6:19" x14ac:dyDescent="0.2">
      <c r="F1920" s="3"/>
      <c r="G1920" s="3"/>
      <c r="H1920" s="3"/>
      <c r="M1920" s="1">
        <f t="shared" si="179"/>
        <v>57.54000000000142</v>
      </c>
      <c r="N1920" s="1">
        <f t="shared" si="180"/>
        <v>-2.4349414447354629</v>
      </c>
      <c r="O1920" s="1">
        <f t="shared" si="181"/>
        <v>-0.25894735313583611</v>
      </c>
      <c r="P1920" s="1">
        <f t="shared" si="182"/>
        <v>4.8688019905300299</v>
      </c>
      <c r="R1920" s="3">
        <f t="shared" si="177"/>
        <v>0.23366402253874147</v>
      </c>
      <c r="S1920" s="3">
        <f t="shared" si="178"/>
        <v>-1.4816886058045444</v>
      </c>
    </row>
    <row r="1921" spans="6:19" x14ac:dyDescent="0.2">
      <c r="F1921" s="3"/>
      <c r="G1921" s="3"/>
      <c r="H1921" s="3"/>
      <c r="M1921" s="1">
        <f t="shared" si="179"/>
        <v>57.570000000001421</v>
      </c>
      <c r="N1921" s="1">
        <f t="shared" si="180"/>
        <v>-2.3133349636051892</v>
      </c>
      <c r="O1921" s="1">
        <f t="shared" si="181"/>
        <v>-0.32834740204399177</v>
      </c>
      <c r="P1921" s="1">
        <f t="shared" si="182"/>
        <v>4.8589515684687106</v>
      </c>
      <c r="R1921" s="3">
        <f t="shared" si="177"/>
        <v>0.21905766422502249</v>
      </c>
      <c r="S1921" s="3">
        <f t="shared" si="178"/>
        <v>-1.4839183736797241</v>
      </c>
    </row>
    <row r="1922" spans="6:19" x14ac:dyDescent="0.2">
      <c r="F1922" s="3"/>
      <c r="G1922" s="3"/>
      <c r="H1922" s="3"/>
      <c r="M1922" s="1">
        <f t="shared" si="179"/>
        <v>57.600000000001423</v>
      </c>
      <c r="N1922" s="1">
        <f t="shared" si="180"/>
        <v>-2.1610253760662652</v>
      </c>
      <c r="O1922" s="1">
        <f t="shared" si="181"/>
        <v>-0.39317816332597971</v>
      </c>
      <c r="P1922" s="1">
        <f t="shared" si="182"/>
        <v>4.8471562235689314</v>
      </c>
      <c r="R1922" s="3">
        <f t="shared" ref="R1922:R1985" si="183">$B$3*COS(P1922)</f>
        <v>0.20153950248762648</v>
      </c>
      <c r="S1922" s="3">
        <f t="shared" ref="S1922:S1985" si="184">$B$3*SIN(P1922)</f>
        <v>-1.4863989467626246</v>
      </c>
    </row>
    <row r="1923" spans="6:19" x14ac:dyDescent="0.2">
      <c r="F1923" s="3"/>
      <c r="G1923" s="3"/>
      <c r="H1923" s="3"/>
      <c r="M1923" s="1">
        <f t="shared" ref="M1923:M1986" si="185">M1922+B$13</f>
        <v>57.630000000001424</v>
      </c>
      <c r="N1923" s="1">
        <f t="shared" ref="N1923:N1986" si="186">-$B$12*$B$3*COS(P1922)-B$10*O1922</f>
        <v>-1.9800089901769262</v>
      </c>
      <c r="O1923" s="1">
        <f t="shared" ref="O1923:O1986" si="187">N1923*$B$13+O1922</f>
        <v>-0.45257843303128747</v>
      </c>
      <c r="P1923" s="1">
        <f t="shared" ref="P1923:P1986" si="188">O1923*$B$13+P1922</f>
        <v>4.833578870577993</v>
      </c>
      <c r="R1923" s="3">
        <f t="shared" si="183"/>
        <v>0.18134018328481399</v>
      </c>
      <c r="S1923" s="3">
        <f t="shared" si="184"/>
        <v>-1.4889982330164901</v>
      </c>
    </row>
    <row r="1924" spans="6:19" x14ac:dyDescent="0.2">
      <c r="F1924" s="3"/>
      <c r="G1924" s="3"/>
      <c r="H1924" s="3"/>
      <c r="M1924" s="1">
        <f t="shared" si="185"/>
        <v>57.660000000001425</v>
      </c>
      <c r="N1924" s="1">
        <f t="shared" si="186"/>
        <v>-1.7726697738753241</v>
      </c>
      <c r="O1924" s="1">
        <f t="shared" si="187"/>
        <v>-0.50575852624754725</v>
      </c>
      <c r="P1924" s="1">
        <f t="shared" si="188"/>
        <v>4.8184061147905668</v>
      </c>
      <c r="R1924" s="3">
        <f t="shared" si="183"/>
        <v>0.15872797056248064</v>
      </c>
      <c r="S1924" s="3">
        <f t="shared" si="184"/>
        <v>-1.4915781680358278</v>
      </c>
    </row>
    <row r="1925" spans="6:19" x14ac:dyDescent="0.2">
      <c r="F1925" s="3"/>
      <c r="G1925" s="3"/>
      <c r="H1925" s="3"/>
      <c r="M1925" s="1">
        <f t="shared" si="185"/>
        <v>57.690000000001426</v>
      </c>
      <c r="N1925" s="1">
        <f t="shared" si="186"/>
        <v>-1.5417614382625273</v>
      </c>
      <c r="O1925" s="1">
        <f t="shared" si="187"/>
        <v>-0.55201136939542306</v>
      </c>
      <c r="P1925" s="1">
        <f t="shared" si="188"/>
        <v>4.8018457737087044</v>
      </c>
      <c r="R1925" s="3">
        <f t="shared" si="183"/>
        <v>0.13400629168603612</v>
      </c>
      <c r="S1925" s="3">
        <f t="shared" si="184"/>
        <v>-1.494002113046885</v>
      </c>
    </row>
    <row r="1926" spans="6:19" x14ac:dyDescent="0.2">
      <c r="F1926" s="3"/>
      <c r="G1926" s="3"/>
      <c r="H1926" s="3"/>
      <c r="M1926" s="1">
        <f t="shared" si="185"/>
        <v>57.720000000001427</v>
      </c>
      <c r="N1926" s="1">
        <f t="shared" si="186"/>
        <v>-1.2903818936147731</v>
      </c>
      <c r="O1926" s="1">
        <f t="shared" si="187"/>
        <v>-0.59072282620386629</v>
      </c>
      <c r="P1926" s="1">
        <f t="shared" si="188"/>
        <v>4.7841240889225887</v>
      </c>
      <c r="R1926" s="3">
        <f t="shared" si="183"/>
        <v>0.10751040066236239</v>
      </c>
      <c r="S1926" s="3">
        <f t="shared" si="184"/>
        <v>-1.4961422104029478</v>
      </c>
    </row>
    <row r="1927" spans="6:19" x14ac:dyDescent="0.2">
      <c r="F1927" s="3"/>
      <c r="G1927" s="3"/>
      <c r="H1927" s="3"/>
      <c r="M1927" s="1">
        <f t="shared" si="185"/>
        <v>57.750000000001428</v>
      </c>
      <c r="N1927" s="1">
        <f t="shared" si="186"/>
        <v>-1.021938952265276</v>
      </c>
      <c r="O1927" s="1">
        <f t="shared" si="187"/>
        <v>-0.62138099477182451</v>
      </c>
      <c r="P1927" s="1">
        <f t="shared" si="188"/>
        <v>4.7654826590794341</v>
      </c>
      <c r="R1927" s="3">
        <f t="shared" si="183"/>
        <v>7.9603106358938192E-2</v>
      </c>
      <c r="S1927" s="3">
        <f t="shared" si="184"/>
        <v>-1.4978862925662975</v>
      </c>
    </row>
    <row r="1928" spans="6:19" x14ac:dyDescent="0.2">
      <c r="F1928" s="3"/>
      <c r="G1928" s="3"/>
      <c r="H1928" s="3"/>
      <c r="M1928" s="1">
        <f t="shared" si="185"/>
        <v>57.780000000001429</v>
      </c>
      <c r="N1928" s="1">
        <f t="shared" si="186"/>
        <v>-0.74010677405991776</v>
      </c>
      <c r="O1928" s="1">
        <f t="shared" si="187"/>
        <v>-0.6435841979936221</v>
      </c>
      <c r="P1928" s="1">
        <f t="shared" si="188"/>
        <v>4.7461751331396256</v>
      </c>
      <c r="R1928" s="3">
        <f t="shared" si="183"/>
        <v>5.066958792456884E-2</v>
      </c>
      <c r="S1928" s="3">
        <f t="shared" si="184"/>
        <v>-1.4991439533478945</v>
      </c>
    </row>
    <row r="1929" spans="6:19" x14ac:dyDescent="0.2">
      <c r="F1929" s="3"/>
      <c r="G1929" s="3"/>
      <c r="H1929" s="3"/>
      <c r="M1929" s="1">
        <f t="shared" si="185"/>
        <v>57.81000000000143</v>
      </c>
      <c r="N1929" s="1">
        <f t="shared" si="186"/>
        <v>-0.44877330142626248</v>
      </c>
      <c r="O1929" s="1">
        <f t="shared" si="187"/>
        <v>-0.65704739703641002</v>
      </c>
      <c r="P1929" s="1">
        <f t="shared" si="188"/>
        <v>4.7264637112285337</v>
      </c>
      <c r="R1929" s="3">
        <f t="shared" si="183"/>
        <v>2.1111399228492169E-2</v>
      </c>
      <c r="S1929" s="3">
        <f t="shared" si="184"/>
        <v>-1.499851428916416</v>
      </c>
    </row>
    <row r="1930" spans="6:19" x14ac:dyDescent="0.2">
      <c r="F1930" s="3"/>
      <c r="G1930" s="3"/>
      <c r="H1930" s="3"/>
      <c r="M1930" s="1">
        <f t="shared" si="185"/>
        <v>57.840000000001432</v>
      </c>
      <c r="N1930" s="1">
        <f t="shared" si="186"/>
        <v>-0.15197972655164477</v>
      </c>
      <c r="O1930" s="1">
        <f t="shared" si="187"/>
        <v>-0.66160678883295931</v>
      </c>
      <c r="P1930" s="1">
        <f t="shared" si="188"/>
        <v>4.7066155075635452</v>
      </c>
      <c r="R1930" s="3">
        <f t="shared" si="183"/>
        <v>-8.6601611200215253E-3</v>
      </c>
      <c r="S1930" s="3">
        <f t="shared" si="184"/>
        <v>-1.4999750003281305</v>
      </c>
    </row>
    <row r="1931" spans="6:19" x14ac:dyDescent="0.2">
      <c r="F1931" s="3"/>
      <c r="G1931" s="3"/>
      <c r="H1931" s="3"/>
      <c r="M1931" s="1">
        <f t="shared" si="185"/>
        <v>57.870000000001433</v>
      </c>
      <c r="N1931" s="1">
        <f t="shared" si="186"/>
        <v>0.14614622219518159</v>
      </c>
      <c r="O1931" s="1">
        <f t="shared" si="187"/>
        <v>-0.65722240216710381</v>
      </c>
      <c r="P1931" s="1">
        <f t="shared" si="188"/>
        <v>4.6868988354985319</v>
      </c>
      <c r="R1931" s="3">
        <f t="shared" si="183"/>
        <v>-3.8231076924358662E-2</v>
      </c>
      <c r="S1931" s="3">
        <f t="shared" si="184"/>
        <v>-1.4995127157704278</v>
      </c>
    </row>
    <row r="1932" spans="6:19" x14ac:dyDescent="0.2">
      <c r="F1932" s="3"/>
      <c r="G1932" s="3"/>
      <c r="H1932" s="3"/>
      <c r="M1932" s="1">
        <f t="shared" si="185"/>
        <v>57.900000000001434</v>
      </c>
      <c r="N1932" s="1">
        <f t="shared" si="186"/>
        <v>0.44146078543862594</v>
      </c>
      <c r="O1932" s="1">
        <f t="shared" si="187"/>
        <v>-0.64397857860394503</v>
      </c>
      <c r="P1932" s="1">
        <f t="shared" si="188"/>
        <v>4.6675794781404134</v>
      </c>
      <c r="R1932" s="3">
        <f t="shared" si="183"/>
        <v>-6.7191762469925087E-2</v>
      </c>
      <c r="S1932" s="3">
        <f t="shared" si="184"/>
        <v>-1.4984943333413661</v>
      </c>
    </row>
    <row r="1933" spans="6:19" x14ac:dyDescent="0.2">
      <c r="F1933" s="3"/>
      <c r="G1933" s="3"/>
      <c r="H1933" s="3"/>
      <c r="M1933" s="1">
        <f t="shared" si="185"/>
        <v>57.930000000001435</v>
      </c>
      <c r="N1933" s="1">
        <f t="shared" si="186"/>
        <v>0.72987569677360598</v>
      </c>
      <c r="O1933" s="1">
        <f t="shared" si="187"/>
        <v>-0.6220823077007368</v>
      </c>
      <c r="P1933" s="1">
        <f t="shared" si="188"/>
        <v>4.6489170089093914</v>
      </c>
      <c r="R1933" s="3">
        <f t="shared" si="183"/>
        <v>-9.5144042846223853E-2</v>
      </c>
      <c r="S1933" s="3">
        <f t="shared" si="184"/>
        <v>-1.4969794958885962</v>
      </c>
    </row>
    <row r="1934" spans="6:19" x14ac:dyDescent="0.2">
      <c r="F1934" s="3"/>
      <c r="G1934" s="3"/>
      <c r="H1934" s="3"/>
      <c r="M1934" s="1">
        <f t="shared" si="185"/>
        <v>57.960000000001436</v>
      </c>
      <c r="N1934" s="1">
        <f t="shared" si="186"/>
        <v>1.0074278361553046</v>
      </c>
      <c r="O1934" s="1">
        <f t="shared" si="187"/>
        <v>-0.59185947261607763</v>
      </c>
      <c r="P1934" s="1">
        <f t="shared" si="188"/>
        <v>4.6311612247309091</v>
      </c>
      <c r="R1934" s="3">
        <f t="shared" si="183"/>
        <v>-0.12170769354189744</v>
      </c>
      <c r="S1934" s="3">
        <f t="shared" si="184"/>
        <v>-1.4950542589928673</v>
      </c>
    </row>
    <row r="1935" spans="6:19" x14ac:dyDescent="0.2">
      <c r="F1935" s="3"/>
      <c r="G1935" s="3"/>
      <c r="H1935" s="3"/>
      <c r="M1935" s="1">
        <f t="shared" si="185"/>
        <v>57.990000000001437</v>
      </c>
      <c r="N1935" s="1">
        <f t="shared" si="186"/>
        <v>1.2703442879544213</v>
      </c>
      <c r="O1935" s="1">
        <f t="shared" si="187"/>
        <v>-0.55374914397744501</v>
      </c>
      <c r="P1935" s="1">
        <f t="shared" si="188"/>
        <v>4.6145487504115854</v>
      </c>
      <c r="R1935" s="3">
        <f t="shared" si="183"/>
        <v>-0.14652630795450028</v>
      </c>
      <c r="S1935" s="3">
        <f t="shared" si="184"/>
        <v>-1.4928261925211599</v>
      </c>
    </row>
    <row r="1936" spans="6:19" x14ac:dyDescent="0.2">
      <c r="F1936" s="3"/>
      <c r="G1936" s="3"/>
      <c r="H1936" s="3"/>
      <c r="M1936" s="1">
        <f t="shared" si="185"/>
        <v>58.020000000001438</v>
      </c>
      <c r="N1936" s="1">
        <f t="shared" si="186"/>
        <v>1.5151005025029729</v>
      </c>
      <c r="O1936" s="1">
        <f t="shared" si="187"/>
        <v>-0.50829612890235587</v>
      </c>
      <c r="P1936" s="1">
        <f t="shared" si="188"/>
        <v>4.5992998665445146</v>
      </c>
      <c r="R1936" s="3">
        <f t="shared" si="183"/>
        <v>-0.16927232355964278</v>
      </c>
      <c r="S1936" s="3">
        <f t="shared" si="184"/>
        <v>-1.4904183575347962</v>
      </c>
    </row>
    <row r="1937" spans="6:19" x14ac:dyDescent="0.2">
      <c r="F1937" s="3"/>
      <c r="G1937" s="3"/>
      <c r="H1937" s="3"/>
      <c r="M1937" s="1">
        <f t="shared" si="185"/>
        <v>58.05000000000144</v>
      </c>
      <c r="N1937" s="1">
        <f t="shared" si="186"/>
        <v>1.7384698871976398</v>
      </c>
      <c r="O1937" s="1">
        <f t="shared" si="187"/>
        <v>-0.45614203228642669</v>
      </c>
      <c r="P1937" s="1">
        <f t="shared" si="188"/>
        <v>4.5856156055759216</v>
      </c>
      <c r="R1937" s="3">
        <f t="shared" si="183"/>
        <v>-0.18965111215384944</v>
      </c>
      <c r="S1937" s="3">
        <f t="shared" si="184"/>
        <v>-1.4879625182304856</v>
      </c>
    </row>
    <row r="1938" spans="6:19" x14ac:dyDescent="0.2">
      <c r="F1938" s="3"/>
      <c r="G1938" s="3"/>
      <c r="H1938" s="3"/>
      <c r="M1938" s="1">
        <f t="shared" si="185"/>
        <v>58.080000000001441</v>
      </c>
      <c r="N1938" s="1">
        <f t="shared" si="186"/>
        <v>1.9375639044442727</v>
      </c>
      <c r="O1938" s="1">
        <f t="shared" si="187"/>
        <v>-0.39801511515309851</v>
      </c>
      <c r="P1938" s="1">
        <f t="shared" si="188"/>
        <v>4.5736751521213286</v>
      </c>
      <c r="R1938" s="3">
        <f t="shared" si="183"/>
        <v>-0.20740411762372388</v>
      </c>
      <c r="S1938" s="3">
        <f t="shared" si="184"/>
        <v>-1.4855919803205471</v>
      </c>
    </row>
    <row r="1939" spans="6:19" x14ac:dyDescent="0.2">
      <c r="F1939" s="3"/>
      <c r="G1939" s="3"/>
      <c r="H1939" s="3"/>
      <c r="M1939" s="1">
        <f t="shared" si="185"/>
        <v>58.110000000001442</v>
      </c>
      <c r="N1939" s="1">
        <f t="shared" si="186"/>
        <v>2.1098625366010175</v>
      </c>
      <c r="O1939" s="1">
        <f t="shared" si="187"/>
        <v>-0.33471923905506795</v>
      </c>
      <c r="P1939" s="1">
        <f t="shared" si="188"/>
        <v>4.5636335749496766</v>
      </c>
      <c r="R1939" s="3">
        <f t="shared" si="183"/>
        <v>-0.22231109691105805</v>
      </c>
      <c r="S1939" s="3">
        <f t="shared" si="184"/>
        <v>-1.4834344529470125</v>
      </c>
    </row>
    <row r="1940" spans="6:19" x14ac:dyDescent="0.2">
      <c r="F1940" s="3"/>
      <c r="G1940" s="3"/>
      <c r="H1940" s="3"/>
      <c r="M1940" s="1">
        <f t="shared" si="185"/>
        <v>58.140000000001443</v>
      </c>
      <c r="N1940" s="1">
        <f t="shared" si="186"/>
        <v>2.2532357006255364</v>
      </c>
      <c r="O1940" s="1">
        <f t="shared" si="187"/>
        <v>-0.26712216803630184</v>
      </c>
      <c r="P1940" s="1">
        <f t="shared" si="188"/>
        <v>4.5556199099085877</v>
      </c>
      <c r="R1940" s="3">
        <f t="shared" si="183"/>
        <v>-0.23419157825082257</v>
      </c>
      <c r="S1940" s="3">
        <f t="shared" si="184"/>
        <v>-1.4816053133936813</v>
      </c>
    </row>
    <row r="1941" spans="6:19" x14ac:dyDescent="0.2">
      <c r="F1941" s="3"/>
      <c r="G1941" s="3"/>
      <c r="H1941" s="3"/>
      <c r="M1941" s="1">
        <f t="shared" si="185"/>
        <v>58.170000000001444</v>
      </c>
      <c r="N1941" s="1">
        <f t="shared" si="186"/>
        <v>2.3659567776314927</v>
      </c>
      <c r="O1941" s="1">
        <f t="shared" si="187"/>
        <v>-0.19614346470735705</v>
      </c>
      <c r="P1941" s="1">
        <f t="shared" si="188"/>
        <v>4.549735605967367</v>
      </c>
      <c r="R1941" s="3">
        <f t="shared" si="183"/>
        <v>-0.24290568949057739</v>
      </c>
      <c r="S1941" s="3">
        <f t="shared" si="184"/>
        <v>-1.4802016166769671</v>
      </c>
    </row>
    <row r="1942" spans="6:19" x14ac:dyDescent="0.2">
      <c r="F1942" s="3"/>
      <c r="G1942" s="3"/>
      <c r="H1942" s="3"/>
      <c r="M1942" s="1">
        <f t="shared" si="185"/>
        <v>58.200000000001445</v>
      </c>
      <c r="N1942" s="1">
        <f t="shared" si="186"/>
        <v>2.4467098067294364</v>
      </c>
      <c r="O1942" s="1">
        <f t="shared" si="187"/>
        <v>-0.12274217050547397</v>
      </c>
      <c r="P1942" s="1">
        <f t="shared" si="188"/>
        <v>4.546053340852203</v>
      </c>
      <c r="R1942" s="3">
        <f t="shared" si="183"/>
        <v>-0.248354525163268</v>
      </c>
      <c r="S1942" s="3">
        <f t="shared" si="184"/>
        <v>-1.4792971404795345</v>
      </c>
    </row>
    <row r="1943" spans="6:19" x14ac:dyDescent="0.2">
      <c r="F1943" s="3"/>
      <c r="G1943" s="3"/>
      <c r="H1943" s="3"/>
      <c r="M1943" s="1">
        <f t="shared" si="185"/>
        <v>58.230000000001446</v>
      </c>
      <c r="N1943" s="1">
        <f t="shared" si="186"/>
        <v>2.4945920469781728</v>
      </c>
      <c r="O1943" s="1">
        <f t="shared" si="187"/>
        <v>-4.7904409096128781E-2</v>
      </c>
      <c r="P1943" s="1">
        <f t="shared" si="188"/>
        <v>4.5446162085793196</v>
      </c>
      <c r="R1943" s="3">
        <f t="shared" si="183"/>
        <v>-0.25048021362387007</v>
      </c>
      <c r="S1943" s="3">
        <f t="shared" si="184"/>
        <v>-1.4789386946668683</v>
      </c>
    </row>
    <row r="1944" spans="6:19" x14ac:dyDescent="0.2">
      <c r="F1944" s="3"/>
      <c r="G1944" s="3"/>
      <c r="H1944" s="3"/>
      <c r="M1944" s="1">
        <f t="shared" si="185"/>
        <v>58.260000000001448</v>
      </c>
      <c r="N1944" s="1">
        <f t="shared" si="186"/>
        <v>2.5091135330573522</v>
      </c>
      <c r="O1944" s="1">
        <f t="shared" si="187"/>
        <v>2.7368996895591788E-2</v>
      </c>
      <c r="P1944" s="1">
        <f t="shared" si="188"/>
        <v>4.5454372784861876</v>
      </c>
      <c r="R1944" s="3">
        <f t="shared" si="183"/>
        <v>-0.24926581727267699</v>
      </c>
      <c r="S1944" s="3">
        <f t="shared" si="184"/>
        <v>-1.4791438578919174</v>
      </c>
    </row>
    <row r="1945" spans="6:19" x14ac:dyDescent="0.2">
      <c r="F1945" s="3"/>
      <c r="G1945" s="3"/>
      <c r="H1945" s="3"/>
      <c r="M1945" s="1">
        <f t="shared" si="185"/>
        <v>58.290000000001449</v>
      </c>
      <c r="N1945" s="1">
        <f t="shared" si="186"/>
        <v>2.4901949630061666</v>
      </c>
      <c r="O1945" s="1">
        <f t="shared" si="187"/>
        <v>0.10207484578577679</v>
      </c>
      <c r="P1945" s="1">
        <f t="shared" si="188"/>
        <v>4.5484995238597605</v>
      </c>
      <c r="R1945" s="3">
        <f t="shared" si="183"/>
        <v>-0.24473515419102826</v>
      </c>
      <c r="S1945" s="3">
        <f t="shared" si="184"/>
        <v>-1.4799002345776873</v>
      </c>
    </row>
    <row r="1946" spans="6:19" x14ac:dyDescent="0.2">
      <c r="F1946" s="3"/>
      <c r="G1946" s="3"/>
      <c r="H1946" s="3"/>
      <c r="M1946" s="1">
        <f t="shared" si="185"/>
        <v>58.32000000000145</v>
      </c>
      <c r="N1946" s="1">
        <f t="shared" si="186"/>
        <v>2.4381648057895622</v>
      </c>
      <c r="O1946" s="1">
        <f t="shared" si="187"/>
        <v>0.17521978995946363</v>
      </c>
      <c r="P1946" s="1">
        <f t="shared" si="188"/>
        <v>4.5537561175585441</v>
      </c>
      <c r="R1946" s="3">
        <f t="shared" si="183"/>
        <v>-0.23695257454289234</v>
      </c>
      <c r="S1946" s="3">
        <f t="shared" si="184"/>
        <v>-1.4811662558327119</v>
      </c>
    </row>
    <row r="1947" spans="6:19" x14ac:dyDescent="0.2">
      <c r="F1947" s="3"/>
      <c r="G1947" s="3"/>
      <c r="H1947" s="3"/>
      <c r="M1947" s="1">
        <f t="shared" si="185"/>
        <v>58.350000000001451</v>
      </c>
      <c r="N1947" s="1">
        <f t="shared" si="186"/>
        <v>2.3537559643325716</v>
      </c>
      <c r="O1947" s="1">
        <f t="shared" si="187"/>
        <v>0.24583246888944077</v>
      </c>
      <c r="P1947" s="1">
        <f t="shared" si="188"/>
        <v>4.561131091625227</v>
      </c>
      <c r="R1947" s="3">
        <f t="shared" si="183"/>
        <v>-0.2260226669151626</v>
      </c>
      <c r="S1947" s="3">
        <f t="shared" si="184"/>
        <v>-1.4828734787703763</v>
      </c>
    </row>
    <row r="1948" spans="6:19" x14ac:dyDescent="0.2">
      <c r="F1948" s="3"/>
      <c r="G1948" s="3"/>
      <c r="H1948" s="3"/>
      <c r="M1948" s="1">
        <f t="shared" si="185"/>
        <v>58.380000000001452</v>
      </c>
      <c r="N1948" s="1">
        <f t="shared" si="186"/>
        <v>2.2381017469515765</v>
      </c>
      <c r="O1948" s="1">
        <f t="shared" si="187"/>
        <v>0.31297552129798806</v>
      </c>
      <c r="P1948" s="1">
        <f t="shared" si="188"/>
        <v>4.5705203572641668</v>
      </c>
      <c r="R1948" s="3">
        <f t="shared" si="183"/>
        <v>-0.21208981567098006</v>
      </c>
      <c r="S1948" s="3">
        <f t="shared" si="184"/>
        <v>-1.4849302711200447</v>
      </c>
    </row>
    <row r="1949" spans="6:19" x14ac:dyDescent="0.2">
      <c r="F1949" s="3"/>
      <c r="G1949" s="3"/>
      <c r="H1949" s="3"/>
      <c r="M1949" s="1">
        <f t="shared" si="185"/>
        <v>58.410000000001453</v>
      </c>
      <c r="N1949" s="1">
        <f t="shared" si="186"/>
        <v>2.0927303597929816</v>
      </c>
      <c r="O1949" s="1">
        <f t="shared" si="187"/>
        <v>0.37575743209177748</v>
      </c>
      <c r="P1949" s="1">
        <f t="shared" si="188"/>
        <v>4.5817930802269204</v>
      </c>
      <c r="R1949" s="3">
        <f t="shared" si="183"/>
        <v>-0.19533748718592214</v>
      </c>
      <c r="S1949" s="3">
        <f t="shared" si="184"/>
        <v>-1.4872267029944997</v>
      </c>
    </row>
    <row r="1950" spans="6:19" x14ac:dyDescent="0.2">
      <c r="F1950" s="3"/>
      <c r="G1950" s="3"/>
      <c r="H1950" s="3"/>
      <c r="M1950" s="1">
        <f t="shared" si="185"/>
        <v>58.440000000001454</v>
      </c>
      <c r="N1950" s="1">
        <f t="shared" si="186"/>
        <v>1.9195567029709613</v>
      </c>
      <c r="O1950" s="1">
        <f t="shared" si="187"/>
        <v>0.43334413318090631</v>
      </c>
      <c r="P1950" s="1">
        <f t="shared" si="188"/>
        <v>4.5947934042223473</v>
      </c>
      <c r="R1950" s="3">
        <f t="shared" si="183"/>
        <v>-0.1759870961933574</v>
      </c>
      <c r="S1950" s="3">
        <f t="shared" si="184"/>
        <v>-1.4896404069349858</v>
      </c>
    </row>
    <row r="1951" spans="6:19" x14ac:dyDescent="0.2">
      <c r="F1951" s="3"/>
      <c r="G1951" s="3"/>
      <c r="H1951" s="3"/>
      <c r="M1951" s="1">
        <f t="shared" si="185"/>
        <v>58.470000000001455</v>
      </c>
      <c r="N1951" s="1">
        <f t="shared" si="186"/>
        <v>1.7208699899472923</v>
      </c>
      <c r="O1951" s="1">
        <f t="shared" si="187"/>
        <v>0.48497023287932506</v>
      </c>
      <c r="P1951" s="1">
        <f t="shared" si="188"/>
        <v>4.6093425112087267</v>
      </c>
      <c r="R1951" s="3">
        <f t="shared" si="183"/>
        <v>-0.15429629730321612</v>
      </c>
      <c r="S1951" s="3">
        <f t="shared" si="184"/>
        <v>-1.4920431135320849</v>
      </c>
    </row>
    <row r="1952" spans="6:19" x14ac:dyDescent="0.2">
      <c r="F1952" s="3"/>
      <c r="G1952" s="3"/>
      <c r="H1952" s="3"/>
      <c r="M1952" s="1">
        <f t="shared" si="185"/>
        <v>58.500000000001457</v>
      </c>
      <c r="N1952" s="1">
        <f t="shared" si="186"/>
        <v>1.499315652073022</v>
      </c>
      <c r="O1952" s="1">
        <f t="shared" si="187"/>
        <v>0.52994970244151574</v>
      </c>
      <c r="P1952" s="1">
        <f t="shared" si="188"/>
        <v>4.6252410022819719</v>
      </c>
      <c r="R1952" s="3">
        <f t="shared" si="183"/>
        <v>-0.13055656276267066</v>
      </c>
      <c r="S1952" s="3">
        <f t="shared" si="184"/>
        <v>-1.4943075265552259</v>
      </c>
    </row>
    <row r="1953" spans="6:19" x14ac:dyDescent="0.2">
      <c r="F1953" s="3"/>
      <c r="G1953" s="3"/>
      <c r="H1953" s="3"/>
      <c r="M1953" s="1">
        <f t="shared" si="185"/>
        <v>58.530000000001458</v>
      </c>
      <c r="N1953" s="1">
        <f t="shared" si="186"/>
        <v>1.2578701544069704</v>
      </c>
      <c r="O1953" s="1">
        <f t="shared" si="187"/>
        <v>0.56768580707372485</v>
      </c>
      <c r="P1953" s="1">
        <f t="shared" si="188"/>
        <v>4.642271576494184</v>
      </c>
      <c r="R1953" s="3">
        <f t="shared" si="183"/>
        <v>-0.1050899448354552</v>
      </c>
      <c r="S1953" s="3">
        <f t="shared" si="184"/>
        <v>-1.496314172723924</v>
      </c>
    </row>
    <row r="1954" spans="6:19" x14ac:dyDescent="0.2">
      <c r="F1954" s="3"/>
      <c r="G1954" s="3"/>
      <c r="H1954" s="3"/>
      <c r="M1954" s="1">
        <f t="shared" si="185"/>
        <v>58.560000000001459</v>
      </c>
      <c r="N1954" s="1">
        <f t="shared" si="186"/>
        <v>0.99980772571791676</v>
      </c>
      <c r="O1954" s="1">
        <f t="shared" si="187"/>
        <v>0.59768003884526233</v>
      </c>
      <c r="P1954" s="1">
        <f t="shared" si="188"/>
        <v>4.6602019776595416</v>
      </c>
      <c r="R1954" s="3">
        <f t="shared" si="183"/>
        <v>-7.8244976319039442E-2</v>
      </c>
      <c r="S1954" s="3">
        <f t="shared" si="184"/>
        <v>-1.497957851102905</v>
      </c>
    </row>
    <row r="1955" spans="6:19" x14ac:dyDescent="0.2">
      <c r="F1955" s="3"/>
      <c r="G1955" s="3"/>
      <c r="H1955" s="3"/>
      <c r="M1955" s="1">
        <f t="shared" si="185"/>
        <v>58.59000000000146</v>
      </c>
      <c r="N1955" s="1">
        <f t="shared" si="186"/>
        <v>0.72865855969432081</v>
      </c>
      <c r="O1955" s="1">
        <f t="shared" si="187"/>
        <v>0.61953979563609196</v>
      </c>
      <c r="P1955" s="1">
        <f t="shared" si="188"/>
        <v>4.6787881715286241</v>
      </c>
      <c r="R1955" s="3">
        <f t="shared" si="183"/>
        <v>-5.0391729870568815E-2</v>
      </c>
      <c r="S1955" s="3">
        <f t="shared" si="184"/>
        <v>-1.4991533188972539</v>
      </c>
    </row>
    <row r="1956" spans="6:19" x14ac:dyDescent="0.2">
      <c r="F1956" s="3"/>
      <c r="G1956" s="3"/>
      <c r="H1956" s="3"/>
      <c r="M1956" s="1">
        <f t="shared" si="185"/>
        <v>58.620000000001461</v>
      </c>
      <c r="N1956" s="1">
        <f t="shared" si="186"/>
        <v>0.44815871709843985</v>
      </c>
      <c r="O1956" s="1">
        <f t="shared" si="187"/>
        <v>0.63298455714904511</v>
      </c>
      <c r="P1956" s="1">
        <f t="shared" si="188"/>
        <v>4.6977777082430956</v>
      </c>
      <c r="R1956" s="3">
        <f t="shared" si="183"/>
        <v>-2.1916128383246743E-2</v>
      </c>
      <c r="S1956" s="3">
        <f t="shared" si="184"/>
        <v>-1.4998398858933872</v>
      </c>
    </row>
    <row r="1957" spans="6:19" x14ac:dyDescent="0.2">
      <c r="F1957" s="3"/>
      <c r="G1957" s="3"/>
      <c r="H1957" s="3"/>
      <c r="M1957" s="1">
        <f t="shared" si="185"/>
        <v>58.650000000001462</v>
      </c>
      <c r="N1957" s="1">
        <f t="shared" si="186"/>
        <v>0.16219267368905338</v>
      </c>
      <c r="O1957" s="1">
        <f t="shared" si="187"/>
        <v>0.63785033735971675</v>
      </c>
      <c r="P1957" s="1">
        <f t="shared" si="188"/>
        <v>4.7169132183638869</v>
      </c>
      <c r="R1957" s="3">
        <f t="shared" si="183"/>
        <v>6.7863338174686209E-3</v>
      </c>
      <c r="S1957" s="3">
        <f t="shared" si="184"/>
        <v>-1.4999846484792163</v>
      </c>
    </row>
    <row r="1958" spans="6:19" x14ac:dyDescent="0.2">
      <c r="F1958" s="3"/>
      <c r="G1958" s="3"/>
      <c r="H1958" s="3"/>
      <c r="M1958" s="1">
        <f t="shared" si="185"/>
        <v>58.680000000001463</v>
      </c>
      <c r="N1958" s="1">
        <f t="shared" si="186"/>
        <v>-0.12526986853706071</v>
      </c>
      <c r="O1958" s="1">
        <f t="shared" si="187"/>
        <v>0.63409224130360498</v>
      </c>
      <c r="P1958" s="1">
        <f t="shared" si="188"/>
        <v>4.7359359856029952</v>
      </c>
      <c r="R1958" s="3">
        <f t="shared" si="183"/>
        <v>3.5317243941252227E-2</v>
      </c>
      <c r="S1958" s="3">
        <f t="shared" si="184"/>
        <v>-1.4995841731228008</v>
      </c>
    </row>
    <row r="1959" spans="6:19" x14ac:dyDescent="0.2">
      <c r="F1959" s="3"/>
      <c r="G1959" s="3"/>
      <c r="H1959" s="3"/>
      <c r="M1959" s="1">
        <f t="shared" si="185"/>
        <v>58.710000000001465</v>
      </c>
      <c r="N1959" s="1">
        <f t="shared" si="186"/>
        <v>-0.41024074112984676</v>
      </c>
      <c r="O1959" s="1">
        <f t="shared" si="187"/>
        <v>0.62178501906970962</v>
      </c>
      <c r="P1959" s="1">
        <f t="shared" si="188"/>
        <v>4.7545895361750867</v>
      </c>
      <c r="R1959" s="3">
        <f t="shared" si="183"/>
        <v>6.3282046754203236E-2</v>
      </c>
      <c r="S1959" s="3">
        <f t="shared" si="184"/>
        <v>-1.4986645330288559</v>
      </c>
    </row>
    <row r="1960" spans="6:19" x14ac:dyDescent="0.2">
      <c r="F1960" s="3"/>
      <c r="G1960" s="3"/>
      <c r="H1960" s="3"/>
      <c r="M1960" s="1">
        <f t="shared" si="185"/>
        <v>58.740000000001466</v>
      </c>
      <c r="N1960" s="1">
        <f t="shared" si="186"/>
        <v>-0.68878111925830632</v>
      </c>
      <c r="O1960" s="1">
        <f t="shared" si="187"/>
        <v>0.60112158549196049</v>
      </c>
      <c r="P1960" s="1">
        <f t="shared" si="188"/>
        <v>4.7726231837398458</v>
      </c>
      <c r="R1960" s="3">
        <f t="shared" si="183"/>
        <v>9.0296680122494311E-2</v>
      </c>
      <c r="S1960" s="3">
        <f t="shared" si="184"/>
        <v>-1.4972797031813583</v>
      </c>
    </row>
    <row r="1961" spans="6:19" x14ac:dyDescent="0.2">
      <c r="F1961" s="3"/>
      <c r="G1961" s="3"/>
      <c r="H1961" s="3"/>
      <c r="M1961" s="1">
        <f t="shared" si="185"/>
        <v>58.770000000001467</v>
      </c>
      <c r="N1961" s="1">
        <f t="shared" si="186"/>
        <v>-0.95706774391921956</v>
      </c>
      <c r="O1961" s="1">
        <f t="shared" si="187"/>
        <v>0.57240955317438391</v>
      </c>
      <c r="P1961" s="1">
        <f t="shared" si="188"/>
        <v>4.7897954703350774</v>
      </c>
      <c r="R1961" s="3">
        <f t="shared" si="183"/>
        <v>0.11599381928974559</v>
      </c>
      <c r="S1961" s="3">
        <f t="shared" si="184"/>
        <v>-1.4955084198648223</v>
      </c>
    </row>
    <row r="1962" spans="6:19" x14ac:dyDescent="0.2">
      <c r="F1962" s="3"/>
      <c r="G1962" s="3"/>
      <c r="H1962" s="3"/>
      <c r="M1962" s="1">
        <f t="shared" si="185"/>
        <v>58.800000000001468</v>
      </c>
      <c r="N1962" s="1">
        <f t="shared" si="186"/>
        <v>-1.2114550526831505</v>
      </c>
      <c r="O1962" s="1">
        <f t="shared" si="187"/>
        <v>0.53606590159388945</v>
      </c>
      <c r="P1962" s="1">
        <f t="shared" si="188"/>
        <v>4.805877447382894</v>
      </c>
      <c r="R1962" s="3">
        <f t="shared" si="183"/>
        <v>0.14002851526284807</v>
      </c>
      <c r="S1962" s="3">
        <f t="shared" si="184"/>
        <v>-1.4934497028401332</v>
      </c>
    </row>
    <row r="1963" spans="6:19" x14ac:dyDescent="0.2">
      <c r="F1963" s="3"/>
      <c r="G1963" s="3"/>
      <c r="H1963" s="3"/>
      <c r="M1963" s="1">
        <f t="shared" si="185"/>
        <v>58.830000000001469</v>
      </c>
      <c r="N1963" s="1">
        <f t="shared" si="186"/>
        <v>-1.4485310837719305</v>
      </c>
      <c r="O1963" s="1">
        <f t="shared" si="187"/>
        <v>0.49260996908073151</v>
      </c>
      <c r="P1963" s="1">
        <f t="shared" si="188"/>
        <v>4.8206557464553157</v>
      </c>
      <c r="R1963" s="3">
        <f t="shared" si="183"/>
        <v>0.16208306756099505</v>
      </c>
      <c r="S1963" s="3">
        <f t="shared" si="184"/>
        <v>-1.4912173145487608</v>
      </c>
    </row>
    <row r="1964" spans="6:19" x14ac:dyDescent="0.2">
      <c r="F1964" s="3"/>
      <c r="G1964" s="3"/>
      <c r="H1964" s="3"/>
      <c r="M1964" s="1">
        <f t="shared" si="185"/>
        <v>58.86000000000147</v>
      </c>
      <c r="N1964" s="1">
        <f t="shared" si="186"/>
        <v>-1.6651655728272163</v>
      </c>
      <c r="O1964" s="1">
        <f t="shared" si="187"/>
        <v>0.442655001895915</v>
      </c>
      <c r="P1964" s="1">
        <f t="shared" si="188"/>
        <v>4.8339353965121932</v>
      </c>
      <c r="R1964" s="3">
        <f t="shared" si="183"/>
        <v>0.18187103823447373</v>
      </c>
      <c r="S1964" s="3">
        <f t="shared" si="184"/>
        <v>-1.4889334859057723</v>
      </c>
    </row>
    <row r="1965" spans="6:19" x14ac:dyDescent="0.2">
      <c r="F1965" s="3"/>
      <c r="G1965" s="3"/>
      <c r="H1965" s="3"/>
      <c r="M1965" s="1">
        <f t="shared" si="185"/>
        <v>58.890000000001471</v>
      </c>
      <c r="N1965" s="1">
        <f t="shared" si="186"/>
        <v>-1.8585493325153697</v>
      </c>
      <c r="O1965" s="1">
        <f t="shared" si="187"/>
        <v>0.38689852192045393</v>
      </c>
      <c r="P1965" s="1">
        <f t="shared" si="188"/>
        <v>4.8455423521698071</v>
      </c>
      <c r="R1965" s="3">
        <f t="shared" si="183"/>
        <v>0.19914038431818204</v>
      </c>
      <c r="S1965" s="3">
        <f t="shared" si="184"/>
        <v>-1.4867222697375615</v>
      </c>
    </row>
    <row r="1966" spans="6:19" x14ac:dyDescent="0.2">
      <c r="F1966" s="3"/>
      <c r="G1966" s="3"/>
      <c r="H1966" s="3"/>
      <c r="M1966" s="1">
        <f t="shared" si="185"/>
        <v>58.920000000001473</v>
      </c>
      <c r="N1966" s="1">
        <f t="shared" si="186"/>
        <v>-2.0262247101546613</v>
      </c>
      <c r="O1966" s="1">
        <f t="shared" si="187"/>
        <v>0.32611178061581408</v>
      </c>
      <c r="P1966" s="1">
        <f t="shared" si="188"/>
        <v>4.8553257055882817</v>
      </c>
      <c r="R1966" s="3">
        <f t="shared" si="183"/>
        <v>0.21367575150472229</v>
      </c>
      <c r="S1966" s="3">
        <f t="shared" si="184"/>
        <v>-1.484702890553828</v>
      </c>
    </row>
    <row r="1967" spans="6:19" x14ac:dyDescent="0.2">
      <c r="F1967" s="3"/>
      <c r="G1967" s="3"/>
      <c r="H1967" s="3"/>
      <c r="M1967" s="1">
        <f t="shared" si="185"/>
        <v>58.950000000001474</v>
      </c>
      <c r="N1967" s="1">
        <f t="shared" si="186"/>
        <v>-2.1661075753026462</v>
      </c>
      <c r="O1967" s="1">
        <f t="shared" si="187"/>
        <v>0.26112855335673468</v>
      </c>
      <c r="P1967" s="1">
        <f t="shared" si="188"/>
        <v>4.8631595621889838</v>
      </c>
      <c r="R1967" s="3">
        <f t="shared" si="183"/>
        <v>0.22530002554733941</v>
      </c>
      <c r="S1967" s="3">
        <f t="shared" si="184"/>
        <v>-1.4829834451160837</v>
      </c>
    </row>
    <row r="1968" spans="6:19" x14ac:dyDescent="0.2">
      <c r="F1968" s="3"/>
      <c r="G1968" s="3"/>
      <c r="H1968" s="3"/>
      <c r="M1968" s="1">
        <f t="shared" si="185"/>
        <v>58.980000000001475</v>
      </c>
      <c r="N1968" s="1">
        <f t="shared" si="186"/>
        <v>-2.2765018252755</v>
      </c>
      <c r="O1968" s="1">
        <f t="shared" si="187"/>
        <v>0.19283349859846968</v>
      </c>
      <c r="P1968" s="1">
        <f t="shared" si="188"/>
        <v>4.8689445671469382</v>
      </c>
      <c r="R1968" s="3">
        <f t="shared" si="183"/>
        <v>0.2338752743117811</v>
      </c>
      <c r="S1968" s="3">
        <f t="shared" si="184"/>
        <v>-1.4816552757188797</v>
      </c>
    </row>
    <row r="1969" spans="6:19" x14ac:dyDescent="0.2">
      <c r="F1969" s="3"/>
      <c r="G1969" s="3"/>
      <c r="H1969" s="3"/>
      <c r="M1969" s="1">
        <f t="shared" si="185"/>
        <v>59.010000000001476</v>
      </c>
      <c r="N1969" s="1">
        <f t="shared" si="186"/>
        <v>-2.3561077579916732</v>
      </c>
      <c r="O1969" s="1">
        <f t="shared" si="187"/>
        <v>0.12215026585871949</v>
      </c>
      <c r="P1969" s="1">
        <f t="shared" si="188"/>
        <v>4.8726090751226998</v>
      </c>
      <c r="R1969" s="3">
        <f t="shared" si="183"/>
        <v>0.23930322942594101</v>
      </c>
      <c r="S1969" s="3">
        <f t="shared" si="184"/>
        <v>-1.4807882915482264</v>
      </c>
    </row>
    <row r="1970" spans="6:19" x14ac:dyDescent="0.2">
      <c r="F1970" s="3"/>
      <c r="G1970" s="3"/>
      <c r="H1970" s="3"/>
      <c r="M1970" s="1">
        <f t="shared" si="185"/>
        <v>59.040000000001477</v>
      </c>
      <c r="N1970" s="1">
        <f t="shared" si="186"/>
        <v>-2.4040258181866947</v>
      </c>
      <c r="O1970" s="1">
        <f t="shared" si="187"/>
        <v>5.0029491313118651E-2</v>
      </c>
      <c r="P1970" s="1">
        <f t="shared" si="188"/>
        <v>4.8741099598620936</v>
      </c>
      <c r="R1970" s="3">
        <f t="shared" si="183"/>
        <v>0.24152545160682304</v>
      </c>
      <c r="S1970" s="3">
        <f t="shared" si="184"/>
        <v>-1.4804274572656777</v>
      </c>
    </row>
    <row r="1971" spans="6:19" x14ac:dyDescent="0.2">
      <c r="F1971" s="3"/>
      <c r="G1971" s="3"/>
      <c r="H1971" s="3"/>
      <c r="M1971" s="1">
        <f t="shared" si="185"/>
        <v>59.070000000001478</v>
      </c>
      <c r="N1971" s="1">
        <f t="shared" si="186"/>
        <v>-2.4197571702864109</v>
      </c>
      <c r="O1971" s="1">
        <f t="shared" si="187"/>
        <v>-2.2563223795473666E-2</v>
      </c>
      <c r="P1971" s="1">
        <f t="shared" si="188"/>
        <v>4.8734330631482292</v>
      </c>
      <c r="R1971" s="3">
        <f t="shared" si="183"/>
        <v>0.24052329987024029</v>
      </c>
      <c r="S1971" s="3">
        <f t="shared" si="184"/>
        <v>-1.4805906058798057</v>
      </c>
    </row>
    <row r="1972" spans="6:19" x14ac:dyDescent="0.2">
      <c r="F1972" s="3"/>
      <c r="G1972" s="3"/>
      <c r="H1972" s="3"/>
      <c r="M1972" s="1">
        <f t="shared" si="185"/>
        <v>59.100000000001479</v>
      </c>
      <c r="N1972" s="1">
        <f t="shared" si="186"/>
        <v>-2.4032023085608105</v>
      </c>
      <c r="O1972" s="1">
        <f t="shared" si="187"/>
        <v>-9.4659293052297977E-2</v>
      </c>
      <c r="P1972" s="1">
        <f t="shared" si="188"/>
        <v>4.8705932843566604</v>
      </c>
      <c r="R1972" s="3">
        <f t="shared" si="183"/>
        <v>0.23631778588920679</v>
      </c>
      <c r="S1972" s="3">
        <f t="shared" si="184"/>
        <v>-1.4812676679359551</v>
      </c>
    </row>
    <row r="1973" spans="6:19" x14ac:dyDescent="0.2">
      <c r="F1973" s="3"/>
      <c r="G1973" s="3"/>
      <c r="H1973" s="3"/>
      <c r="M1973" s="1">
        <f t="shared" si="185"/>
        <v>59.13000000000148</v>
      </c>
      <c r="N1973" s="1">
        <f t="shared" si="186"/>
        <v>-2.3546585225173611</v>
      </c>
      <c r="O1973" s="1">
        <f t="shared" si="187"/>
        <v>-0.16529904872781881</v>
      </c>
      <c r="P1973" s="1">
        <f t="shared" si="188"/>
        <v>4.8656343128948256</v>
      </c>
      <c r="R1973" s="3">
        <f t="shared" si="183"/>
        <v>0.22896934621641421</v>
      </c>
      <c r="S1973" s="3">
        <f t="shared" si="184"/>
        <v>-1.4824213431049986</v>
      </c>
    </row>
    <row r="1974" spans="6:19" x14ac:dyDescent="0.2">
      <c r="F1974" s="3"/>
      <c r="G1974" s="3"/>
      <c r="H1974" s="3"/>
      <c r="M1974" s="1">
        <f t="shared" si="185"/>
        <v>59.160000000001482</v>
      </c>
      <c r="N1974" s="1">
        <f t="shared" si="186"/>
        <v>-2.2748165477786384</v>
      </c>
      <c r="O1974" s="1">
        <f t="shared" si="187"/>
        <v>-0.23354354516117798</v>
      </c>
      <c r="P1974" s="1">
        <f t="shared" si="188"/>
        <v>4.8586280065399903</v>
      </c>
      <c r="R1974" s="3">
        <f t="shared" si="183"/>
        <v>0.21857751327552138</v>
      </c>
      <c r="S1974" s="3">
        <f t="shared" si="184"/>
        <v>-1.4839891747213958</v>
      </c>
    </row>
    <row r="1975" spans="6:19" x14ac:dyDescent="0.2">
      <c r="F1975" s="3"/>
      <c r="G1975" s="3"/>
      <c r="H1975" s="3"/>
      <c r="M1975" s="1">
        <f t="shared" si="185"/>
        <v>59.190000000001483</v>
      </c>
      <c r="N1975" s="1">
        <f t="shared" si="186"/>
        <v>-2.1647562136907079</v>
      </c>
      <c r="O1975" s="1">
        <f t="shared" si="187"/>
        <v>-0.29848623157189924</v>
      </c>
      <c r="P1975" s="1">
        <f t="shared" si="188"/>
        <v>4.8496734195928335</v>
      </c>
      <c r="R1975" s="3">
        <f t="shared" si="183"/>
        <v>0.20528041755049281</v>
      </c>
      <c r="S1975" s="3">
        <f t="shared" si="184"/>
        <v>-1.4858869237496828</v>
      </c>
    </row>
    <row r="1976" spans="6:19" x14ac:dyDescent="0.2">
      <c r="F1976" s="3"/>
      <c r="G1976" s="3"/>
      <c r="H1976" s="3"/>
      <c r="M1976" s="1">
        <f t="shared" si="185"/>
        <v>59.220000000001484</v>
      </c>
      <c r="N1976" s="1">
        <f t="shared" si="186"/>
        <v>-2.0259404146634572</v>
      </c>
      <c r="O1976" s="1">
        <f t="shared" si="187"/>
        <v>-0.35926444401180296</v>
      </c>
      <c r="P1976" s="1">
        <f t="shared" si="188"/>
        <v>4.8388954862724791</v>
      </c>
      <c r="R1976" s="3">
        <f t="shared" si="183"/>
        <v>0.18925401445348228</v>
      </c>
      <c r="S1976" s="3">
        <f t="shared" si="184"/>
        <v>-1.4880130772319311</v>
      </c>
    </row>
    <row r="1977" spans="6:19" x14ac:dyDescent="0.2">
      <c r="F1977" s="3"/>
      <c r="G1977" s="3"/>
      <c r="H1977" s="3"/>
      <c r="M1977" s="1">
        <f t="shared" si="185"/>
        <v>59.250000000001485</v>
      </c>
      <c r="N1977" s="1">
        <f t="shared" si="186"/>
        <v>-1.8602063445737604</v>
      </c>
      <c r="O1977" s="1">
        <f t="shared" si="187"/>
        <v>-0.41507063434901575</v>
      </c>
      <c r="P1977" s="1">
        <f t="shared" si="188"/>
        <v>4.8264433672420086</v>
      </c>
      <c r="R1977" s="3">
        <f t="shared" si="183"/>
        <v>0.17071090510110734</v>
      </c>
      <c r="S1977" s="3">
        <f t="shared" si="184"/>
        <v>-1.4902542692036016</v>
      </c>
    </row>
    <row r="1978" spans="6:19" x14ac:dyDescent="0.2">
      <c r="F1978" s="3"/>
      <c r="G1978" s="3"/>
      <c r="H1978" s="3"/>
      <c r="M1978" s="1">
        <f t="shared" si="185"/>
        <v>59.280000000001486</v>
      </c>
      <c r="N1978" s="1">
        <f t="shared" si="186"/>
        <v>-1.6697526939196619</v>
      </c>
      <c r="O1978" s="1">
        <f t="shared" si="187"/>
        <v>-0.46516321516660564</v>
      </c>
      <c r="P1978" s="1">
        <f t="shared" si="188"/>
        <v>4.8124884707870104</v>
      </c>
      <c r="R1978" s="3">
        <f t="shared" si="183"/>
        <v>0.14989861427592954</v>
      </c>
      <c r="S1978" s="3">
        <f t="shared" si="184"/>
        <v>-1.4924913418302153</v>
      </c>
    </row>
    <row r="1979" spans="6:19" x14ac:dyDescent="0.2">
      <c r="F1979" s="3"/>
      <c r="G1979" s="3"/>
      <c r="H1979" s="3"/>
      <c r="M1979" s="1">
        <f t="shared" si="185"/>
        <v>59.310000000001487</v>
      </c>
      <c r="N1979" s="1">
        <f t="shared" si="186"/>
        <v>-1.4571214533943009</v>
      </c>
      <c r="O1979" s="1">
        <f t="shared" si="187"/>
        <v>-0.50887685876843469</v>
      </c>
      <c r="P1979" s="1">
        <f t="shared" si="188"/>
        <v>4.7972221650239577</v>
      </c>
      <c r="R1979" s="3">
        <f t="shared" si="183"/>
        <v>0.12709720277844844</v>
      </c>
      <c r="S1979" s="3">
        <f t="shared" si="184"/>
        <v>-1.4946057343145362</v>
      </c>
    </row>
    <row r="1980" spans="6:19" x14ac:dyDescent="0.2">
      <c r="F1980" s="3"/>
      <c r="G1980" s="3"/>
      <c r="H1980" s="3"/>
      <c r="M1980" s="1">
        <f t="shared" si="185"/>
        <v>59.340000000001488</v>
      </c>
      <c r="N1980" s="1">
        <f t="shared" si="186"/>
        <v>-1.2251731104953254</v>
      </c>
      <c r="O1980" s="1">
        <f t="shared" si="187"/>
        <v>-0.54563205208329446</v>
      </c>
      <c r="P1980" s="1">
        <f t="shared" si="188"/>
        <v>4.7808532034614588</v>
      </c>
      <c r="R1980" s="3">
        <f t="shared" si="183"/>
        <v>0.10261612447481393</v>
      </c>
      <c r="S1980" s="3">
        <f t="shared" si="184"/>
        <v>-1.4964858606073661</v>
      </c>
    </row>
    <row r="1981" spans="6:19" x14ac:dyDescent="0.2">
      <c r="F1981" s="3"/>
      <c r="G1981" s="3"/>
      <c r="H1981" s="3"/>
      <c r="M1981" s="1">
        <f t="shared" si="185"/>
        <v>59.37000000000149</v>
      </c>
      <c r="N1981" s="1">
        <f t="shared" si="186"/>
        <v>-0.97705436006064272</v>
      </c>
      <c r="O1981" s="1">
        <f t="shared" si="187"/>
        <v>-0.57494368288511377</v>
      </c>
      <c r="P1981" s="1">
        <f t="shared" si="188"/>
        <v>4.7636048929749055</v>
      </c>
      <c r="R1981" s="3">
        <f t="shared" si="183"/>
        <v>7.6790287562783915E-2</v>
      </c>
      <c r="S1981" s="3">
        <f t="shared" si="184"/>
        <v>-1.4980331277164818</v>
      </c>
    </row>
    <row r="1982" spans="6:19" x14ac:dyDescent="0.2">
      <c r="F1982" s="3"/>
      <c r="G1982" s="3"/>
      <c r="H1982" s="3"/>
      <c r="M1982" s="1">
        <f t="shared" si="185"/>
        <v>59.400000000001491</v>
      </c>
      <c r="N1982" s="1">
        <f t="shared" si="186"/>
        <v>-0.71615794416817891</v>
      </c>
      <c r="O1982" s="1">
        <f t="shared" si="187"/>
        <v>-0.59642842121015915</v>
      </c>
      <c r="P1982" s="1">
        <f t="shared" si="188"/>
        <v>4.7457120403386011</v>
      </c>
      <c r="R1982" s="3">
        <f t="shared" si="183"/>
        <v>4.9975339743716277E-2</v>
      </c>
      <c r="S1982" s="3">
        <f t="shared" si="184"/>
        <v>-1.4991672573190424</v>
      </c>
    </row>
    <row r="1983" spans="6:19" x14ac:dyDescent="0.2">
      <c r="F1983" s="3"/>
      <c r="G1983" s="3"/>
      <c r="H1983" s="3"/>
      <c r="M1983" s="1">
        <f t="shared" si="185"/>
        <v>59.430000000001492</v>
      </c>
      <c r="N1983" s="1">
        <f t="shared" si="186"/>
        <v>-0.44607483952824845</v>
      </c>
      <c r="O1983" s="1">
        <f t="shared" si="187"/>
        <v>-0.60981066639600656</v>
      </c>
      <c r="P1983" s="1">
        <f t="shared" si="188"/>
        <v>4.7274177203467209</v>
      </c>
      <c r="R1983" s="3">
        <f t="shared" si="183"/>
        <v>2.2542261343463148E-2</v>
      </c>
      <c r="S1983" s="3">
        <f t="shared" si="184"/>
        <v>-1.4998306059197228</v>
      </c>
    </row>
    <row r="1984" spans="6:19" x14ac:dyDescent="0.2">
      <c r="F1984" s="3"/>
      <c r="G1984" s="3"/>
      <c r="H1984" s="3"/>
      <c r="M1984" s="1">
        <f t="shared" si="185"/>
        <v>59.460000000001493</v>
      </c>
      <c r="N1984" s="1">
        <f t="shared" si="186"/>
        <v>-0.17053965345899091</v>
      </c>
      <c r="O1984" s="1">
        <f t="shared" si="187"/>
        <v>-0.61492685599977626</v>
      </c>
      <c r="P1984" s="1">
        <f t="shared" si="188"/>
        <v>4.7089699146667279</v>
      </c>
      <c r="R1984" s="3">
        <f t="shared" si="183"/>
        <v>-5.1285885847203797E-3</v>
      </c>
      <c r="S1984" s="3">
        <f t="shared" si="184"/>
        <v>-1.4999912325007532</v>
      </c>
    </row>
    <row r="1985" spans="6:19" x14ac:dyDescent="0.2">
      <c r="F1985" s="3"/>
      <c r="G1985" s="3"/>
      <c r="H1985" s="3"/>
      <c r="M1985" s="1">
        <f t="shared" si="185"/>
        <v>59.490000000001494</v>
      </c>
      <c r="N1985" s="1">
        <f t="shared" si="186"/>
        <v>0.10662930288718366</v>
      </c>
      <c r="O1985" s="1">
        <f t="shared" si="187"/>
        <v>-0.61172797691316072</v>
      </c>
      <c r="P1985" s="1">
        <f t="shared" si="188"/>
        <v>4.6906180753593327</v>
      </c>
      <c r="R1985" s="3">
        <f t="shared" si="183"/>
        <v>-3.2653777897657763E-2</v>
      </c>
      <c r="S1985" s="3">
        <f t="shared" si="184"/>
        <v>-1.49964453481117</v>
      </c>
    </row>
    <row r="1986" spans="6:19" x14ac:dyDescent="0.2">
      <c r="F1986" s="3"/>
      <c r="G1986" s="3"/>
      <c r="H1986" s="3"/>
      <c r="M1986" s="1">
        <f t="shared" si="185"/>
        <v>59.520000000001495</v>
      </c>
      <c r="N1986" s="1">
        <f t="shared" si="186"/>
        <v>0.38159329689876209</v>
      </c>
      <c r="O1986" s="1">
        <f t="shared" si="187"/>
        <v>-0.60028017800619782</v>
      </c>
      <c r="P1986" s="1">
        <f t="shared" si="188"/>
        <v>4.6726096700191464</v>
      </c>
      <c r="R1986" s="3">
        <f t="shared" ref="R1986:R2049" si="189">$B$3*COS(P1986)</f>
        <v>-5.9653230162476444E-2</v>
      </c>
      <c r="S1986" s="3">
        <f t="shared" ref="S1986:S2049" si="190">$B$3*SIN(P1986)</f>
        <v>-1.4988133613399577</v>
      </c>
    </row>
    <row r="1987" spans="6:19" x14ac:dyDescent="0.2">
      <c r="F1987" s="3"/>
      <c r="G1987" s="3"/>
      <c r="H1987" s="3"/>
      <c r="M1987" s="1">
        <f t="shared" ref="M1987:M2050" si="191">M1986+B$13</f>
        <v>59.550000000001496</v>
      </c>
      <c r="N1987" s="1">
        <f t="shared" ref="N1987:N2050" si="192">-$B$12*$B$3*COS(P1986)-B$10*O1986</f>
        <v>0.65055751764532221</v>
      </c>
      <c r="O1987" s="1">
        <f t="shared" ref="O1987:O2050" si="193">N1987*$B$13+O1986</f>
        <v>-0.58076345247683814</v>
      </c>
      <c r="P1987" s="1">
        <f t="shared" ref="P1987:P2050" si="194">O1987*$B$13+P1986</f>
        <v>4.6551867664448414</v>
      </c>
      <c r="R1987" s="3">
        <f t="shared" si="189"/>
        <v>-8.5756535819734594E-2</v>
      </c>
      <c r="S1987" s="3">
        <f t="shared" si="190"/>
        <v>-1.4975465991294556</v>
      </c>
    </row>
    <row r="1988" spans="6:19" x14ac:dyDescent="0.2">
      <c r="F1988" s="3"/>
      <c r="G1988" s="3"/>
      <c r="H1988" s="3"/>
      <c r="M1988" s="1">
        <f t="shared" si="191"/>
        <v>59.580000000001498</v>
      </c>
      <c r="N1988" s="1">
        <f t="shared" si="192"/>
        <v>0.90983406892026131</v>
      </c>
      <c r="O1988" s="1">
        <f t="shared" si="193"/>
        <v>-0.55346843040923033</v>
      </c>
      <c r="P1988" s="1">
        <f t="shared" si="194"/>
        <v>4.6385827135325641</v>
      </c>
      <c r="R1988" s="3">
        <f t="shared" si="189"/>
        <v>-0.11060891523183061</v>
      </c>
      <c r="S1988" s="3">
        <f t="shared" si="190"/>
        <v>-1.4959163305048975</v>
      </c>
    </row>
    <row r="1989" spans="6:19" x14ac:dyDescent="0.2">
      <c r="F1989" s="3"/>
      <c r="G1989" s="3"/>
      <c r="H1989" s="3"/>
      <c r="M1989" s="1">
        <f t="shared" si="191"/>
        <v>59.610000000001499</v>
      </c>
      <c r="N1989" s="1">
        <f t="shared" si="192"/>
        <v>1.1559013110551368</v>
      </c>
      <c r="O1989" s="1">
        <f t="shared" si="193"/>
        <v>-0.51879139107757621</v>
      </c>
      <c r="P1989" s="1">
        <f t="shared" si="194"/>
        <v>4.6230189718002368</v>
      </c>
      <c r="R1989" s="3">
        <f t="shared" si="189"/>
        <v>-0.13387663459727353</v>
      </c>
      <c r="S1989" s="3">
        <f t="shared" si="190"/>
        <v>-1.4940137371218873</v>
      </c>
    </row>
    <row r="1990" spans="6:19" x14ac:dyDescent="0.2">
      <c r="F1990" s="3"/>
      <c r="G1990" s="3"/>
      <c r="H1990" s="3"/>
      <c r="M1990" s="1">
        <f t="shared" si="191"/>
        <v>59.6400000000015</v>
      </c>
      <c r="N1990" s="1">
        <f t="shared" si="192"/>
        <v>1.385457571169717</v>
      </c>
      <c r="O1990" s="1">
        <f t="shared" si="193"/>
        <v>-0.47722766394248473</v>
      </c>
      <c r="P1990" s="1">
        <f t="shared" si="194"/>
        <v>4.6087021418819623</v>
      </c>
      <c r="R1990" s="3">
        <f t="shared" si="189"/>
        <v>-0.15525172424566897</v>
      </c>
      <c r="S1990" s="3">
        <f t="shared" si="190"/>
        <v>-1.4919440009996177</v>
      </c>
    </row>
    <row r="1991" spans="6:19" x14ac:dyDescent="0.2">
      <c r="F1991" s="3"/>
      <c r="G1991" s="3"/>
      <c r="H1991" s="3"/>
      <c r="M1991" s="1">
        <f t="shared" si="191"/>
        <v>59.670000000001501</v>
      </c>
      <c r="N1991" s="1">
        <f t="shared" si="192"/>
        <v>1.5954677322115134</v>
      </c>
      <c r="O1991" s="1">
        <f t="shared" si="193"/>
        <v>-0.4293636319761393</v>
      </c>
      <c r="P1991" s="1">
        <f t="shared" si="194"/>
        <v>4.5958212329226784</v>
      </c>
      <c r="R1991" s="3">
        <f t="shared" si="189"/>
        <v>-0.17445590834034211</v>
      </c>
      <c r="S1991" s="3">
        <f t="shared" si="190"/>
        <v>-1.4898205046397859</v>
      </c>
    </row>
    <row r="1992" spans="6:19" x14ac:dyDescent="0.2">
      <c r="F1992" s="3"/>
      <c r="G1992" s="3"/>
      <c r="H1992" s="3"/>
      <c r="M1992" s="1">
        <f t="shared" si="191"/>
        <v>59.700000000001502</v>
      </c>
      <c r="N1992" s="1">
        <f t="shared" si="192"/>
        <v>1.7832018102812737</v>
      </c>
      <c r="O1992" s="1">
        <f t="shared" si="193"/>
        <v>-0.37586757766770107</v>
      </c>
      <c r="P1992" s="1">
        <f t="shared" si="194"/>
        <v>4.5845452055926472</v>
      </c>
      <c r="R1992" s="3">
        <f t="shared" si="189"/>
        <v>-0.19124371825738123</v>
      </c>
      <c r="S1992" s="3">
        <f t="shared" si="190"/>
        <v>-1.4877586633009707</v>
      </c>
    </row>
    <row r="1993" spans="6:19" x14ac:dyDescent="0.2">
      <c r="F1993" s="3"/>
      <c r="G1993" s="3"/>
      <c r="H1993" s="3"/>
      <c r="M1993" s="1">
        <f t="shared" si="191"/>
        <v>59.730000000001503</v>
      </c>
      <c r="N1993" s="1">
        <f t="shared" si="192"/>
        <v>1.9462652645639054</v>
      </c>
      <c r="O1993" s="1">
        <f t="shared" si="193"/>
        <v>-0.31747961973078392</v>
      </c>
      <c r="P1993" s="1">
        <f t="shared" si="194"/>
        <v>4.5750208170007234</v>
      </c>
      <c r="R1993" s="3">
        <f t="shared" si="189"/>
        <v>-0.20540482148892339</v>
      </c>
      <c r="S1993" s="3">
        <f t="shared" si="190"/>
        <v>-1.485869731608092</v>
      </c>
    </row>
    <row r="1994" spans="6:19" x14ac:dyDescent="0.2">
      <c r="F1994" s="3"/>
      <c r="G1994" s="3"/>
      <c r="H1994" s="3"/>
      <c r="M1994" s="1">
        <f t="shared" si="191"/>
        <v>59.760000000001504</v>
      </c>
      <c r="N1994" s="1">
        <f t="shared" si="192"/>
        <v>2.0826213806650045</v>
      </c>
      <c r="O1994" s="1">
        <f t="shared" si="193"/>
        <v>-0.25500097831083379</v>
      </c>
      <c r="P1994" s="1">
        <f t="shared" si="194"/>
        <v>4.5673707876513987</v>
      </c>
      <c r="R1994" s="3">
        <f t="shared" si="189"/>
        <v>-0.21676564725547387</v>
      </c>
      <c r="S1994" s="3">
        <f t="shared" si="190"/>
        <v>-1.4842549154946112</v>
      </c>
    </row>
    <row r="1995" spans="6:19" x14ac:dyDescent="0.2">
      <c r="F1995" s="3"/>
      <c r="G1995" s="3"/>
      <c r="H1995" s="3"/>
      <c r="M1995" s="1">
        <f t="shared" si="191"/>
        <v>59.790000000001505</v>
      </c>
      <c r="N1995" s="1">
        <f t="shared" si="192"/>
        <v>2.1906065606027139</v>
      </c>
      <c r="O1995" s="1">
        <f t="shared" si="193"/>
        <v>-0.18928278149275238</v>
      </c>
      <c r="P1995" s="1">
        <f t="shared" si="194"/>
        <v>4.5616923042066162</v>
      </c>
      <c r="R1995" s="3">
        <f t="shared" si="189"/>
        <v>-0.22519042411195445</v>
      </c>
      <c r="S1995" s="3">
        <f t="shared" si="190"/>
        <v>-1.4830000920054855</v>
      </c>
    </row>
    <row r="1996" spans="6:19" x14ac:dyDescent="0.2">
      <c r="F1996" s="3"/>
      <c r="G1996" s="3"/>
      <c r="H1996" s="3"/>
      <c r="M1996" s="1">
        <f t="shared" si="191"/>
        <v>59.820000000001507</v>
      </c>
      <c r="N1996" s="1">
        <f t="shared" si="192"/>
        <v>2.268939691453892</v>
      </c>
      <c r="O1996" s="1">
        <f t="shared" si="193"/>
        <v>-0.12121459074913563</v>
      </c>
      <c r="P1996" s="1">
        <f t="shared" si="194"/>
        <v>4.5580558664841417</v>
      </c>
      <c r="R1996" s="3">
        <f t="shared" si="189"/>
        <v>-0.23058176078210335</v>
      </c>
      <c r="S1996" s="3">
        <f t="shared" si="190"/>
        <v>-1.4821713975092843</v>
      </c>
    </row>
    <row r="1997" spans="6:19" x14ac:dyDescent="0.2">
      <c r="F1997" s="3"/>
      <c r="G1997" s="3"/>
      <c r="H1997" s="3"/>
      <c r="M1997" s="1">
        <f t="shared" si="191"/>
        <v>59.850000000001508</v>
      </c>
      <c r="N1997" s="1">
        <f t="shared" si="192"/>
        <v>2.3167269209884558</v>
      </c>
      <c r="O1997" s="1">
        <f t="shared" si="193"/>
        <v>-5.171278311948195E-2</v>
      </c>
      <c r="P1997" s="1">
        <f t="shared" si="194"/>
        <v>4.5565044829905572</v>
      </c>
      <c r="R1997" s="3">
        <f t="shared" si="189"/>
        <v>-0.23288089861952538</v>
      </c>
      <c r="S1997" s="3">
        <f t="shared" si="190"/>
        <v>-1.4818118932773359</v>
      </c>
    </row>
    <row r="1998" spans="6:19" x14ac:dyDescent="0.2">
      <c r="F1998" s="3"/>
      <c r="G1998" s="3"/>
      <c r="H1998" s="3"/>
      <c r="M1998" s="1">
        <f t="shared" si="191"/>
        <v>59.880000000001509</v>
      </c>
      <c r="N1998" s="1">
        <f t="shared" si="192"/>
        <v>2.333463136676007</v>
      </c>
      <c r="O1998" s="1">
        <f t="shared" si="193"/>
        <v>1.8291110980798261E-2</v>
      </c>
      <c r="P1998" s="1">
        <f t="shared" si="194"/>
        <v>4.5570532163199813</v>
      </c>
      <c r="R1998" s="3">
        <f t="shared" si="189"/>
        <v>-0.23206774402537228</v>
      </c>
      <c r="S1998" s="3">
        <f t="shared" si="190"/>
        <v>-1.4819394596888815</v>
      </c>
    </row>
    <row r="1999" spans="6:19" x14ac:dyDescent="0.2">
      <c r="F1999" s="3"/>
      <c r="G1999" s="3"/>
      <c r="H1999" s="3"/>
      <c r="M1999" s="1">
        <f t="shared" si="191"/>
        <v>59.91000000000151</v>
      </c>
      <c r="N1999" s="1">
        <f t="shared" si="192"/>
        <v>2.3190312402654509</v>
      </c>
      <c r="O1999" s="1">
        <f t="shared" si="193"/>
        <v>8.7862048188761782E-2</v>
      </c>
      <c r="P1999" s="1">
        <f t="shared" si="194"/>
        <v>4.5596890777656442</v>
      </c>
      <c r="R1999" s="3">
        <f t="shared" si="189"/>
        <v>-0.22816075528630914</v>
      </c>
      <c r="S1999" s="3">
        <f t="shared" si="190"/>
        <v>-1.4825460093188276</v>
      </c>
    </row>
    <row r="2000" spans="6:19" x14ac:dyDescent="0.2">
      <c r="F2000" s="3"/>
      <c r="G2000" s="3"/>
      <c r="H2000" s="3"/>
      <c r="M2000" s="1">
        <f t="shared" si="191"/>
        <v>59.940000000001511</v>
      </c>
      <c r="N2000" s="1">
        <f t="shared" si="192"/>
        <v>2.2736999685261026</v>
      </c>
      <c r="O2000" s="1">
        <f t="shared" si="193"/>
        <v>0.15607304724454485</v>
      </c>
      <c r="P2000" s="1">
        <f t="shared" si="194"/>
        <v>4.5643712691829803</v>
      </c>
      <c r="R2000" s="3">
        <f t="shared" si="189"/>
        <v>-0.22121671547884419</v>
      </c>
      <c r="S2000" s="3">
        <f t="shared" si="190"/>
        <v>-1.4835980469091863</v>
      </c>
    </row>
    <row r="2001" spans="6:19" x14ac:dyDescent="0.2">
      <c r="F2001" s="3"/>
      <c r="G2001" s="3"/>
      <c r="H2001" s="3"/>
      <c r="M2001" s="1">
        <f t="shared" si="191"/>
        <v>59.970000000001512</v>
      </c>
      <c r="N2001" s="1">
        <f t="shared" si="192"/>
        <v>2.198120580536433</v>
      </c>
      <c r="O2001" s="1">
        <f t="shared" si="193"/>
        <v>0.22201666466063785</v>
      </c>
      <c r="P2001" s="1">
        <f t="shared" si="194"/>
        <v>4.5710317691227997</v>
      </c>
      <c r="R2001" s="3">
        <f t="shared" si="189"/>
        <v>-0.21133037701898316</v>
      </c>
      <c r="S2001" s="3">
        <f t="shared" si="190"/>
        <v>-1.4850385421762677</v>
      </c>
    </row>
    <row r="2002" spans="6:19" x14ac:dyDescent="0.2">
      <c r="F2002" s="3"/>
      <c r="G2002" s="3"/>
      <c r="H2002" s="3"/>
      <c r="M2002" s="1">
        <f t="shared" si="191"/>
        <v>60.000000000001513</v>
      </c>
      <c r="N2002" s="1">
        <f t="shared" si="192"/>
        <v>2.0933222703703742</v>
      </c>
      <c r="O2002" s="1">
        <f t="shared" si="193"/>
        <v>0.28481633277174906</v>
      </c>
      <c r="P2002" s="1">
        <f t="shared" si="194"/>
        <v>4.5795762591059521</v>
      </c>
      <c r="R2002" s="3">
        <f t="shared" si="189"/>
        <v>-0.19863392007954472</v>
      </c>
      <c r="S2002" s="3">
        <f t="shared" si="190"/>
        <v>-1.4867900207473257</v>
      </c>
    </row>
    <row r="2003" spans="6:19" x14ac:dyDescent="0.2">
      <c r="F2003" s="3"/>
      <c r="G2003" s="3"/>
      <c r="H2003" s="3"/>
      <c r="M2003" s="1">
        <f t="shared" si="191"/>
        <v>60.030000000001515</v>
      </c>
      <c r="N2003" s="1">
        <f t="shared" si="192"/>
        <v>1.9607057308459901</v>
      </c>
      <c r="O2003" s="1">
        <f t="shared" si="193"/>
        <v>0.34363750469712878</v>
      </c>
      <c r="P2003" s="1">
        <f t="shared" si="194"/>
        <v>4.5898853842468661</v>
      </c>
      <c r="R2003" s="3">
        <f t="shared" si="189"/>
        <v>-0.18329613207172468</v>
      </c>
      <c r="S2003" s="3">
        <f t="shared" si="190"/>
        <v>-1.4887587205345079</v>
      </c>
    </row>
    <row r="2004" spans="6:19" x14ac:dyDescent="0.2">
      <c r="F2004" s="3"/>
      <c r="G2004" s="3"/>
      <c r="H2004" s="3"/>
      <c r="M2004" s="1">
        <f t="shared" si="191"/>
        <v>60.060000000001516</v>
      </c>
      <c r="N2004" s="1">
        <f t="shared" si="192"/>
        <v>1.8020339452945053</v>
      </c>
      <c r="O2004" s="1">
        <f t="shared" si="193"/>
        <v>0.39769852305596393</v>
      </c>
      <c r="P2004" s="1">
        <f t="shared" si="194"/>
        <v>4.6018163399385452</v>
      </c>
      <c r="R2004" s="3">
        <f t="shared" si="189"/>
        <v>-0.16552119340554025</v>
      </c>
      <c r="S2004" s="3">
        <f t="shared" si="190"/>
        <v>-1.4908396072460663</v>
      </c>
    </row>
    <row r="2005" spans="6:19" x14ac:dyDescent="0.2">
      <c r="F2005" s="3"/>
      <c r="G2005" s="3"/>
      <c r="H2005" s="3"/>
      <c r="M2005" s="1">
        <f t="shared" si="191"/>
        <v>60.090000000001517</v>
      </c>
      <c r="N2005" s="1">
        <f t="shared" si="192"/>
        <v>1.6194190669803659</v>
      </c>
      <c r="O2005" s="1">
        <f t="shared" si="193"/>
        <v>0.44628109506537489</v>
      </c>
      <c r="P2005" s="1">
        <f t="shared" si="194"/>
        <v>4.6152047727905066</v>
      </c>
      <c r="R2005" s="3">
        <f t="shared" si="189"/>
        <v>-0.14554694910468888</v>
      </c>
      <c r="S2005" s="3">
        <f t="shared" si="190"/>
        <v>-1.4929219958210533</v>
      </c>
    </row>
    <row r="2006" spans="6:19" x14ac:dyDescent="0.2">
      <c r="F2006" s="3"/>
      <c r="G2006" s="3"/>
      <c r="H2006" s="3"/>
      <c r="M2006" s="1">
        <f t="shared" si="191"/>
        <v>60.120000000001518</v>
      </c>
      <c r="N2006" s="1">
        <f t="shared" si="192"/>
        <v>1.415304192491005</v>
      </c>
      <c r="O2006" s="1">
        <f t="shared" si="193"/>
        <v>0.48874022084010504</v>
      </c>
      <c r="P2006" s="1">
        <f t="shared" si="194"/>
        <v>4.6298669794157101</v>
      </c>
      <c r="R2006" s="3">
        <f t="shared" si="189"/>
        <v>-0.12364255803787025</v>
      </c>
      <c r="S2006" s="3">
        <f t="shared" si="190"/>
        <v>-1.4948954872638596</v>
      </c>
    </row>
    <row r="2007" spans="6:19" x14ac:dyDescent="0.2">
      <c r="F2007" s="3"/>
      <c r="G2007" s="3"/>
      <c r="H2007" s="3"/>
      <c r="M2007" s="1">
        <f t="shared" si="191"/>
        <v>60.150000000001519</v>
      </c>
      <c r="N2007" s="1">
        <f t="shared" si="192"/>
        <v>1.1924389605030932</v>
      </c>
      <c r="O2007" s="1">
        <f t="shared" si="193"/>
        <v>0.52451338965519789</v>
      </c>
      <c r="P2007" s="1">
        <f t="shared" si="194"/>
        <v>4.6456023811053662</v>
      </c>
      <c r="R2007" s="3">
        <f t="shared" si="189"/>
        <v>-0.10010544095765325</v>
      </c>
      <c r="S2007" s="3">
        <f t="shared" si="190"/>
        <v>-1.4966559059084603</v>
      </c>
    </row>
    <row r="2008" spans="6:19" x14ac:dyDescent="0.2">
      <c r="F2008" s="3"/>
      <c r="G2008" s="3"/>
      <c r="H2008" s="3"/>
      <c r="M2008" s="1">
        <f t="shared" si="191"/>
        <v>60.18000000000152</v>
      </c>
      <c r="N2008" s="1">
        <f t="shared" si="192"/>
        <v>0.95384820450756458</v>
      </c>
      <c r="O2008" s="1">
        <f t="shared" si="193"/>
        <v>0.55312883579042482</v>
      </c>
      <c r="P2008" s="1">
        <f t="shared" si="194"/>
        <v>4.6621962461790787</v>
      </c>
      <c r="R2008" s="3">
        <f t="shared" si="189"/>
        <v>-7.5257492518879227E-2</v>
      </c>
      <c r="S2008" s="3">
        <f t="shared" si="190"/>
        <v>-1.4981109137242712</v>
      </c>
    </row>
    <row r="2009" spans="6:19" x14ac:dyDescent="0.2">
      <c r="F2009" s="3"/>
      <c r="G2009" s="3"/>
      <c r="H2009" s="3"/>
      <c r="M2009" s="1">
        <f t="shared" si="191"/>
        <v>60.210000000001521</v>
      </c>
      <c r="N2009" s="1">
        <f t="shared" si="192"/>
        <v>0.70279332996765398</v>
      </c>
      <c r="O2009" s="1">
        <f t="shared" si="193"/>
        <v>0.57421263568945446</v>
      </c>
      <c r="P2009" s="1">
        <f t="shared" si="194"/>
        <v>4.6794226252497619</v>
      </c>
      <c r="R2009" s="3">
        <f t="shared" si="189"/>
        <v>-4.9440576390519658E-2</v>
      </c>
      <c r="S2009" s="3">
        <f t="shared" si="190"/>
        <v>-1.4991849883874149</v>
      </c>
    </row>
    <row r="2010" spans="6:19" x14ac:dyDescent="0.2">
      <c r="F2010" s="3"/>
      <c r="G2010" s="3"/>
      <c r="H2010" s="3"/>
      <c r="M2010" s="1">
        <f t="shared" si="191"/>
        <v>60.240000000001523</v>
      </c>
      <c r="N2010" s="1">
        <f t="shared" si="192"/>
        <v>0.44272662669314572</v>
      </c>
      <c r="O2010" s="1">
        <f t="shared" si="193"/>
        <v>0.58749443449024885</v>
      </c>
      <c r="P2010" s="1">
        <f t="shared" si="194"/>
        <v>4.6970474582844695</v>
      </c>
      <c r="R2010" s="3">
        <f t="shared" si="189"/>
        <v>-2.3011380456970567E-2</v>
      </c>
      <c r="S2010" s="3">
        <f t="shared" si="190"/>
        <v>-1.4998234817369225</v>
      </c>
    </row>
    <row r="2011" spans="6:19" x14ac:dyDescent="0.2">
      <c r="F2011" s="3"/>
      <c r="G2011" s="3"/>
      <c r="H2011" s="3"/>
      <c r="M2011" s="1">
        <f t="shared" si="191"/>
        <v>60.270000000001524</v>
      </c>
      <c r="N2011" s="1">
        <f t="shared" si="192"/>
        <v>0.17723930546558328</v>
      </c>
      <c r="O2011" s="1">
        <f t="shared" si="193"/>
        <v>0.59281161365421631</v>
      </c>
      <c r="P2011" s="1">
        <f t="shared" si="194"/>
        <v>4.7148318066940957</v>
      </c>
      <c r="R2011" s="3">
        <f t="shared" si="189"/>
        <v>3.6642358197792489E-3</v>
      </c>
      <c r="S2011" s="3">
        <f t="shared" si="190"/>
        <v>-1.4999955244519421</v>
      </c>
    </row>
    <row r="2012" spans="6:19" x14ac:dyDescent="0.2">
      <c r="F2012" s="3"/>
      <c r="G2012" s="3"/>
      <c r="H2012" s="3"/>
      <c r="M2012" s="1">
        <f t="shared" si="191"/>
        <v>60.300000000001525</v>
      </c>
      <c r="N2012" s="1">
        <f t="shared" si="192"/>
        <v>-8.9995403426671949E-2</v>
      </c>
      <c r="O2012" s="1">
        <f t="shared" si="193"/>
        <v>0.59011175155141615</v>
      </c>
      <c r="P2012" s="1">
        <f t="shared" si="194"/>
        <v>4.7325351592406379</v>
      </c>
      <c r="R2012" s="3">
        <f t="shared" si="189"/>
        <v>3.0217224150443495E-2</v>
      </c>
      <c r="S2012" s="3">
        <f t="shared" si="190"/>
        <v>-1.4996956089035673</v>
      </c>
    </row>
    <row r="2013" spans="6:19" x14ac:dyDescent="0.2">
      <c r="F2013" s="3"/>
      <c r="G2013" s="3"/>
      <c r="H2013" s="3"/>
      <c r="M2013" s="1">
        <f t="shared" si="191"/>
        <v>60.330000000001526</v>
      </c>
      <c r="N2013" s="1">
        <f t="shared" si="192"/>
        <v>-0.3552822991440624</v>
      </c>
      <c r="O2013" s="1">
        <f t="shared" si="193"/>
        <v>0.57945328257709428</v>
      </c>
      <c r="P2013" s="1">
        <f t="shared" si="194"/>
        <v>4.7499187577179507</v>
      </c>
      <c r="R2013" s="3">
        <f t="shared" si="189"/>
        <v>5.6281451906041779E-2</v>
      </c>
      <c r="S2013" s="3">
        <f t="shared" si="190"/>
        <v>-1.4989437608433973</v>
      </c>
    </row>
    <row r="2014" spans="6:19" x14ac:dyDescent="0.2">
      <c r="F2014" s="3"/>
      <c r="G2014" s="3"/>
      <c r="H2014" s="3"/>
      <c r="M2014" s="1">
        <f t="shared" si="191"/>
        <v>60.360000000001527</v>
      </c>
      <c r="N2014" s="1">
        <f t="shared" si="192"/>
        <v>-0.61496531449235625</v>
      </c>
      <c r="O2014" s="1">
        <f t="shared" si="193"/>
        <v>0.56100432314232362</v>
      </c>
      <c r="P2014" s="1">
        <f t="shared" si="194"/>
        <v>4.7667488874122208</v>
      </c>
      <c r="R2014" s="3">
        <f t="shared" si="189"/>
        <v>8.1499708099864329E-2</v>
      </c>
      <c r="S2014" s="3">
        <f t="shared" si="190"/>
        <v>-1.4977842960785899</v>
      </c>
    </row>
    <row r="2015" spans="6:19" x14ac:dyDescent="0.2">
      <c r="F2015" s="3"/>
      <c r="G2015" s="3"/>
      <c r="H2015" s="3"/>
      <c r="M2015" s="1">
        <f t="shared" si="191"/>
        <v>60.390000000001528</v>
      </c>
      <c r="N2015" s="1">
        <f t="shared" si="192"/>
        <v>-0.86548747008145244</v>
      </c>
      <c r="O2015" s="1">
        <f t="shared" si="193"/>
        <v>0.53503969903988002</v>
      </c>
      <c r="P2015" s="1">
        <f t="shared" si="194"/>
        <v>4.782800078383417</v>
      </c>
      <c r="R2015" s="3">
        <f t="shared" si="189"/>
        <v>0.1055293989533834</v>
      </c>
      <c r="S2015" s="3">
        <f t="shared" si="190"/>
        <v>-1.4962832438935276</v>
      </c>
    </row>
    <row r="2016" spans="6:19" x14ac:dyDescent="0.2">
      <c r="F2016" s="3"/>
      <c r="G2016" s="3"/>
      <c r="H2016" s="3"/>
      <c r="M2016" s="1">
        <f t="shared" si="191"/>
        <v>60.420000000001529</v>
      </c>
      <c r="N2016" s="1">
        <f t="shared" si="192"/>
        <v>-1.1034475624474231</v>
      </c>
      <c r="O2016" s="1">
        <f t="shared" si="193"/>
        <v>0.50193627216645731</v>
      </c>
      <c r="P2016" s="1">
        <f t="shared" si="194"/>
        <v>4.7978581665484104</v>
      </c>
      <c r="R2016" s="3">
        <f t="shared" si="189"/>
        <v>0.12804774853456669</v>
      </c>
      <c r="S2016" s="3">
        <f t="shared" si="190"/>
        <v>-1.4945245980228057</v>
      </c>
    </row>
    <row r="2017" spans="6:19" x14ac:dyDescent="0.2">
      <c r="F2017" s="3"/>
      <c r="G2017" s="3"/>
      <c r="H2017" s="3"/>
      <c r="M2017" s="1">
        <f t="shared" si="191"/>
        <v>60.450000000001531</v>
      </c>
      <c r="N2017" s="1">
        <f t="shared" si="192"/>
        <v>-1.3256517498406479</v>
      </c>
      <c r="O2017" s="1">
        <f t="shared" si="193"/>
        <v>0.4621667196712379</v>
      </c>
      <c r="P2017" s="1">
        <f t="shared" si="194"/>
        <v>4.8117231681385473</v>
      </c>
      <c r="R2017" s="3">
        <f t="shared" si="189"/>
        <v>0.14875636291379649</v>
      </c>
      <c r="S2017" s="3">
        <f t="shared" si="190"/>
        <v>-1.4926056225583029</v>
      </c>
    </row>
    <row r="2018" spans="6:19" x14ac:dyDescent="0.2">
      <c r="F2018" s="3"/>
      <c r="G2018" s="3"/>
      <c r="H2018" s="3"/>
      <c r="M2018" s="1">
        <f t="shared" si="191"/>
        <v>60.480000000001532</v>
      </c>
      <c r="N2018" s="1">
        <f t="shared" si="192"/>
        <v>-1.5291586339083763</v>
      </c>
      <c r="O2018" s="1">
        <f t="shared" si="193"/>
        <v>0.4162919606539866</v>
      </c>
      <c r="P2018" s="1">
        <f t="shared" si="194"/>
        <v>4.8242119269581671</v>
      </c>
      <c r="R2018" s="3">
        <f t="shared" si="189"/>
        <v>0.1673850694389328</v>
      </c>
      <c r="S2018" s="3">
        <f t="shared" si="190"/>
        <v>-1.4906314898488238</v>
      </c>
    </row>
    <row r="2019" spans="6:19" x14ac:dyDescent="0.2">
      <c r="F2019" s="3"/>
      <c r="G2019" s="3"/>
      <c r="H2019" s="3"/>
      <c r="M2019" s="1">
        <f t="shared" si="191"/>
        <v>60.510000000001533</v>
      </c>
      <c r="N2019" s="1">
        <f t="shared" si="192"/>
        <v>-1.7113169708481868</v>
      </c>
      <c r="O2019" s="1">
        <f t="shared" si="193"/>
        <v>0.364952451528541</v>
      </c>
      <c r="P2019" s="1">
        <f t="shared" si="194"/>
        <v>4.8351605005040232</v>
      </c>
      <c r="R2019" s="3">
        <f t="shared" si="189"/>
        <v>0.18369499965206848</v>
      </c>
      <c r="S2019" s="3">
        <f t="shared" si="190"/>
        <v>-1.4887095576716187</v>
      </c>
    </row>
    <row r="2020" spans="6:19" x14ac:dyDescent="0.2">
      <c r="F2020" s="3"/>
      <c r="G2020" s="3"/>
      <c r="H2020" s="3"/>
      <c r="M2020" s="1">
        <f t="shared" si="191"/>
        <v>60.540000000001534</v>
      </c>
      <c r="N2020" s="1">
        <f t="shared" si="192"/>
        <v>-1.8697957171582535</v>
      </c>
      <c r="O2020" s="1">
        <f t="shared" si="193"/>
        <v>0.3088585800137934</v>
      </c>
      <c r="P2020" s="1">
        <f t="shared" si="194"/>
        <v>4.8444262579044368</v>
      </c>
      <c r="R2020" s="3">
        <f t="shared" si="189"/>
        <v>0.19748093843199244</v>
      </c>
      <c r="S2020" s="3">
        <f t="shared" si="190"/>
        <v>-1.4869436031524597</v>
      </c>
    </row>
    <row r="2021" spans="6:19" x14ac:dyDescent="0.2">
      <c r="F2021" s="3"/>
      <c r="G2021" s="3"/>
      <c r="H2021" s="3"/>
      <c r="M2021" s="1">
        <f t="shared" si="191"/>
        <v>60.570000000001535</v>
      </c>
      <c r="N2021" s="1">
        <f t="shared" si="192"/>
        <v>-2.0026066565211655</v>
      </c>
      <c r="O2021" s="1">
        <f t="shared" si="193"/>
        <v>0.24878038031815844</v>
      </c>
      <c r="P2021" s="1">
        <f t="shared" si="194"/>
        <v>4.8518896693139819</v>
      </c>
      <c r="R2021" s="3">
        <f t="shared" si="189"/>
        <v>0.20857300719093802</v>
      </c>
      <c r="S2021" s="3">
        <f t="shared" si="190"/>
        <v>-1.4854283222933811</v>
      </c>
    </row>
    <row r="2022" spans="6:19" x14ac:dyDescent="0.2">
      <c r="F2022" s="3"/>
      <c r="G2022" s="3"/>
      <c r="H2022" s="3"/>
      <c r="M2022" s="1">
        <f t="shared" si="191"/>
        <v>60.600000000001536</v>
      </c>
      <c r="N2022" s="1">
        <f t="shared" si="192"/>
        <v>-2.1081203061380149</v>
      </c>
      <c r="O2022" s="1">
        <f t="shared" si="193"/>
        <v>0.18553677113401801</v>
      </c>
      <c r="P2022" s="1">
        <f t="shared" si="194"/>
        <v>4.8574557724480023</v>
      </c>
      <c r="R2022" s="3">
        <f t="shared" si="189"/>
        <v>0.21683778079393051</v>
      </c>
      <c r="S2022" s="3">
        <f t="shared" si="190"/>
        <v>-1.48424437907656</v>
      </c>
    </row>
    <row r="2023" spans="6:19" x14ac:dyDescent="0.2">
      <c r="F2023" s="3"/>
      <c r="G2023" s="3"/>
      <c r="H2023" s="3"/>
      <c r="M2023" s="1">
        <f t="shared" si="191"/>
        <v>60.630000000001537</v>
      </c>
      <c r="N2023" s="1">
        <f t="shared" si="192"/>
        <v>-2.1850761173413664</v>
      </c>
      <c r="O2023" s="1">
        <f t="shared" si="193"/>
        <v>0.11998448761377702</v>
      </c>
      <c r="P2023" s="1">
        <f t="shared" si="194"/>
        <v>4.8610553070764153</v>
      </c>
      <c r="R2023" s="3">
        <f t="shared" si="189"/>
        <v>0.22217895355239264</v>
      </c>
      <c r="S2023" s="3">
        <f t="shared" si="190"/>
        <v>-1.4834542502545751</v>
      </c>
    </row>
    <row r="2024" spans="6:19" x14ac:dyDescent="0.2">
      <c r="F2024" s="3"/>
      <c r="G2024" s="3"/>
      <c r="H2024" s="3"/>
      <c r="M2024" s="1">
        <f t="shared" si="191"/>
        <v>60.660000000001538</v>
      </c>
      <c r="N2024" s="1">
        <f t="shared" si="192"/>
        <v>-2.2325881394091662</v>
      </c>
      <c r="O2024" s="1">
        <f t="shared" si="193"/>
        <v>5.3006843431502026E-2</v>
      </c>
      <c r="P2024" s="1">
        <f t="shared" si="194"/>
        <v>4.8626455123793599</v>
      </c>
      <c r="R2024" s="3">
        <f t="shared" si="189"/>
        <v>0.22453766845582537</v>
      </c>
      <c r="S2024" s="3">
        <f t="shared" si="190"/>
        <v>-1.4830990646091116</v>
      </c>
    </row>
    <row r="2025" spans="6:19" x14ac:dyDescent="0.2">
      <c r="F2025" s="3"/>
      <c r="G2025" s="3"/>
      <c r="H2025" s="3"/>
      <c r="M2025" s="1">
        <f t="shared" si="191"/>
        <v>60.69000000000154</v>
      </c>
      <c r="N2025" s="1">
        <f t="shared" si="192"/>
        <v>-2.2501473004670891</v>
      </c>
      <c r="O2025" s="1">
        <f t="shared" si="193"/>
        <v>-1.4497575582510649E-2</v>
      </c>
      <c r="P2025" s="1">
        <f t="shared" si="194"/>
        <v>4.8622105851118844</v>
      </c>
      <c r="R2025" s="3">
        <f t="shared" si="189"/>
        <v>0.22389260701562921</v>
      </c>
      <c r="S2025" s="3">
        <f t="shared" si="190"/>
        <v>-1.4831965818878308</v>
      </c>
    </row>
    <row r="2026" spans="6:19" x14ac:dyDescent="0.2">
      <c r="F2026" s="3"/>
      <c r="G2026" s="3"/>
      <c r="H2026" s="3"/>
      <c r="M2026" s="1">
        <f t="shared" si="191"/>
        <v>60.720000000001541</v>
      </c>
      <c r="N2026" s="1">
        <f t="shared" si="192"/>
        <v>-2.237621288353866</v>
      </c>
      <c r="O2026" s="1">
        <f t="shared" si="193"/>
        <v>-8.1626214233126632E-2</v>
      </c>
      <c r="P2026" s="1">
        <f t="shared" si="194"/>
        <v>4.8597617986848904</v>
      </c>
      <c r="R2026" s="3">
        <f t="shared" si="189"/>
        <v>0.22025990769545695</v>
      </c>
      <c r="S2026" s="3">
        <f t="shared" si="190"/>
        <v>-1.4837403994843534</v>
      </c>
    </row>
    <row r="2027" spans="6:19" x14ac:dyDescent="0.2">
      <c r="F2027" s="3"/>
      <c r="G2027" s="3"/>
      <c r="H2027" s="3"/>
      <c r="M2027" s="1">
        <f t="shared" si="191"/>
        <v>60.750000000001542</v>
      </c>
      <c r="N2027" s="1">
        <f t="shared" si="192"/>
        <v>-2.1952527176735881</v>
      </c>
      <c r="O2027" s="1">
        <f t="shared" si="193"/>
        <v>-0.14748379576333426</v>
      </c>
      <c r="P2027" s="1">
        <f t="shared" si="194"/>
        <v>4.8553372848119905</v>
      </c>
      <c r="R2027" s="3">
        <f t="shared" si="189"/>
        <v>0.213692943197308</v>
      </c>
      <c r="S2027" s="3">
        <f t="shared" si="190"/>
        <v>-1.4847004162549671</v>
      </c>
    </row>
    <row r="2028" spans="6:19" x14ac:dyDescent="0.2">
      <c r="F2028" s="3"/>
      <c r="G2028" s="3"/>
      <c r="H2028" s="3"/>
      <c r="M2028" s="1">
        <f t="shared" si="191"/>
        <v>60.780000000001543</v>
      </c>
      <c r="N2028" s="1">
        <f t="shared" si="192"/>
        <v>-2.1236558903543798</v>
      </c>
      <c r="O2028" s="1">
        <f t="shared" si="193"/>
        <v>-0.21119347247396564</v>
      </c>
      <c r="P2028" s="1">
        <f t="shared" si="194"/>
        <v>4.8490014806377717</v>
      </c>
      <c r="R2028" s="3">
        <f t="shared" si="189"/>
        <v>0.20428194597648663</v>
      </c>
      <c r="S2028" s="3">
        <f t="shared" si="190"/>
        <v>-1.4860245242081505</v>
      </c>
    </row>
    <row r="2029" spans="6:19" x14ac:dyDescent="0.2">
      <c r="F2029" s="3"/>
      <c r="G2029" s="3"/>
      <c r="H2029" s="3"/>
      <c r="M2029" s="1">
        <f t="shared" si="191"/>
        <v>60.810000000001544</v>
      </c>
      <c r="N2029" s="1">
        <f t="shared" si="192"/>
        <v>-2.0238120472422096</v>
      </c>
      <c r="O2029" s="1">
        <f t="shared" si="193"/>
        <v>-0.27190783389123191</v>
      </c>
      <c r="P2029" s="1">
        <f t="shared" si="194"/>
        <v>4.8408442456210343</v>
      </c>
      <c r="R2029" s="3">
        <f t="shared" si="189"/>
        <v>0.19215343265174301</v>
      </c>
      <c r="S2029" s="3">
        <f t="shared" si="190"/>
        <v>-1.4876414414502415</v>
      </c>
    </row>
    <row r="2030" spans="6:19" x14ac:dyDescent="0.2">
      <c r="F2030" s="3"/>
      <c r="G2030" s="3"/>
      <c r="H2030" s="3"/>
      <c r="M2030" s="1">
        <f t="shared" si="191"/>
        <v>60.840000000001545</v>
      </c>
      <c r="N2030" s="1">
        <f t="shared" si="192"/>
        <v>-1.8970626214672193</v>
      </c>
      <c r="O2030" s="1">
        <f t="shared" si="193"/>
        <v>-0.3288197125352485</v>
      </c>
      <c r="P2030" s="1">
        <f t="shared" si="194"/>
        <v>4.8309796542449766</v>
      </c>
      <c r="R2030" s="3">
        <f t="shared" si="189"/>
        <v>0.17746934655550928</v>
      </c>
      <c r="S2030" s="3">
        <f t="shared" si="190"/>
        <v>-1.4894645450742225</v>
      </c>
    </row>
    <row r="2031" spans="6:19" x14ac:dyDescent="0.2">
      <c r="F2031" s="3"/>
      <c r="G2031" s="3"/>
      <c r="H2031" s="3"/>
      <c r="M2031" s="1">
        <f t="shared" si="191"/>
        <v>60.870000000001546</v>
      </c>
      <c r="N2031" s="1">
        <f t="shared" si="192"/>
        <v>-1.7450996914269203</v>
      </c>
      <c r="O2031" s="1">
        <f t="shared" si="193"/>
        <v>-0.38117270327805608</v>
      </c>
      <c r="P2031" s="1">
        <f t="shared" si="194"/>
        <v>4.8195444731466353</v>
      </c>
      <c r="R2031" s="3">
        <f t="shared" si="189"/>
        <v>0.16042581782249316</v>
      </c>
      <c r="S2031" s="3">
        <f t="shared" si="190"/>
        <v>-1.4913965123252717</v>
      </c>
    </row>
    <row r="2032" spans="6:19" x14ac:dyDescent="0.2">
      <c r="F2032" s="3"/>
      <c r="G2032" s="3"/>
      <c r="H2032" s="3"/>
      <c r="M2032" s="1">
        <f t="shared" si="191"/>
        <v>60.900000000001548</v>
      </c>
      <c r="N2032" s="1">
        <f t="shared" si="192"/>
        <v>-1.5699526349299064</v>
      </c>
      <c r="O2032" s="1">
        <f t="shared" si="193"/>
        <v>-0.4282712823259533</v>
      </c>
      <c r="P2032" s="1">
        <f t="shared" si="194"/>
        <v>4.8066963346768565</v>
      </c>
      <c r="R2032" s="3">
        <f t="shared" si="189"/>
        <v>0.14125143516208757</v>
      </c>
      <c r="S2032" s="3">
        <f t="shared" si="190"/>
        <v>-1.4933345345449727</v>
      </c>
    </row>
    <row r="2033" spans="6:19" x14ac:dyDescent="0.2">
      <c r="F2033" s="3"/>
      <c r="G2033" s="3"/>
      <c r="H2033" s="3"/>
      <c r="M2033" s="1">
        <f t="shared" si="191"/>
        <v>60.930000000001549</v>
      </c>
      <c r="N2033" s="1">
        <f t="shared" si="192"/>
        <v>-1.3739699362115401</v>
      </c>
      <c r="O2033" s="1">
        <f t="shared" si="193"/>
        <v>-0.46949038041229951</v>
      </c>
      <c r="P2033" s="1">
        <f t="shared" si="194"/>
        <v>4.792611623264488</v>
      </c>
      <c r="R2033" s="3">
        <f t="shared" si="189"/>
        <v>0.12020493418370745</v>
      </c>
      <c r="S2033" s="3">
        <f t="shared" si="190"/>
        <v>-1.4951758337392598</v>
      </c>
    </row>
    <row r="2034" spans="6:19" x14ac:dyDescent="0.2">
      <c r="F2034" s="3"/>
      <c r="G2034" s="3"/>
      <c r="H2034" s="3"/>
      <c r="M2034" s="1">
        <f t="shared" si="191"/>
        <v>60.96000000000155</v>
      </c>
      <c r="N2034" s="1">
        <f t="shared" si="192"/>
        <v>-1.1597952075999676</v>
      </c>
      <c r="O2034" s="1">
        <f t="shared" si="193"/>
        <v>-0.50428423664029853</v>
      </c>
      <c r="P2034" s="1">
        <f t="shared" si="194"/>
        <v>4.7774830961652794</v>
      </c>
      <c r="R2034" s="3">
        <f t="shared" si="189"/>
        <v>9.7572233366944594E-2</v>
      </c>
      <c r="S2034" s="3">
        <f t="shared" si="190"/>
        <v>-1.4968231890493233</v>
      </c>
    </row>
    <row r="2035" spans="6:19" x14ac:dyDescent="0.2">
      <c r="F2035" s="3"/>
      <c r="G2035" s="3"/>
      <c r="H2035" s="3"/>
      <c r="M2035" s="1">
        <f t="shared" si="191"/>
        <v>60.990000000001551</v>
      </c>
      <c r="N2035" s="1">
        <f t="shared" si="192"/>
        <v>-0.93033675237181912</v>
      </c>
      <c r="O2035" s="1">
        <f t="shared" si="193"/>
        <v>-0.53219433921145309</v>
      </c>
      <c r="P2035" s="1">
        <f t="shared" si="194"/>
        <v>4.7615172659889362</v>
      </c>
      <c r="R2035" s="3">
        <f t="shared" si="189"/>
        <v>7.3662788117936917E-2</v>
      </c>
      <c r="S2035" s="3">
        <f t="shared" si="190"/>
        <v>-1.4981901727239744</v>
      </c>
    </row>
    <row r="2036" spans="6:19" x14ac:dyDescent="0.2">
      <c r="F2036" s="3"/>
      <c r="G2036" s="3"/>
      <c r="H2036" s="3"/>
      <c r="M2036" s="1">
        <f t="shared" si="191"/>
        <v>61.020000000001552</v>
      </c>
      <c r="N2036" s="1">
        <f t="shared" si="192"/>
        <v>-0.68873039065033836</v>
      </c>
      <c r="O2036" s="1">
        <f t="shared" si="193"/>
        <v>-0.55285625093096324</v>
      </c>
      <c r="P2036" s="1">
        <f t="shared" si="194"/>
        <v>4.7449315784610073</v>
      </c>
      <c r="R2036" s="3">
        <f t="shared" si="189"/>
        <v>4.8805281749517648E-2</v>
      </c>
      <c r="S2036" s="3">
        <f t="shared" si="190"/>
        <v>-1.4992058045756593</v>
      </c>
    </row>
    <row r="2037" spans="6:19" x14ac:dyDescent="0.2">
      <c r="F2037" s="3"/>
      <c r="G2037" s="3"/>
      <c r="H2037" s="3"/>
      <c r="M2037" s="1">
        <f t="shared" si="191"/>
        <v>61.050000000001553</v>
      </c>
      <c r="N2037" s="1">
        <f t="shared" si="192"/>
        <v>-0.43829575491138983</v>
      </c>
      <c r="O2037" s="1">
        <f t="shared" si="193"/>
        <v>-0.5660051235783049</v>
      </c>
      <c r="P2037" s="1">
        <f t="shared" si="194"/>
        <v>4.727951424753658</v>
      </c>
      <c r="R2037" s="3">
        <f t="shared" si="189"/>
        <v>2.3342724299027597E-2</v>
      </c>
      <c r="S2037" s="3">
        <f t="shared" si="190"/>
        <v>-1.4998183614099074</v>
      </c>
    </row>
    <row r="2038" spans="6:19" x14ac:dyDescent="0.2">
      <c r="F2038" s="3"/>
      <c r="G2038" s="3"/>
      <c r="H2038" s="3"/>
      <c r="M2038" s="1">
        <f t="shared" si="191"/>
        <v>61.080000000001554</v>
      </c>
      <c r="N2038" s="1">
        <f t="shared" si="192"/>
        <v>-0.18248678186822853</v>
      </c>
      <c r="O2038" s="1">
        <f t="shared" si="193"/>
        <v>-0.57147972703435179</v>
      </c>
      <c r="P2038" s="1">
        <f t="shared" si="194"/>
        <v>4.7108070329426273</v>
      </c>
      <c r="R2038" s="3">
        <f t="shared" si="189"/>
        <v>-2.3729201733653296E-3</v>
      </c>
      <c r="S2038" s="3">
        <f t="shared" si="190"/>
        <v>-1.4999981230821093</v>
      </c>
    </row>
    <row r="2039" spans="6:19" x14ac:dyDescent="0.2">
      <c r="F2039" s="3"/>
      <c r="G2039" s="3"/>
      <c r="H2039" s="3"/>
      <c r="M2039" s="1">
        <f t="shared" si="191"/>
        <v>61.110000000001556</v>
      </c>
      <c r="N2039" s="1">
        <f t="shared" si="192"/>
        <v>7.5162377166744954E-2</v>
      </c>
      <c r="O2039" s="1">
        <f t="shared" si="193"/>
        <v>-0.56922485571934944</v>
      </c>
      <c r="P2039" s="1">
        <f t="shared" si="194"/>
        <v>4.6937302872710465</v>
      </c>
      <c r="R2039" s="3">
        <f t="shared" si="189"/>
        <v>-2.7986415707525386E-2</v>
      </c>
      <c r="S2039" s="3">
        <f t="shared" si="190"/>
        <v>-1.4997388974537686</v>
      </c>
    </row>
    <row r="2040" spans="6:19" x14ac:dyDescent="0.2">
      <c r="F2040" s="3"/>
      <c r="G2040" s="3"/>
      <c r="H2040" s="3"/>
      <c r="M2040" s="1">
        <f t="shared" si="191"/>
        <v>61.140000000001557</v>
      </c>
      <c r="N2040" s="1">
        <f t="shared" si="192"/>
        <v>0.3310943940899953</v>
      </c>
      <c r="O2040" s="1">
        <f t="shared" si="193"/>
        <v>-0.55929202389664956</v>
      </c>
      <c r="P2040" s="1">
        <f t="shared" si="194"/>
        <v>4.6769515265541468</v>
      </c>
      <c r="R2040" s="3">
        <f t="shared" si="189"/>
        <v>-5.3145055739395104E-2</v>
      </c>
      <c r="S2040" s="3">
        <f t="shared" si="190"/>
        <v>-1.4990582387120444</v>
      </c>
    </row>
    <row r="2041" spans="6:19" x14ac:dyDescent="0.2">
      <c r="F2041" s="3"/>
      <c r="G2041" s="3"/>
      <c r="H2041" s="3"/>
      <c r="M2041" s="1">
        <f t="shared" si="191"/>
        <v>61.170000000001558</v>
      </c>
      <c r="N2041" s="1">
        <f t="shared" si="192"/>
        <v>0.58178683954464949</v>
      </c>
      <c r="O2041" s="1">
        <f t="shared" si="193"/>
        <v>-0.54183841871031002</v>
      </c>
      <c r="P2041" s="1">
        <f t="shared" si="194"/>
        <v>4.6606963739928373</v>
      </c>
      <c r="R2041" s="3">
        <f t="shared" si="189"/>
        <v>-7.7504381917571571E-2</v>
      </c>
      <c r="S2041" s="3">
        <f t="shared" si="190"/>
        <v>-1.4979963520595019</v>
      </c>
    </row>
    <row r="2042" spans="6:19" x14ac:dyDescent="0.2">
      <c r="F2042" s="3"/>
      <c r="G2042" s="3"/>
      <c r="H2042" s="3"/>
      <c r="M2042" s="1">
        <f t="shared" si="191"/>
        <v>61.200000000001559</v>
      </c>
      <c r="N2042" s="1">
        <f t="shared" si="192"/>
        <v>0.82380927685964367</v>
      </c>
      <c r="O2042" s="1">
        <f t="shared" si="193"/>
        <v>-0.5171241404045207</v>
      </c>
      <c r="P2042" s="1">
        <f t="shared" si="194"/>
        <v>4.6451826497807014</v>
      </c>
      <c r="R2042" s="3">
        <f t="shared" si="189"/>
        <v>-0.1007336254871552</v>
      </c>
      <c r="S2042" s="3">
        <f t="shared" si="190"/>
        <v>-1.4966137566841398</v>
      </c>
    </row>
    <row r="2043" spans="6:19" x14ac:dyDescent="0.2">
      <c r="F2043" s="3"/>
      <c r="G2043" s="3"/>
      <c r="H2043" s="3"/>
      <c r="M2043" s="1">
        <f t="shared" si="191"/>
        <v>61.23000000000156</v>
      </c>
      <c r="N2043" s="1">
        <f t="shared" si="192"/>
        <v>1.0538774275079588</v>
      </c>
      <c r="O2043" s="1">
        <f t="shared" si="193"/>
        <v>-0.48550781757928196</v>
      </c>
      <c r="P2043" s="1">
        <f t="shared" si="194"/>
        <v>4.6306174152533233</v>
      </c>
      <c r="R2043" s="3">
        <f t="shared" si="189"/>
        <v>-0.12252070018113886</v>
      </c>
      <c r="S2043" s="3">
        <f t="shared" si="190"/>
        <v>-1.4949878521336297</v>
      </c>
    </row>
    <row r="2044" spans="6:19" x14ac:dyDescent="0.2">
      <c r="F2044" s="3"/>
      <c r="G2044" s="3"/>
      <c r="H2044" s="3"/>
      <c r="M2044" s="1">
        <f t="shared" si="191"/>
        <v>61.260000000001561</v>
      </c>
      <c r="N2044" s="1">
        <f t="shared" si="192"/>
        <v>1.268902705393524</v>
      </c>
      <c r="O2044" s="1">
        <f t="shared" si="193"/>
        <v>-0.44744073641747623</v>
      </c>
      <c r="P2044" s="1">
        <f t="shared" si="194"/>
        <v>4.6171941931607989</v>
      </c>
      <c r="R2044" s="3">
        <f t="shared" si="189"/>
        <v>-0.14257661361180191</v>
      </c>
      <c r="S2044" s="3">
        <f t="shared" si="190"/>
        <v>-1.4932085953579932</v>
      </c>
    </row>
    <row r="2045" spans="6:19" x14ac:dyDescent="0.2">
      <c r="F2045" s="3"/>
      <c r="G2045" s="3"/>
      <c r="H2045" s="3"/>
      <c r="M2045" s="1">
        <f t="shared" si="191"/>
        <v>61.290000000001562</v>
      </c>
      <c r="N2045" s="1">
        <f t="shared" si="192"/>
        <v>1.4660358023955917</v>
      </c>
      <c r="O2045" s="1">
        <f t="shared" si="193"/>
        <v>-0.40345966234560848</v>
      </c>
      <c r="P2045" s="1">
        <f t="shared" si="194"/>
        <v>4.605090403290431</v>
      </c>
      <c r="R2045" s="3">
        <f t="shared" si="189"/>
        <v>-0.16063921165373674</v>
      </c>
      <c r="S2045" s="3">
        <f t="shared" si="190"/>
        <v>-1.4913735426375465</v>
      </c>
    </row>
    <row r="2046" spans="6:19" x14ac:dyDescent="0.2">
      <c r="F2046" s="3"/>
      <c r="G2046" s="3"/>
      <c r="H2046" s="3"/>
      <c r="M2046" s="1">
        <f t="shared" si="191"/>
        <v>61.320000000001563</v>
      </c>
      <c r="N2046" s="1">
        <f t="shared" si="192"/>
        <v>1.6427034861484724</v>
      </c>
      <c r="O2046" s="1">
        <f t="shared" si="193"/>
        <v>-0.35417855776115431</v>
      </c>
      <c r="P2046" s="1">
        <f t="shared" si="194"/>
        <v>4.5944650465575965</v>
      </c>
      <c r="R2046" s="3">
        <f t="shared" si="189"/>
        <v>-0.17647622154255255</v>
      </c>
      <c r="S2046" s="3">
        <f t="shared" si="190"/>
        <v>-1.489582539918505</v>
      </c>
    </row>
    <row r="2047" spans="6:19" x14ac:dyDescent="0.2">
      <c r="F2047" s="3"/>
      <c r="G2047" s="3"/>
      <c r="H2047" s="3"/>
      <c r="M2047" s="1">
        <f t="shared" si="191"/>
        <v>61.350000000001565</v>
      </c>
      <c r="N2047" s="1">
        <f t="shared" si="192"/>
        <v>1.7966382856240295</v>
      </c>
      <c r="O2047" s="1">
        <f t="shared" si="193"/>
        <v>-0.30027940919243346</v>
      </c>
      <c r="P2047" s="1">
        <f t="shared" si="194"/>
        <v>4.5854566642818231</v>
      </c>
      <c r="R2047" s="3">
        <f t="shared" si="189"/>
        <v>-0.18988760844555641</v>
      </c>
      <c r="S2047" s="3">
        <f t="shared" si="190"/>
        <v>-1.4879323560427158</v>
      </c>
    </row>
    <row r="2048" spans="6:19" x14ac:dyDescent="0.2">
      <c r="F2048" s="3"/>
      <c r="G2048" s="3"/>
      <c r="H2048" s="3"/>
      <c r="M2048" s="1">
        <f t="shared" si="191"/>
        <v>61.380000000001566</v>
      </c>
      <c r="N2048" s="1">
        <f t="shared" si="192"/>
        <v>1.9259012312828829</v>
      </c>
      <c r="O2048" s="1">
        <f t="shared" si="193"/>
        <v>-0.24250237225394697</v>
      </c>
      <c r="P2048" s="1">
        <f t="shared" si="194"/>
        <v>4.5781815931142047</v>
      </c>
      <c r="R2048" s="3">
        <f t="shared" si="189"/>
        <v>-0.20070730170541912</v>
      </c>
      <c r="S2048" s="3">
        <f t="shared" si="190"/>
        <v>-1.4865115468916243</v>
      </c>
    </row>
    <row r="2049" spans="6:19" x14ac:dyDescent="0.2">
      <c r="F2049" s="3"/>
      <c r="G2049" s="3"/>
      <c r="H2049" s="3"/>
      <c r="M2049" s="1">
        <f t="shared" si="191"/>
        <v>61.410000000001567</v>
      </c>
      <c r="N2049" s="1">
        <f t="shared" si="192"/>
        <v>2.0288982305570467</v>
      </c>
      <c r="O2049" s="1">
        <f t="shared" si="193"/>
        <v>-0.18163542533723556</v>
      </c>
      <c r="P2049" s="1">
        <f t="shared" si="194"/>
        <v>4.572732530354088</v>
      </c>
      <c r="R2049" s="3">
        <f t="shared" si="189"/>
        <v>-0.20880437661125048</v>
      </c>
      <c r="S2049" s="3">
        <f t="shared" si="190"/>
        <v>-1.4853958167128338</v>
      </c>
    </row>
    <row r="2050" spans="6:19" x14ac:dyDescent="0.2">
      <c r="F2050" s="3"/>
      <c r="G2050" s="3"/>
      <c r="H2050" s="3"/>
      <c r="M2050" s="1">
        <f t="shared" si="191"/>
        <v>61.440000000001568</v>
      </c>
      <c r="N2050" s="1">
        <f t="shared" si="192"/>
        <v>2.1043909543928558</v>
      </c>
      <c r="O2050" s="1">
        <f t="shared" si="193"/>
        <v>-0.11850369670544988</v>
      </c>
      <c r="P2050" s="1">
        <f t="shared" si="194"/>
        <v>4.5691774194529247</v>
      </c>
      <c r="R2050" s="3">
        <f t="shared" ref="R2050:R2113" si="195">$B$3*COS(P2050)</f>
        <v>-0.21408379282966733</v>
      </c>
      <c r="S2050" s="3">
        <f t="shared" ref="S2050:S2113" si="196">$B$3*SIN(P2050)</f>
        <v>-1.4846441087505329</v>
      </c>
    </row>
    <row r="2051" spans="6:19" x14ac:dyDescent="0.2">
      <c r="F2051" s="3"/>
      <c r="G2051" s="3"/>
      <c r="H2051" s="3"/>
      <c r="M2051" s="1">
        <f t="shared" ref="M2051:M2114" si="197">M2050+B$13</f>
        <v>61.470000000001569</v>
      </c>
      <c r="N2051" s="1">
        <f t="shared" ref="N2051:N2114" si="198">-$B$12*$B$3*COS(P2050)-B$10*O2050</f>
        <v>2.1515032610001636</v>
      </c>
      <c r="O2051" s="1">
        <f t="shared" ref="O2051:O2114" si="199">N2051*$B$13+O2050</f>
        <v>-5.3958598875444977E-2</v>
      </c>
      <c r="P2051" s="1">
        <f t="shared" ref="P2051:P2114" si="200">O2051*$B$13+P2050</f>
        <v>4.567558661486661</v>
      </c>
      <c r="R2051" s="3">
        <f t="shared" si="195"/>
        <v>-0.2164867907680906</v>
      </c>
      <c r="S2051" s="3">
        <f t="shared" si="196"/>
        <v>-1.484295613893315</v>
      </c>
    </row>
    <row r="2052" spans="6:19" x14ac:dyDescent="0.2">
      <c r="F2052" s="3"/>
      <c r="G2052" s="3"/>
      <c r="H2052" s="3"/>
      <c r="M2052" s="1">
        <f t="shared" si="197"/>
        <v>61.50000000000157</v>
      </c>
      <c r="N2052" s="1">
        <f t="shared" si="198"/>
        <v>2.1697241815796962</v>
      </c>
      <c r="O2052" s="1">
        <f t="shared" si="199"/>
        <v>1.11331265719459E-2</v>
      </c>
      <c r="P2052" s="1">
        <f t="shared" si="200"/>
        <v>4.5678926552838197</v>
      </c>
      <c r="R2052" s="3">
        <f t="shared" si="195"/>
        <v>-0.21599103317436569</v>
      </c>
      <c r="S2052" s="3">
        <f t="shared" si="196"/>
        <v>-1.4843678363492891</v>
      </c>
    </row>
    <row r="2053" spans="6:19" x14ac:dyDescent="0.2">
      <c r="F2053" s="3"/>
      <c r="G2053" s="3"/>
      <c r="H2053" s="3"/>
      <c r="M2053" s="1">
        <f t="shared" si="197"/>
        <v>61.530000000001571</v>
      </c>
      <c r="N2053" s="1">
        <f t="shared" si="198"/>
        <v>2.1589083503521818</v>
      </c>
      <c r="O2053" s="1">
        <f t="shared" si="199"/>
        <v>7.590037708251135E-2</v>
      </c>
      <c r="P2053" s="1">
        <f t="shared" si="200"/>
        <v>4.5701696665962954</v>
      </c>
      <c r="R2053" s="3">
        <f t="shared" si="195"/>
        <v>-0.21261055380700666</v>
      </c>
      <c r="S2053" s="3">
        <f t="shared" si="196"/>
        <v>-1.4848558018911728</v>
      </c>
    </row>
    <row r="2054" spans="6:19" x14ac:dyDescent="0.2">
      <c r="F2054" s="3"/>
      <c r="G2054" s="3"/>
      <c r="H2054" s="3"/>
      <c r="M2054" s="1">
        <f t="shared" si="197"/>
        <v>61.560000000001573</v>
      </c>
      <c r="N2054" s="1">
        <f t="shared" si="198"/>
        <v>2.1192745041326404</v>
      </c>
      <c r="O2054" s="1">
        <f t="shared" si="199"/>
        <v>0.13947861220649055</v>
      </c>
      <c r="P2054" s="1">
        <f t="shared" si="200"/>
        <v>4.5743540249624903</v>
      </c>
      <c r="R2054" s="3">
        <f t="shared" si="195"/>
        <v>-0.20639554185970974</v>
      </c>
      <c r="S2054" s="3">
        <f t="shared" si="196"/>
        <v>-1.4857324390011941</v>
      </c>
    </row>
    <row r="2055" spans="6:19" x14ac:dyDescent="0.2">
      <c r="F2055" s="3"/>
      <c r="G2055" s="3"/>
      <c r="H2055" s="3"/>
      <c r="M2055" s="1">
        <f t="shared" si="197"/>
        <v>61.590000000001574</v>
      </c>
      <c r="N2055" s="1">
        <f t="shared" si="198"/>
        <v>2.0514023434985131</v>
      </c>
      <c r="O2055" s="1">
        <f t="shared" si="199"/>
        <v>0.20102068251144595</v>
      </c>
      <c r="P2055" s="1">
        <f t="shared" si="200"/>
        <v>4.5803846454378334</v>
      </c>
      <c r="R2055" s="3">
        <f t="shared" si="195"/>
        <v>-0.19743195457681589</v>
      </c>
      <c r="S2055" s="3">
        <f t="shared" si="196"/>
        <v>-1.486950107875842</v>
      </c>
    </row>
    <row r="2056" spans="6:19" x14ac:dyDescent="0.2">
      <c r="F2056" s="3"/>
      <c r="G2056" s="3"/>
      <c r="H2056" s="3"/>
      <c r="M2056" s="1">
        <f t="shared" si="197"/>
        <v>61.620000000001575</v>
      </c>
      <c r="N2056" s="1">
        <f t="shared" si="198"/>
        <v>1.9562276843421287</v>
      </c>
      <c r="O2056" s="1">
        <f t="shared" si="199"/>
        <v>0.2597075130417098</v>
      </c>
      <c r="P2056" s="1">
        <f t="shared" si="200"/>
        <v>4.588175870829085</v>
      </c>
      <c r="R2056" s="3">
        <f t="shared" si="195"/>
        <v>-0.18584091600513769</v>
      </c>
      <c r="S2056" s="3">
        <f t="shared" si="196"/>
        <v>-1.4884431980893229</v>
      </c>
    </row>
    <row r="2057" spans="6:19" x14ac:dyDescent="0.2">
      <c r="F2057" s="3"/>
      <c r="G2057" s="3"/>
      <c r="H2057" s="3"/>
      <c r="M2057" s="1">
        <f t="shared" si="197"/>
        <v>61.650000000001576</v>
      </c>
      <c r="N2057" s="1">
        <f t="shared" si="198"/>
        <v>1.8350354838776231</v>
      </c>
      <c r="O2057" s="1">
        <f t="shared" si="199"/>
        <v>0.31475857755803849</v>
      </c>
      <c r="P2057" s="1">
        <f t="shared" si="200"/>
        <v>4.5976186281558258</v>
      </c>
      <c r="R2057" s="3">
        <f t="shared" si="195"/>
        <v>-0.17177783170774819</v>
      </c>
      <c r="S2057" s="3">
        <f t="shared" si="196"/>
        <v>-1.4901316641605145</v>
      </c>
    </row>
    <row r="2058" spans="6:19" x14ac:dyDescent="0.2">
      <c r="F2058" s="3"/>
      <c r="G2058" s="3"/>
      <c r="H2058" s="3"/>
      <c r="M2058" s="1">
        <f t="shared" si="197"/>
        <v>61.680000000001577</v>
      </c>
      <c r="N2058" s="1">
        <f t="shared" si="198"/>
        <v>1.6894500450972585</v>
      </c>
      <c r="O2058" s="1">
        <f t="shared" si="199"/>
        <v>0.36544207891095626</v>
      </c>
      <c r="P2058" s="1">
        <f t="shared" si="200"/>
        <v>4.6085818905231548</v>
      </c>
      <c r="R2058" s="3">
        <f t="shared" si="195"/>
        <v>-0.15543113141612122</v>
      </c>
      <c r="S2058" s="3">
        <f t="shared" si="196"/>
        <v>-1.4919253209818193</v>
      </c>
    </row>
    <row r="2059" spans="6:19" x14ac:dyDescent="0.2">
      <c r="F2059" s="3"/>
      <c r="G2059" s="3"/>
      <c r="H2059" s="3"/>
      <c r="M2059" s="1">
        <f t="shared" si="197"/>
        <v>61.710000000001578</v>
      </c>
      <c r="N2059" s="1">
        <f t="shared" si="198"/>
        <v>1.5214215270592262</v>
      </c>
      <c r="O2059" s="1">
        <f t="shared" si="199"/>
        <v>0.41108472472273305</v>
      </c>
      <c r="P2059" s="1">
        <f t="shared" si="200"/>
        <v>4.6209144322648372</v>
      </c>
      <c r="R2059" s="3">
        <f t="shared" si="195"/>
        <v>-0.1370205467769815</v>
      </c>
      <c r="S2059" s="3">
        <f t="shared" si="196"/>
        <v>-1.4937286801025604</v>
      </c>
    </row>
    <row r="2060" spans="6:19" x14ac:dyDescent="0.2">
      <c r="F2060" s="3"/>
      <c r="G2060" s="3"/>
      <c r="H2060" s="3"/>
      <c r="M2060" s="1">
        <f t="shared" si="197"/>
        <v>61.740000000001579</v>
      </c>
      <c r="N2060" s="1">
        <f t="shared" si="198"/>
        <v>1.3332078425447691</v>
      </c>
      <c r="O2060" s="1">
        <f t="shared" si="199"/>
        <v>0.4510809599990761</v>
      </c>
      <c r="P2060" s="1">
        <f t="shared" si="200"/>
        <v>4.6344468610648093</v>
      </c>
      <c r="R2060" s="3">
        <f t="shared" si="195"/>
        <v>-0.11679484084420191</v>
      </c>
      <c r="S2060" s="3">
        <f t="shared" si="196"/>
        <v>-1.4954460756417056</v>
      </c>
    </row>
    <row r="2061" spans="6:19" x14ac:dyDescent="0.2">
      <c r="F2061" s="3"/>
      <c r="G2061" s="3"/>
      <c r="H2061" s="3"/>
      <c r="M2061" s="1">
        <f t="shared" si="197"/>
        <v>61.770000000001581</v>
      </c>
      <c r="N2061" s="1">
        <f t="shared" si="198"/>
        <v>1.1273511220421022</v>
      </c>
      <c r="O2061" s="1">
        <f t="shared" si="199"/>
        <v>0.48490149366033919</v>
      </c>
      <c r="P2061" s="1">
        <f t="shared" si="200"/>
        <v>4.6489939058746197</v>
      </c>
      <c r="R2061" s="3">
        <f t="shared" si="195"/>
        <v>-9.5028929384794347E-2</v>
      </c>
      <c r="S2061" s="3">
        <f t="shared" si="196"/>
        <v>-1.4969868077508164</v>
      </c>
    </row>
    <row r="2062" spans="6:19" x14ac:dyDescent="0.2">
      <c r="F2062" s="3"/>
      <c r="G2062" s="3"/>
      <c r="H2062" s="3"/>
      <c r="M2062" s="1">
        <f t="shared" si="197"/>
        <v>61.800000000001582</v>
      </c>
      <c r="N2062" s="1">
        <f t="shared" si="198"/>
        <v>0.90664815941851284</v>
      </c>
      <c r="O2062" s="1">
        <f t="shared" si="199"/>
        <v>0.51210093844289462</v>
      </c>
      <c r="P2062" s="1">
        <f t="shared" si="200"/>
        <v>4.6643569340279063</v>
      </c>
      <c r="R2062" s="3">
        <f t="shared" si="195"/>
        <v>-7.2020369317612187E-2</v>
      </c>
      <c r="S2062" s="3">
        <f t="shared" si="196"/>
        <v>-1.4982700245294087</v>
      </c>
    </row>
    <row r="2063" spans="6:19" x14ac:dyDescent="0.2">
      <c r="F2063" s="3"/>
      <c r="G2063" s="3"/>
      <c r="H2063" s="3"/>
      <c r="M2063" s="1">
        <f t="shared" si="197"/>
        <v>61.830000000001583</v>
      </c>
      <c r="N2063" s="1">
        <f t="shared" si="198"/>
        <v>0.67411460871626139</v>
      </c>
      <c r="O2063" s="1">
        <f t="shared" si="199"/>
        <v>0.53232437670438248</v>
      </c>
      <c r="P2063" s="1">
        <f t="shared" si="200"/>
        <v>4.6803266653290381</v>
      </c>
      <c r="R2063" s="3">
        <f t="shared" si="195"/>
        <v>-4.8085233055778304E-2</v>
      </c>
      <c r="S2063" s="3">
        <f t="shared" si="196"/>
        <v>-1.4992290720106689</v>
      </c>
    </row>
    <row r="2064" spans="6:19" x14ac:dyDescent="0.2">
      <c r="F2064" s="3"/>
      <c r="G2064" s="3"/>
      <c r="H2064" s="3"/>
      <c r="M2064" s="1">
        <f t="shared" si="197"/>
        <v>61.860000000001584</v>
      </c>
      <c r="N2064" s="1">
        <f t="shared" si="198"/>
        <v>0.43294313665438866</v>
      </c>
      <c r="O2064" s="1">
        <f t="shared" si="199"/>
        <v>0.54531267080401413</v>
      </c>
      <c r="P2064" s="1">
        <f t="shared" si="200"/>
        <v>4.6966860454531583</v>
      </c>
      <c r="R2064" s="3">
        <f t="shared" si="195"/>
        <v>-2.3553434393307204E-2</v>
      </c>
      <c r="S2064" s="3">
        <f t="shared" si="196"/>
        <v>-1.4998150671760437</v>
      </c>
    </row>
    <row r="2065" spans="6:19" x14ac:dyDescent="0.2">
      <c r="F2065" s="3"/>
      <c r="G2065" s="3"/>
      <c r="H2065" s="3"/>
      <c r="M2065" s="1">
        <f t="shared" si="197"/>
        <v>61.890000000001585</v>
      </c>
      <c r="N2065" s="1">
        <f t="shared" si="198"/>
        <v>0.1864562035607108</v>
      </c>
      <c r="O2065" s="1">
        <f t="shared" si="199"/>
        <v>0.55090635691083545</v>
      </c>
      <c r="P2065" s="1">
        <f t="shared" si="200"/>
        <v>4.7132132361604837</v>
      </c>
      <c r="R2065" s="3">
        <f t="shared" si="195"/>
        <v>1.2363835236914376E-3</v>
      </c>
      <c r="S2065" s="3">
        <f t="shared" si="196"/>
        <v>-1.4999994904518408</v>
      </c>
    </row>
    <row r="2066" spans="6:19" x14ac:dyDescent="0.2">
      <c r="F2066" s="3"/>
      <c r="G2066" s="3"/>
      <c r="H2066" s="3"/>
      <c r="M2066" s="1">
        <f t="shared" si="197"/>
        <v>61.920000000001586</v>
      </c>
      <c r="N2066" s="1">
        <f t="shared" si="198"/>
        <v>-6.1945407358889565E-2</v>
      </c>
      <c r="O2066" s="1">
        <f t="shared" si="199"/>
        <v>0.54904799469006871</v>
      </c>
      <c r="P2066" s="1">
        <f t="shared" si="200"/>
        <v>4.7296846760011855</v>
      </c>
      <c r="R2066" s="3">
        <f t="shared" si="195"/>
        <v>2.5942249980793513E-2</v>
      </c>
      <c r="S2066" s="3">
        <f t="shared" si="196"/>
        <v>-1.4997756497776371</v>
      </c>
    </row>
    <row r="2067" spans="6:19" x14ac:dyDescent="0.2">
      <c r="F2067" s="3"/>
      <c r="G2067" s="3"/>
      <c r="H2067" s="3"/>
      <c r="M2067" s="1">
        <f t="shared" si="197"/>
        <v>61.950000000001587</v>
      </c>
      <c r="N2067" s="1">
        <f t="shared" si="198"/>
        <v>-0.30883681933004131</v>
      </c>
      <c r="O2067" s="1">
        <f t="shared" si="199"/>
        <v>0.53978289011016745</v>
      </c>
      <c r="P2067" s="1">
        <f t="shared" si="200"/>
        <v>4.7458781627044901</v>
      </c>
      <c r="R2067" s="3">
        <f t="shared" si="195"/>
        <v>5.0224384264644359E-2</v>
      </c>
      <c r="S2067" s="3">
        <f t="shared" si="196"/>
        <v>-1.4991589346114165</v>
      </c>
    </row>
    <row r="2068" spans="6:19" x14ac:dyDescent="0.2">
      <c r="F2068" s="3"/>
      <c r="G2068" s="3"/>
      <c r="H2068" s="3"/>
      <c r="M2068" s="1">
        <f t="shared" si="197"/>
        <v>61.980000000001588</v>
      </c>
      <c r="N2068" s="1">
        <f t="shared" si="198"/>
        <v>-0.55082430275635863</v>
      </c>
      <c r="O2068" s="1">
        <f t="shared" si="199"/>
        <v>0.52325816102747669</v>
      </c>
      <c r="P2068" s="1">
        <f t="shared" si="200"/>
        <v>4.7615759075353141</v>
      </c>
      <c r="R2068" s="3">
        <f t="shared" si="195"/>
        <v>7.3750644179726349E-2</v>
      </c>
      <c r="S2068" s="3">
        <f t="shared" si="196"/>
        <v>-1.4981858504481598</v>
      </c>
    </row>
    <row r="2069" spans="6:19" x14ac:dyDescent="0.2">
      <c r="F2069" s="3"/>
      <c r="G2069" s="3"/>
      <c r="H2069" s="3"/>
      <c r="M2069" s="1">
        <f t="shared" si="197"/>
        <v>62.01000000000159</v>
      </c>
      <c r="N2069" s="1">
        <f t="shared" si="198"/>
        <v>-0.78459967628973637</v>
      </c>
      <c r="O2069" s="1">
        <f t="shared" si="199"/>
        <v>0.49972017073878461</v>
      </c>
      <c r="P2069" s="1">
        <f t="shared" si="200"/>
        <v>4.7765675126574774</v>
      </c>
      <c r="R2069" s="3">
        <f t="shared" si="195"/>
        <v>9.6201726035365739E-2</v>
      </c>
      <c r="S2069" s="3">
        <f t="shared" si="196"/>
        <v>-1.4969118971762554</v>
      </c>
    </row>
    <row r="2070" spans="6:19" x14ac:dyDescent="0.2">
      <c r="F2070" s="3"/>
      <c r="G2070" s="3"/>
      <c r="H2070" s="3"/>
      <c r="M2070" s="1">
        <f t="shared" si="197"/>
        <v>62.040000000001591</v>
      </c>
      <c r="N2070" s="1">
        <f t="shared" si="198"/>
        <v>-1.006992075720148</v>
      </c>
      <c r="O2070" s="1">
        <f t="shared" si="199"/>
        <v>0.46951040846718017</v>
      </c>
      <c r="P2070" s="1">
        <f t="shared" si="200"/>
        <v>4.7906528249114926</v>
      </c>
      <c r="R2070" s="3">
        <f t="shared" si="195"/>
        <v>0.11727595748948064</v>
      </c>
      <c r="S2070" s="3">
        <f t="shared" si="196"/>
        <v>-1.4954084224033666</v>
      </c>
    </row>
    <row r="2071" spans="6:19" x14ac:dyDescent="0.2">
      <c r="F2071" s="3"/>
      <c r="G2071" s="3"/>
      <c r="H2071" s="3"/>
      <c r="M2071" s="1">
        <f t="shared" si="197"/>
        <v>62.070000000001592</v>
      </c>
      <c r="N2071" s="1">
        <f t="shared" si="198"/>
        <v>-1.2150155116568526</v>
      </c>
      <c r="O2071" s="1">
        <f t="shared" si="199"/>
        <v>0.43305994311747459</v>
      </c>
      <c r="P2071" s="1">
        <f t="shared" si="200"/>
        <v>4.8036446232050167</v>
      </c>
      <c r="R2071" s="3">
        <f t="shared" si="195"/>
        <v>0.13669355837248481</v>
      </c>
      <c r="S2071" s="3">
        <f t="shared" si="196"/>
        <v>-1.4937586388367661</v>
      </c>
    </row>
    <row r="2072" spans="6:19" x14ac:dyDescent="0.2">
      <c r="F2072" s="3"/>
      <c r="G2072" s="3"/>
      <c r="H2072" s="3"/>
      <c r="M2072" s="1">
        <f t="shared" si="197"/>
        <v>62.100000000001593</v>
      </c>
      <c r="N2072" s="1">
        <f t="shared" si="198"/>
        <v>-1.4059109786054207</v>
      </c>
      <c r="O2072" s="1">
        <f t="shared" si="199"/>
        <v>0.39088261375931199</v>
      </c>
      <c r="P2072" s="1">
        <f t="shared" si="200"/>
        <v>4.8153711016177958</v>
      </c>
      <c r="R2072" s="3">
        <f t="shared" si="195"/>
        <v>0.1542002870788283</v>
      </c>
      <c r="S2072" s="3">
        <f t="shared" si="196"/>
        <v>-1.4920530390923799</v>
      </c>
    </row>
    <row r="2073" spans="6:19" x14ac:dyDescent="0.2">
      <c r="F2073" s="3"/>
      <c r="G2073" s="3"/>
      <c r="H2073" s="3"/>
      <c r="M2073" s="1">
        <f t="shared" si="197"/>
        <v>62.130000000001594</v>
      </c>
      <c r="N2073" s="1">
        <f t="shared" si="198"/>
        <v>-1.577182306026621</v>
      </c>
      <c r="O2073" s="1">
        <f t="shared" si="199"/>
        <v>0.34356714457851334</v>
      </c>
      <c r="P2073" s="1">
        <f t="shared" si="200"/>
        <v>4.8256781159551512</v>
      </c>
      <c r="R2073" s="3">
        <f t="shared" si="195"/>
        <v>0.16957043623019696</v>
      </c>
      <c r="S2073" s="3">
        <f t="shared" si="196"/>
        <v>-1.4903844695771291</v>
      </c>
    </row>
    <row r="2074" spans="6:19" x14ac:dyDescent="0.2">
      <c r="F2074" s="3"/>
      <c r="G2074" s="3"/>
      <c r="H2074" s="3"/>
      <c r="M2074" s="1">
        <f t="shared" si="197"/>
        <v>62.160000000001595</v>
      </c>
      <c r="N2074" s="1">
        <f t="shared" si="198"/>
        <v>-1.7266254053140357</v>
      </c>
      <c r="O2074" s="1">
        <f t="shared" si="199"/>
        <v>0.29176838241909225</v>
      </c>
      <c r="P2074" s="1">
        <f t="shared" si="200"/>
        <v>4.8344311674277236</v>
      </c>
      <c r="R2074" s="3">
        <f t="shared" si="195"/>
        <v>0.18260918577077445</v>
      </c>
      <c r="S2074" s="3">
        <f t="shared" si="196"/>
        <v>-1.4888431365567478</v>
      </c>
    </row>
    <row r="2075" spans="6:19" x14ac:dyDescent="0.2">
      <c r="F2075" s="3"/>
      <c r="G2075" s="3"/>
      <c r="H2075" s="3"/>
      <c r="M2075" s="1">
        <f t="shared" si="197"/>
        <v>62.190000000001596</v>
      </c>
      <c r="N2075" s="1">
        <f t="shared" si="198"/>
        <v>-1.8523510121254625</v>
      </c>
      <c r="O2075" s="1">
        <f t="shared" si="199"/>
        <v>0.23619785205532839</v>
      </c>
      <c r="P2075" s="1">
        <f t="shared" si="200"/>
        <v>4.8415171029893838</v>
      </c>
      <c r="R2075" s="3">
        <f t="shared" si="195"/>
        <v>0.19315435958406901</v>
      </c>
      <c r="S2075" s="3">
        <f t="shared" si="196"/>
        <v>-1.4875118128518066</v>
      </c>
    </row>
    <row r="2076" spans="6:19" x14ac:dyDescent="0.2">
      <c r="F2076" s="3"/>
      <c r="G2076" s="3"/>
      <c r="H2076" s="3"/>
      <c r="M2076" s="1">
        <f t="shared" si="197"/>
        <v>62.220000000001598</v>
      </c>
      <c r="N2076" s="1">
        <f t="shared" si="198"/>
        <v>-1.9528014025256695</v>
      </c>
      <c r="O2076" s="1">
        <f t="shared" si="199"/>
        <v>0.17761380997955831</v>
      </c>
      <c r="P2076" s="1">
        <f t="shared" si="200"/>
        <v>4.8468455172887701</v>
      </c>
      <c r="R2076" s="3">
        <f t="shared" si="195"/>
        <v>0.20107765927932325</v>
      </c>
      <c r="S2076" s="3">
        <f t="shared" si="196"/>
        <v>-1.4864614946034587</v>
      </c>
    </row>
    <row r="2077" spans="6:19" x14ac:dyDescent="0.2">
      <c r="F2077" s="3"/>
      <c r="G2077" s="3"/>
      <c r="H2077" s="3"/>
      <c r="M2077" s="1">
        <f t="shared" si="197"/>
        <v>62.250000000001599</v>
      </c>
      <c r="N2077" s="1">
        <f t="shared" si="198"/>
        <v>-2.026761835691393</v>
      </c>
      <c r="O2077" s="1">
        <f t="shared" si="199"/>
        <v>0.11681095490881652</v>
      </c>
      <c r="P2077" s="1">
        <f t="shared" si="200"/>
        <v>4.8503498459360346</v>
      </c>
      <c r="R2077" s="3">
        <f t="shared" si="195"/>
        <v>0.20628546356879557</v>
      </c>
      <c r="S2077" s="3">
        <f t="shared" si="196"/>
        <v>-1.4857477267423993</v>
      </c>
    </row>
    <row r="2078" spans="6:19" x14ac:dyDescent="0.2">
      <c r="F2078" s="3"/>
      <c r="G2078" s="3"/>
      <c r="H2078" s="3"/>
      <c r="M2078" s="1">
        <f t="shared" si="197"/>
        <v>62.2800000000016</v>
      </c>
      <c r="N2078" s="1">
        <f t="shared" si="198"/>
        <v>-2.0733676216297487</v>
      </c>
      <c r="O2078" s="1">
        <f t="shared" si="199"/>
        <v>5.4609926259924058E-2</v>
      </c>
      <c r="P2078" s="1">
        <f t="shared" si="200"/>
        <v>4.8519881437238324</v>
      </c>
      <c r="R2078" s="3">
        <f t="shared" si="195"/>
        <v>0.20871928285682653</v>
      </c>
      <c r="S2078" s="3">
        <f t="shared" si="196"/>
        <v>-1.4854077759873658</v>
      </c>
    </row>
    <row r="2079" spans="6:19" x14ac:dyDescent="0.2">
      <c r="F2079" s="3"/>
      <c r="G2079" s="3"/>
      <c r="H2079" s="3"/>
      <c r="M2079" s="1">
        <f t="shared" si="197"/>
        <v>62.310000000001601</v>
      </c>
      <c r="N2079" s="1">
        <f t="shared" si="198"/>
        <v>-2.0921077219316588</v>
      </c>
      <c r="O2079" s="1">
        <f t="shared" si="199"/>
        <v>-8.1533053980257092E-3</v>
      </c>
      <c r="P2079" s="1">
        <f t="shared" si="200"/>
        <v>4.8517435445618915</v>
      </c>
      <c r="R2079" s="3">
        <f t="shared" si="195"/>
        <v>0.2083559471195956</v>
      </c>
      <c r="S2079" s="3">
        <f t="shared" si="196"/>
        <v>-1.4854587841134794</v>
      </c>
    </row>
    <row r="2080" spans="6:19" x14ac:dyDescent="0.2">
      <c r="F2080" s="3"/>
      <c r="G2080" s="3"/>
      <c r="H2080" s="3"/>
      <c r="M2080" s="1">
        <f t="shared" si="197"/>
        <v>62.340000000001602</v>
      </c>
      <c r="N2080" s="1">
        <f t="shared" si="198"/>
        <v>-2.0828256737101341</v>
      </c>
      <c r="O2080" s="1">
        <f t="shared" si="199"/>
        <v>-7.063807560932972E-2</v>
      </c>
      <c r="P2080" s="1">
        <f t="shared" si="200"/>
        <v>4.8496244022936112</v>
      </c>
      <c r="R2080" s="3">
        <f t="shared" si="195"/>
        <v>0.20520758313995693</v>
      </c>
      <c r="S2080" s="3">
        <f t="shared" si="196"/>
        <v>-1.485896984256263</v>
      </c>
    </row>
    <row r="2081" spans="6:19" x14ac:dyDescent="0.2">
      <c r="F2081" s="3"/>
      <c r="G2081" s="3"/>
      <c r="H2081" s="3"/>
      <c r="M2081" s="1">
        <f t="shared" si="197"/>
        <v>62.370000000001603</v>
      </c>
      <c r="N2081" s="1">
        <f t="shared" si="198"/>
        <v>-2.0457184045947296</v>
      </c>
      <c r="O2081" s="1">
        <f t="shared" si="199"/>
        <v>-0.13200962774717162</v>
      </c>
      <c r="P2081" s="1">
        <f t="shared" si="200"/>
        <v>4.8456641134611962</v>
      </c>
      <c r="R2081" s="3">
        <f t="shared" si="195"/>
        <v>0.19932140806502591</v>
      </c>
      <c r="S2081" s="3">
        <f t="shared" si="196"/>
        <v>-1.4866980111263266</v>
      </c>
    </row>
    <row r="2082" spans="6:19" x14ac:dyDescent="0.2">
      <c r="F2082" s="3"/>
      <c r="G2082" s="3"/>
      <c r="H2082" s="3"/>
      <c r="M2082" s="1">
        <f t="shared" si="197"/>
        <v>62.400000000001604</v>
      </c>
      <c r="N2082" s="1">
        <f t="shared" si="198"/>
        <v>-1.9813332141530136</v>
      </c>
      <c r="O2082" s="1">
        <f t="shared" si="199"/>
        <v>-0.19144962417176203</v>
      </c>
      <c r="P2082" s="1">
        <f t="shared" si="200"/>
        <v>4.8399206247360436</v>
      </c>
      <c r="R2082" s="3">
        <f t="shared" si="195"/>
        <v>0.19077933418170773</v>
      </c>
      <c r="S2082" s="3">
        <f t="shared" si="196"/>
        <v>-1.4878182838133105</v>
      </c>
    </row>
    <row r="2083" spans="6:19" x14ac:dyDescent="0.2">
      <c r="F2083" s="3"/>
      <c r="G2083" s="3"/>
      <c r="H2083" s="3"/>
      <c r="M2083" s="1">
        <f t="shared" si="197"/>
        <v>62.430000000001606</v>
      </c>
      <c r="N2083" s="1">
        <f t="shared" si="198"/>
        <v>-1.8905628756416186</v>
      </c>
      <c r="O2083" s="1">
        <f t="shared" si="199"/>
        <v>-0.2481665104410106</v>
      </c>
      <c r="P2083" s="1">
        <f t="shared" si="200"/>
        <v>4.8324756294228131</v>
      </c>
      <c r="R2083" s="3">
        <f t="shared" si="195"/>
        <v>0.17969734912911883</v>
      </c>
      <c r="S2083" s="3">
        <f t="shared" si="196"/>
        <v>-1.4891973887688521</v>
      </c>
    </row>
    <row r="2084" spans="6:19" x14ac:dyDescent="0.2">
      <c r="F2084" s="3"/>
      <c r="G2084" s="3"/>
      <c r="H2084" s="3"/>
      <c r="M2084" s="1">
        <f t="shared" si="197"/>
        <v>62.460000000001607</v>
      </c>
      <c r="N2084" s="1">
        <f t="shared" si="198"/>
        <v>-1.7746385053514975</v>
      </c>
      <c r="O2084" s="1">
        <f t="shared" si="199"/>
        <v>-0.30140566560155552</v>
      </c>
      <c r="P2084" s="1">
        <f t="shared" si="200"/>
        <v>4.8234334594547663</v>
      </c>
      <c r="R2084" s="3">
        <f t="shared" si="195"/>
        <v>0.16622461066309419</v>
      </c>
      <c r="S2084" s="3">
        <f t="shared" si="196"/>
        <v>-1.490761342002771</v>
      </c>
    </row>
    <row r="2085" spans="6:19" x14ac:dyDescent="0.2">
      <c r="F2085" s="3"/>
      <c r="G2085" s="3"/>
      <c r="H2085" s="3"/>
      <c r="M2085" s="1">
        <f t="shared" si="197"/>
        <v>62.490000000001608</v>
      </c>
      <c r="N2085" s="1">
        <f t="shared" si="198"/>
        <v>-1.635119596726802</v>
      </c>
      <c r="O2085" s="1">
        <f t="shared" si="199"/>
        <v>-0.3504592535033596</v>
      </c>
      <c r="P2085" s="1">
        <f t="shared" si="200"/>
        <v>4.8129196818496656</v>
      </c>
      <c r="R2085" s="3">
        <f t="shared" si="195"/>
        <v>0.15054217909720169</v>
      </c>
      <c r="S2085" s="3">
        <f t="shared" si="196"/>
        <v>-1.4924265651323236</v>
      </c>
    </row>
    <row r="2086" spans="6:19" x14ac:dyDescent="0.2">
      <c r="F2086" s="3"/>
      <c r="G2086" s="3"/>
      <c r="H2086" s="3"/>
      <c r="M2086" s="1">
        <f t="shared" si="197"/>
        <v>62.520000000001609</v>
      </c>
      <c r="N2086" s="1">
        <f t="shared" si="198"/>
        <v>-1.4738804581567144</v>
      </c>
      <c r="O2086" s="1">
        <f t="shared" si="199"/>
        <v>-0.39467566724806102</v>
      </c>
      <c r="P2086" s="1">
        <f t="shared" si="200"/>
        <v>4.801079411832224</v>
      </c>
      <c r="R2086" s="3">
        <f t="shared" si="195"/>
        <v>0.13286130618363812</v>
      </c>
      <c r="S2086" s="3">
        <f t="shared" si="196"/>
        <v>-1.4941043716284272</v>
      </c>
    </row>
    <row r="2087" spans="6:19" x14ac:dyDescent="0.2">
      <c r="F2087" s="3"/>
      <c r="G2087" s="3"/>
      <c r="H2087" s="3"/>
      <c r="M2087" s="1">
        <f t="shared" si="197"/>
        <v>62.55000000000161</v>
      </c>
      <c r="N2087" s="1">
        <f t="shared" si="198"/>
        <v>-1.2930922517840557</v>
      </c>
      <c r="O2087" s="1">
        <f t="shared" si="199"/>
        <v>-0.4334684348015827</v>
      </c>
      <c r="P2087" s="1">
        <f t="shared" si="200"/>
        <v>4.7880753587881761</v>
      </c>
      <c r="R2087" s="3">
        <f t="shared" si="195"/>
        <v>0.11342120765652695</v>
      </c>
      <c r="S2087" s="3">
        <f t="shared" si="196"/>
        <v>-1.4957057296319136</v>
      </c>
    </row>
    <row r="2088" spans="6:19" x14ac:dyDescent="0.2">
      <c r="F2088" s="3"/>
      <c r="G2088" s="3"/>
      <c r="H2088" s="3"/>
      <c r="M2088" s="1">
        <f t="shared" si="197"/>
        <v>62.580000000001611</v>
      </c>
      <c r="N2088" s="1">
        <f t="shared" si="198"/>
        <v>-1.0951999174331271</v>
      </c>
      <c r="O2088" s="1">
        <f t="shared" si="199"/>
        <v>-0.46632443232457654</v>
      </c>
      <c r="P2088" s="1">
        <f t="shared" si="200"/>
        <v>4.7740856258184392</v>
      </c>
      <c r="R2088" s="3">
        <f t="shared" si="195"/>
        <v>9.2486267622923349E-2</v>
      </c>
      <c r="S2088" s="3">
        <f t="shared" si="196"/>
        <v>-1.497146048420521</v>
      </c>
    </row>
    <row r="2089" spans="6:19" x14ac:dyDescent="0.2">
      <c r="F2089" s="3"/>
      <c r="G2089" s="3"/>
      <c r="H2089" s="3"/>
      <c r="M2089" s="1">
        <f t="shared" si="197"/>
        <v>62.610000000001612</v>
      </c>
      <c r="N2089" s="1">
        <f t="shared" si="198"/>
        <v>-0.88289347732002155</v>
      </c>
      <c r="O2089" s="1">
        <f t="shared" si="199"/>
        <v>-0.4928112366441772</v>
      </c>
      <c r="P2089" s="1">
        <f t="shared" si="200"/>
        <v>4.7593012887191142</v>
      </c>
      <c r="R2089" s="3">
        <f t="shared" si="195"/>
        <v>7.0342654603924734E-2</v>
      </c>
      <c r="S2089" s="3">
        <f t="shared" si="196"/>
        <v>-1.498349729183168</v>
      </c>
    </row>
    <row r="2090" spans="6:19" x14ac:dyDescent="0.2">
      <c r="F2090" s="3"/>
      <c r="G2090" s="3"/>
      <c r="H2090" s="3"/>
      <c r="M2090" s="1">
        <f t="shared" si="197"/>
        <v>62.640000000001614</v>
      </c>
      <c r="N2090" s="1">
        <f t="shared" si="198"/>
        <v>-0.65907353474127139</v>
      </c>
      <c r="O2090" s="1">
        <f t="shared" si="199"/>
        <v>-0.51258344268641531</v>
      </c>
      <c r="P2090" s="1">
        <f t="shared" si="200"/>
        <v>4.7439237854385219</v>
      </c>
      <c r="R2090" s="3">
        <f t="shared" si="195"/>
        <v>4.7294368071690136E-2</v>
      </c>
      <c r="S2090" s="3">
        <f t="shared" si="196"/>
        <v>-1.4992542288580344</v>
      </c>
    </row>
    <row r="2091" spans="6:19" x14ac:dyDescent="0.2">
      <c r="F2091" s="3"/>
      <c r="G2091" s="3"/>
      <c r="H2091" s="3"/>
      <c r="M2091" s="1">
        <f t="shared" si="197"/>
        <v>62.670000000001615</v>
      </c>
      <c r="N2091" s="1">
        <f t="shared" si="198"/>
        <v>-0.42681117087512399</v>
      </c>
      <c r="O2091" s="1">
        <f t="shared" si="199"/>
        <v>-0.52538777781266899</v>
      </c>
      <c r="P2091" s="1">
        <f t="shared" si="200"/>
        <v>4.7281621521041419</v>
      </c>
      <c r="R2091" s="3">
        <f t="shared" si="195"/>
        <v>2.3658776527916786E-2</v>
      </c>
      <c r="S2091" s="3">
        <f t="shared" si="196"/>
        <v>-1.4998134091590201</v>
      </c>
    </row>
    <row r="2092" spans="6:19" x14ac:dyDescent="0.2">
      <c r="F2092" s="3"/>
      <c r="G2092" s="3"/>
      <c r="H2092" s="3"/>
      <c r="M2092" s="1">
        <f t="shared" si="197"/>
        <v>62.700000000001616</v>
      </c>
      <c r="N2092" s="1">
        <f t="shared" si="198"/>
        <v>-0.18930286527602769</v>
      </c>
      <c r="O2092" s="1">
        <f t="shared" si="199"/>
        <v>-0.5310668637709498</v>
      </c>
      <c r="P2092" s="1">
        <f t="shared" si="200"/>
        <v>4.712230146191013</v>
      </c>
      <c r="R2092" s="3">
        <f t="shared" si="195"/>
        <v>-2.3825128951352002E-4</v>
      </c>
      <c r="S2092" s="3">
        <f t="shared" si="196"/>
        <v>-1.4999999810787743</v>
      </c>
    </row>
    <row r="2093" spans="6:19" x14ac:dyDescent="0.2">
      <c r="F2093" s="3"/>
      <c r="G2093" s="3"/>
      <c r="H2093" s="3"/>
      <c r="M2093" s="1">
        <f t="shared" si="197"/>
        <v>62.730000000001617</v>
      </c>
      <c r="N2093" s="1">
        <f t="shared" si="198"/>
        <v>5.0178530634520678E-2</v>
      </c>
      <c r="O2093" s="1">
        <f t="shared" si="199"/>
        <v>-0.52956150785191414</v>
      </c>
      <c r="P2093" s="1">
        <f t="shared" si="200"/>
        <v>4.6963433009554558</v>
      </c>
      <c r="R2093" s="3">
        <f t="shared" si="195"/>
        <v>-2.4067486361632778E-2</v>
      </c>
      <c r="S2093" s="3">
        <f t="shared" si="196"/>
        <v>-1.4998069062716817</v>
      </c>
    </row>
    <row r="2094" spans="6:19" x14ac:dyDescent="0.2">
      <c r="F2094" s="3"/>
      <c r="G2094" s="3"/>
      <c r="H2094" s="3"/>
      <c r="M2094" s="1">
        <f t="shared" si="197"/>
        <v>62.760000000001618</v>
      </c>
      <c r="N2094" s="1">
        <f t="shared" si="198"/>
        <v>0.28833539932300006</v>
      </c>
      <c r="O2094" s="1">
        <f t="shared" si="199"/>
        <v>-0.52091144587222415</v>
      </c>
      <c r="P2094" s="1">
        <f t="shared" si="200"/>
        <v>4.6807159575792889</v>
      </c>
      <c r="R2094" s="3">
        <f t="shared" si="195"/>
        <v>-4.7501591167813967E-2</v>
      </c>
      <c r="S2094" s="3">
        <f t="shared" si="196"/>
        <v>-1.4992476776158521</v>
      </c>
    </row>
    <row r="2095" spans="6:19" x14ac:dyDescent="0.2">
      <c r="F2095" s="3"/>
      <c r="G2095" s="3"/>
      <c r="H2095" s="3"/>
      <c r="M2095" s="1">
        <f t="shared" si="197"/>
        <v>62.790000000001619</v>
      </c>
      <c r="N2095" s="1">
        <f t="shared" si="198"/>
        <v>0.52189794180663984</v>
      </c>
      <c r="O2095" s="1">
        <f t="shared" si="199"/>
        <v>-0.50525450761802493</v>
      </c>
      <c r="P2095" s="1">
        <f t="shared" si="200"/>
        <v>4.6655583223507477</v>
      </c>
      <c r="R2095" s="3">
        <f t="shared" si="195"/>
        <v>-7.0220313663966222E-2</v>
      </c>
      <c r="S2095" s="3">
        <f t="shared" si="196"/>
        <v>-1.4983554676874691</v>
      </c>
    </row>
    <row r="2096" spans="6:19" x14ac:dyDescent="0.2">
      <c r="F2096" s="3"/>
      <c r="G2096" s="3"/>
      <c r="H2096" s="3"/>
      <c r="M2096" s="1">
        <f t="shared" si="197"/>
        <v>62.82000000000162</v>
      </c>
      <c r="N2096" s="1">
        <f t="shared" si="198"/>
        <v>0.74767604232528451</v>
      </c>
      <c r="O2096" s="1">
        <f t="shared" si="199"/>
        <v>-0.48282422634826638</v>
      </c>
      <c r="P2096" s="1">
        <f t="shared" si="200"/>
        <v>4.6510735955603</v>
      </c>
      <c r="R2096" s="3">
        <f t="shared" si="195"/>
        <v>-9.1915458100145273E-2</v>
      </c>
      <c r="S2096" s="3">
        <f t="shared" si="196"/>
        <v>-1.4971812009781047</v>
      </c>
    </row>
    <row r="2097" spans="6:19" x14ac:dyDescent="0.2">
      <c r="F2097" s="3"/>
      <c r="G2097" s="3"/>
      <c r="H2097" s="3"/>
      <c r="M2097" s="1">
        <f t="shared" si="197"/>
        <v>62.850000000001621</v>
      </c>
      <c r="N2097" s="1">
        <f t="shared" si="198"/>
        <v>0.96260876137279672</v>
      </c>
      <c r="O2097" s="1">
        <f t="shared" si="199"/>
        <v>-0.45394596350708249</v>
      </c>
      <c r="P2097" s="1">
        <f t="shared" si="200"/>
        <v>4.6374552166550878</v>
      </c>
      <c r="R2097" s="3">
        <f t="shared" si="195"/>
        <v>-0.11229548556034344</v>
      </c>
      <c r="S2097" s="3">
        <f t="shared" si="196"/>
        <v>-1.4957906684836506</v>
      </c>
    </row>
    <row r="2098" spans="6:19" x14ac:dyDescent="0.2">
      <c r="F2098" s="3"/>
      <c r="G2098" s="3"/>
      <c r="H2098" s="3"/>
      <c r="M2098" s="1">
        <f t="shared" si="197"/>
        <v>62.880000000001623</v>
      </c>
      <c r="N2098" s="1">
        <f t="shared" si="198"/>
        <v>1.1638099923190717</v>
      </c>
      <c r="O2098" s="1">
        <f t="shared" si="199"/>
        <v>-0.41903166373751033</v>
      </c>
      <c r="P2098" s="1">
        <f t="shared" si="200"/>
        <v>4.6248842667429626</v>
      </c>
      <c r="R2098" s="3">
        <f t="shared" si="195"/>
        <v>-0.13108962704496552</v>
      </c>
      <c r="S2098" s="3">
        <f t="shared" si="196"/>
        <v>-1.4942608573074556</v>
      </c>
    </row>
    <row r="2099" spans="6:19" x14ac:dyDescent="0.2">
      <c r="F2099" s="3"/>
      <c r="G2099" s="3"/>
      <c r="H2099" s="3"/>
      <c r="M2099" s="1">
        <f t="shared" si="197"/>
        <v>62.910000000001624</v>
      </c>
      <c r="N2099" s="1">
        <f t="shared" si="198"/>
        <v>1.3486091201860309</v>
      </c>
      <c r="O2099" s="1">
        <f t="shared" si="199"/>
        <v>-0.37857339013192942</v>
      </c>
      <c r="P2099" s="1">
        <f t="shared" si="200"/>
        <v>4.6135270650390048</v>
      </c>
      <c r="R2099" s="3">
        <f t="shared" si="195"/>
        <v>-0.14805142989878295</v>
      </c>
      <c r="S2099" s="3">
        <f t="shared" si="196"/>
        <v>-1.4926757096251435</v>
      </c>
    </row>
    <row r="2100" spans="6:19" x14ac:dyDescent="0.2">
      <c r="F2100" s="3"/>
      <c r="G2100" s="3"/>
      <c r="H2100" s="3"/>
      <c r="M2100" s="1">
        <f t="shared" si="197"/>
        <v>62.940000000001625</v>
      </c>
      <c r="N2100" s="1">
        <f t="shared" si="198"/>
        <v>1.514585904099703</v>
      </c>
      <c r="O2100" s="1">
        <f t="shared" si="199"/>
        <v>-0.33313581300893835</v>
      </c>
      <c r="P2100" s="1">
        <f t="shared" si="200"/>
        <v>4.6035329906487368</v>
      </c>
      <c r="R2100" s="3">
        <f t="shared" si="195"/>
        <v>-0.16296169990566423</v>
      </c>
      <c r="S2100" s="3">
        <f t="shared" si="196"/>
        <v>-1.491121552511349</v>
      </c>
    </row>
    <row r="2101" spans="6:19" x14ac:dyDescent="0.2">
      <c r="F2101" s="3"/>
      <c r="G2101" s="3"/>
      <c r="H2101" s="3"/>
      <c r="M2101" s="1">
        <f t="shared" si="197"/>
        <v>62.970000000001626</v>
      </c>
      <c r="N2101" s="1">
        <f t="shared" si="198"/>
        <v>1.6595992222274465</v>
      </c>
      <c r="O2101" s="1">
        <f t="shared" si="199"/>
        <v>-0.28334783634211497</v>
      </c>
      <c r="P2101" s="1">
        <f t="shared" si="200"/>
        <v>4.5950325555584737</v>
      </c>
      <c r="R2101" s="3">
        <f t="shared" si="195"/>
        <v>-0.17563084167044007</v>
      </c>
      <c r="S2101" s="3">
        <f t="shared" si="196"/>
        <v>-1.4896824518850091</v>
      </c>
    </row>
    <row r="2102" spans="6:19" x14ac:dyDescent="0.2">
      <c r="F2102" s="3"/>
      <c r="G2102" s="3"/>
      <c r="H2102" s="3"/>
      <c r="M2102" s="1">
        <f t="shared" si="197"/>
        <v>63.000000000001627</v>
      </c>
      <c r="N2102" s="1">
        <f t="shared" si="198"/>
        <v>1.7818097219751912</v>
      </c>
      <c r="O2102" s="1">
        <f t="shared" si="199"/>
        <v>-0.22989354468285922</v>
      </c>
      <c r="P2102" s="1">
        <f t="shared" si="200"/>
        <v>4.5881357492179875</v>
      </c>
      <c r="R2102" s="3">
        <f t="shared" si="195"/>
        <v>-0.18590063459467793</v>
      </c>
      <c r="S2102" s="3">
        <f t="shared" si="196"/>
        <v>-1.4884357406543609</v>
      </c>
    </row>
    <row r="2103" spans="6:19" x14ac:dyDescent="0.2">
      <c r="F2103" s="3"/>
      <c r="G2103" s="3"/>
      <c r="H2103" s="3"/>
      <c r="M2103" s="1">
        <f t="shared" si="197"/>
        <v>63.030000000001628</v>
      </c>
      <c r="N2103" s="1">
        <f t="shared" si="198"/>
        <v>1.8796967649682368</v>
      </c>
      <c r="O2103" s="1">
        <f t="shared" si="199"/>
        <v>-0.17350264173381211</v>
      </c>
      <c r="P2103" s="1">
        <f t="shared" si="200"/>
        <v>4.5829306699659735</v>
      </c>
      <c r="R2103" s="3">
        <f t="shared" si="195"/>
        <v>-0.19364550731973276</v>
      </c>
      <c r="S2103" s="3">
        <f t="shared" si="196"/>
        <v>-1.4874479545499679</v>
      </c>
    </row>
    <row r="2104" spans="6:19" x14ac:dyDescent="0.2">
      <c r="F2104" s="3"/>
      <c r="G2104" s="3"/>
      <c r="H2104" s="3"/>
      <c r="M2104" s="1">
        <f t="shared" si="197"/>
        <v>63.060000000001629</v>
      </c>
      <c r="N2104" s="1">
        <f t="shared" si="198"/>
        <v>1.9520703109533706</v>
      </c>
      <c r="O2104" s="1">
        <f t="shared" si="199"/>
        <v>-0.11494053240521099</v>
      </c>
      <c r="P2104" s="1">
        <f t="shared" si="200"/>
        <v>4.5794824539938173</v>
      </c>
      <c r="R2104" s="3">
        <f t="shared" si="195"/>
        <v>-0.19877338771002781</v>
      </c>
      <c r="S2104" s="3">
        <f t="shared" si="196"/>
        <v>-1.4867713813287768</v>
      </c>
    </row>
    <row r="2105" spans="6:19" x14ac:dyDescent="0.2">
      <c r="F2105" s="3"/>
      <c r="G2105" s="3"/>
      <c r="H2105" s="3"/>
      <c r="M2105" s="1">
        <f t="shared" si="197"/>
        <v>63.090000000001631</v>
      </c>
      <c r="N2105" s="1">
        <f t="shared" si="198"/>
        <v>1.9980785250167472</v>
      </c>
      <c r="O2105" s="1">
        <f t="shared" si="199"/>
        <v>-5.4998176654708575E-2</v>
      </c>
      <c r="P2105" s="1">
        <f t="shared" si="200"/>
        <v>4.5778325086941756</v>
      </c>
      <c r="R2105" s="3">
        <f t="shared" si="195"/>
        <v>-0.20122620748700415</v>
      </c>
      <c r="S2105" s="3">
        <f t="shared" si="196"/>
        <v>-1.4864413925279385</v>
      </c>
    </row>
    <row r="2106" spans="6:19" x14ac:dyDescent="0.2">
      <c r="F2106" s="3"/>
      <c r="G2106" s="3"/>
      <c r="H2106" s="3"/>
      <c r="M2106" s="1">
        <f t="shared" si="197"/>
        <v>63.120000000001632</v>
      </c>
      <c r="N2106" s="1">
        <f t="shared" si="198"/>
        <v>2.0172119107689652</v>
      </c>
      <c r="O2106" s="1">
        <f t="shared" si="199"/>
        <v>5.5181806683603785E-3</v>
      </c>
      <c r="P2106" s="1">
        <f t="shared" si="200"/>
        <v>4.577998054114226</v>
      </c>
      <c r="R2106" s="3">
        <f t="shared" si="195"/>
        <v>-0.20098013116609087</v>
      </c>
      <c r="S2106" s="3">
        <f t="shared" si="196"/>
        <v>-1.4864746842366543</v>
      </c>
    </row>
    <row r="2107" spans="6:19" x14ac:dyDescent="0.2">
      <c r="F2107" s="3"/>
      <c r="G2107" s="3"/>
      <c r="H2107" s="3"/>
      <c r="M2107" s="1">
        <f t="shared" si="197"/>
        <v>63.150000000001633</v>
      </c>
      <c r="N2107" s="1">
        <f t="shared" si="198"/>
        <v>2.009304675400756</v>
      </c>
      <c r="O2107" s="1">
        <f t="shared" si="199"/>
        <v>6.5797320930383055E-2</v>
      </c>
      <c r="P2107" s="1">
        <f t="shared" si="200"/>
        <v>4.5799719737421372</v>
      </c>
      <c r="R2107" s="3">
        <f t="shared" si="195"/>
        <v>-0.19804555997070611</v>
      </c>
      <c r="S2107" s="3">
        <f t="shared" si="196"/>
        <v>-1.4868685066864149</v>
      </c>
    </row>
    <row r="2108" spans="6:19" x14ac:dyDescent="0.2">
      <c r="F2108" s="3"/>
      <c r="G2108" s="3"/>
      <c r="H2108" s="3"/>
      <c r="M2108" s="1">
        <f t="shared" si="197"/>
        <v>63.180000000001634</v>
      </c>
      <c r="N2108" s="1">
        <f t="shared" si="198"/>
        <v>1.9745338408233264</v>
      </c>
      <c r="O2108" s="1">
        <f t="shared" si="199"/>
        <v>0.12503333615508283</v>
      </c>
      <c r="P2108" s="1">
        <f t="shared" si="200"/>
        <v>4.5837229738267897</v>
      </c>
      <c r="R2108" s="3">
        <f t="shared" si="195"/>
        <v>-0.19246693590584468</v>
      </c>
      <c r="S2108" s="3">
        <f t="shared" si="196"/>
        <v>-1.4876009137477078</v>
      </c>
    </row>
    <row r="2109" spans="6:19" x14ac:dyDescent="0.2">
      <c r="F2109" s="3"/>
      <c r="G2109" s="3"/>
      <c r="H2109" s="3"/>
      <c r="M2109" s="1">
        <f t="shared" si="197"/>
        <v>63.210000000001635</v>
      </c>
      <c r="N2109" s="1">
        <f t="shared" si="198"/>
        <v>1.9134163588044892</v>
      </c>
      <c r="O2109" s="1">
        <f t="shared" si="199"/>
        <v>0.1824358269192175</v>
      </c>
      <c r="P2109" s="1">
        <f t="shared" si="200"/>
        <v>4.5891960486343661</v>
      </c>
      <c r="R2109" s="3">
        <f t="shared" si="195"/>
        <v>-0.18432234284527746</v>
      </c>
      <c r="S2109" s="3">
        <f t="shared" si="196"/>
        <v>-1.4886320142762037</v>
      </c>
    </row>
    <row r="2110" spans="6:19" x14ac:dyDescent="0.2">
      <c r="F2110" s="3"/>
      <c r="G2110" s="3"/>
      <c r="H2110" s="3"/>
      <c r="M2110" s="1">
        <f t="shared" si="197"/>
        <v>63.240000000001636</v>
      </c>
      <c r="N2110" s="1">
        <f t="shared" si="198"/>
        <v>1.826804204030045</v>
      </c>
      <c r="O2110" s="1">
        <f t="shared" si="199"/>
        <v>0.23723995304011886</v>
      </c>
      <c r="P2110" s="1">
        <f t="shared" si="200"/>
        <v>4.5963132472255701</v>
      </c>
      <c r="R2110" s="3">
        <f t="shared" si="195"/>
        <v>-0.17372287425691768</v>
      </c>
      <c r="S2110" s="3">
        <f t="shared" si="196"/>
        <v>-1.4899061591120144</v>
      </c>
    </row>
    <row r="2111" spans="6:19" x14ac:dyDescent="0.2">
      <c r="F2111" s="3"/>
      <c r="G2111" s="3"/>
      <c r="H2111" s="3"/>
      <c r="M2111" s="1">
        <f t="shared" si="197"/>
        <v>63.270000000001637</v>
      </c>
      <c r="N2111" s="1">
        <f t="shared" si="198"/>
        <v>1.7158771467955658</v>
      </c>
      <c r="O2111" s="1">
        <f t="shared" si="199"/>
        <v>0.28871626744398582</v>
      </c>
      <c r="P2111" s="1">
        <f t="shared" si="200"/>
        <v>4.6049747352488897</v>
      </c>
      <c r="R2111" s="3">
        <f t="shared" si="195"/>
        <v>-0.16081171483563178</v>
      </c>
      <c r="S2111" s="3">
        <f t="shared" si="196"/>
        <v>-1.4913549518379665</v>
      </c>
    </row>
    <row r="2112" spans="6:19" x14ac:dyDescent="0.2">
      <c r="F2112" s="3"/>
      <c r="G2112" s="3"/>
      <c r="H2112" s="3"/>
      <c r="M2112" s="1">
        <f t="shared" si="197"/>
        <v>63.300000000001639</v>
      </c>
      <c r="N2112" s="1">
        <f t="shared" si="198"/>
        <v>1.582132684286359</v>
      </c>
      <c r="O2112" s="1">
        <f t="shared" si="199"/>
        <v>0.33618024797257662</v>
      </c>
      <c r="P2112" s="1">
        <f t="shared" si="200"/>
        <v>4.6150601426880673</v>
      </c>
      <c r="R2112" s="3">
        <f t="shared" si="195"/>
        <v>-0.14576286904285971</v>
      </c>
      <c r="S2112" s="3">
        <f t="shared" si="196"/>
        <v>-1.4929009297365965</v>
      </c>
    </row>
    <row r="2113" spans="6:19" x14ac:dyDescent="0.2">
      <c r="F2113" s="3"/>
      <c r="G2113" s="3"/>
      <c r="H2113" s="3"/>
      <c r="M2113" s="1">
        <f t="shared" si="197"/>
        <v>63.33000000000164</v>
      </c>
      <c r="N2113" s="1">
        <f t="shared" si="198"/>
        <v>1.4273724681110651</v>
      </c>
      <c r="O2113" s="1">
        <f t="shared" si="199"/>
        <v>0.37900142201590858</v>
      </c>
      <c r="P2113" s="1">
        <f t="shared" si="200"/>
        <v>4.6264301853485446</v>
      </c>
      <c r="R2113" s="3">
        <f t="shared" si="195"/>
        <v>-0.12877946566097997</v>
      </c>
      <c r="S2113" s="3">
        <f t="shared" si="196"/>
        <v>-1.4944617255801744</v>
      </c>
    </row>
    <row r="2114" spans="6:19" x14ac:dyDescent="0.2">
      <c r="F2114" s="3"/>
      <c r="G2114" s="3"/>
      <c r="H2114" s="3"/>
      <c r="M2114" s="1">
        <f t="shared" si="197"/>
        <v>63.360000000001641</v>
      </c>
      <c r="N2114" s="1">
        <f t="shared" si="198"/>
        <v>1.253684528628368</v>
      </c>
      <c r="O2114" s="1">
        <f t="shared" si="199"/>
        <v>0.41661195787475963</v>
      </c>
      <c r="P2114" s="1">
        <f t="shared" si="200"/>
        <v>4.6389285440847869</v>
      </c>
      <c r="R2114" s="3">
        <f t="shared" ref="R2114:R2177" si="201">$B$3*COS(P2114)</f>
        <v>-0.11009157505713997</v>
      </c>
      <c r="S2114" s="3">
        <f t="shared" ref="S2114:S2177" si="202">$B$3*SIN(P2114)</f>
        <v>-1.4959544929914941</v>
      </c>
    </row>
    <row r="2115" spans="6:19" x14ac:dyDescent="0.2">
      <c r="F2115" s="3"/>
      <c r="G2115" s="3"/>
      <c r="H2115" s="3"/>
      <c r="M2115" s="1">
        <f t="shared" ref="M2115:M2178" si="203">M2114+B$13</f>
        <v>63.390000000001642</v>
      </c>
      <c r="N2115" s="1">
        <f t="shared" ref="N2115:N2178" si="204">-$B$12*$B$3*COS(P2114)-B$10*O2114</f>
        <v>1.0634206743626715</v>
      </c>
      <c r="O2115" s="1">
        <f t="shared" ref="O2115:O2178" si="205">N2115*$B$13+O2114</f>
        <v>0.44851457810563977</v>
      </c>
      <c r="P2115" s="1">
        <f t="shared" ref="P2115:P2178" si="206">O2115*$B$13+P2114</f>
        <v>4.6523839814279562</v>
      </c>
      <c r="R2115" s="3">
        <f t="shared" si="201"/>
        <v>-8.9953494660009028E-2</v>
      </c>
      <c r="S2115" s="3">
        <f t="shared" si="202"/>
        <v>-1.4973003602478867</v>
      </c>
    </row>
    <row r="2116" spans="6:19" x14ac:dyDescent="0.2">
      <c r="F2116" s="3"/>
      <c r="G2116" s="3"/>
      <c r="H2116" s="3"/>
      <c r="M2116" s="1">
        <f t="shared" si="203"/>
        <v>63.420000000001643</v>
      </c>
      <c r="N2116" s="1">
        <f t="shared" si="204"/>
        <v>0.85916863457058279</v>
      </c>
      <c r="O2116" s="1">
        <f t="shared" si="205"/>
        <v>0.47428963714275724</v>
      </c>
      <c r="P2116" s="1">
        <f t="shared" si="206"/>
        <v>4.6666126705422393</v>
      </c>
      <c r="R2116" s="3">
        <f t="shared" si="201"/>
        <v>-6.8640486548887755E-2</v>
      </c>
      <c r="S2116" s="3">
        <f t="shared" si="202"/>
        <v>-1.4984286715110371</v>
      </c>
    </row>
    <row r="2117" spans="6:19" x14ac:dyDescent="0.2">
      <c r="F2117" s="3"/>
      <c r="G2117" s="3"/>
      <c r="H2117" s="3"/>
      <c r="M2117" s="1">
        <f t="shared" si="203"/>
        <v>63.450000000001644</v>
      </c>
      <c r="N2117" s="1">
        <f t="shared" si="204"/>
        <v>0.64371879814602939</v>
      </c>
      <c r="O2117" s="1">
        <f t="shared" si="205"/>
        <v>0.49360120108713812</v>
      </c>
      <c r="P2117" s="1">
        <f t="shared" si="206"/>
        <v>4.681420706574853</v>
      </c>
      <c r="R2117" s="3">
        <f t="shared" si="201"/>
        <v>-4.6444986164041302E-2</v>
      </c>
      <c r="S2117" s="3">
        <f t="shared" si="202"/>
        <v>-1.4992807819952279</v>
      </c>
    </row>
    <row r="2118" spans="6:19" x14ac:dyDescent="0.2">
      <c r="F2118" s="3"/>
      <c r="G2118" s="3"/>
      <c r="H2118" s="3"/>
      <c r="M2118" s="1">
        <f t="shared" si="203"/>
        <v>63.480000000001645</v>
      </c>
      <c r="N2118" s="1">
        <f t="shared" si="204"/>
        <v>0.4200257535425706</v>
      </c>
      <c r="O2118" s="1">
        <f t="shared" si="205"/>
        <v>0.50620197369341524</v>
      </c>
      <c r="P2118" s="1">
        <f t="shared" si="206"/>
        <v>4.6966067657856554</v>
      </c>
      <c r="R2118" s="3">
        <f t="shared" si="201"/>
        <v>-2.3672339159004366E-2</v>
      </c>
      <c r="S2118" s="3">
        <f t="shared" si="202"/>
        <v>-1.4998131951542302</v>
      </c>
    </row>
    <row r="2119" spans="6:19" x14ac:dyDescent="0.2">
      <c r="F2119" s="3"/>
      <c r="G2119" s="3"/>
      <c r="H2119" s="3"/>
      <c r="M2119" s="1">
        <f t="shared" si="203"/>
        <v>63.510000000001646</v>
      </c>
      <c r="N2119" s="1">
        <f t="shared" si="204"/>
        <v>0.1911652139576363</v>
      </c>
      <c r="O2119" s="1">
        <f t="shared" si="205"/>
        <v>0.51193693011214436</v>
      </c>
      <c r="P2119" s="1">
        <f t="shared" si="206"/>
        <v>4.7119648736890198</v>
      </c>
      <c r="R2119" s="3">
        <f t="shared" si="201"/>
        <v>-6.3616002443438223E-4</v>
      </c>
      <c r="S2119" s="3">
        <f t="shared" si="202"/>
        <v>-1.4999998651001349</v>
      </c>
    </row>
    <row r="2120" spans="6:19" x14ac:dyDescent="0.2">
      <c r="F2120" s="3"/>
      <c r="G2120" s="3"/>
      <c r="H2120" s="3"/>
      <c r="M2120" s="1">
        <f t="shared" si="203"/>
        <v>63.540000000001648</v>
      </c>
      <c r="N2120" s="1">
        <f t="shared" si="204"/>
        <v>-3.9712723465749167E-2</v>
      </c>
      <c r="O2120" s="1">
        <f t="shared" si="205"/>
        <v>0.51074554840817188</v>
      </c>
      <c r="P2120" s="1">
        <f t="shared" si="206"/>
        <v>4.7272872401412647</v>
      </c>
      <c r="R2120" s="3">
        <f t="shared" si="201"/>
        <v>2.2346562946516518E-2</v>
      </c>
      <c r="S2120" s="3">
        <f t="shared" si="202"/>
        <v>-1.499833534471235</v>
      </c>
    </row>
    <row r="2121" spans="6:19" x14ac:dyDescent="0.2">
      <c r="F2121" s="3"/>
      <c r="G2121" s="3"/>
      <c r="H2121" s="3"/>
      <c r="M2121" s="1">
        <f t="shared" si="203"/>
        <v>63.570000000001649</v>
      </c>
      <c r="N2121" s="1">
        <f t="shared" si="204"/>
        <v>-0.26943272882190067</v>
      </c>
      <c r="O2121" s="1">
        <f t="shared" si="205"/>
        <v>0.50266256654351482</v>
      </c>
      <c r="P2121" s="1">
        <f t="shared" si="206"/>
        <v>4.7423671171375705</v>
      </c>
      <c r="R2121" s="3">
        <f t="shared" si="201"/>
        <v>4.4960470178898704E-2</v>
      </c>
      <c r="S2121" s="3">
        <f t="shared" si="202"/>
        <v>-1.4993260339636914</v>
      </c>
    </row>
    <row r="2122" spans="6:19" x14ac:dyDescent="0.2">
      <c r="F2122" s="3"/>
      <c r="G2122" s="3"/>
      <c r="H2122" s="3"/>
      <c r="M2122" s="1">
        <f t="shared" si="203"/>
        <v>63.60000000000165</v>
      </c>
      <c r="N2122" s="1">
        <f t="shared" si="204"/>
        <v>-0.49484433277790335</v>
      </c>
      <c r="O2122" s="1">
        <f t="shared" si="205"/>
        <v>0.48781723656017772</v>
      </c>
      <c r="P2122" s="1">
        <f t="shared" si="206"/>
        <v>4.7570016342343759</v>
      </c>
      <c r="R2122" s="3">
        <f t="shared" si="201"/>
        <v>6.6896784966192557E-2</v>
      </c>
      <c r="S2122" s="3">
        <f t="shared" si="202"/>
        <v>-1.4985075308990565</v>
      </c>
    </row>
    <row r="2123" spans="6:19" x14ac:dyDescent="0.2">
      <c r="F2123" s="3"/>
      <c r="G2123" s="3"/>
      <c r="H2123" s="3"/>
      <c r="M2123" s="1">
        <f t="shared" si="203"/>
        <v>63.630000000001651</v>
      </c>
      <c r="N2123" s="1">
        <f t="shared" si="204"/>
        <v>-0.71287140095234147</v>
      </c>
      <c r="O2123" s="1">
        <f t="shared" si="205"/>
        <v>0.46643109453160747</v>
      </c>
      <c r="P2123" s="1">
        <f t="shared" si="206"/>
        <v>4.770994567070324</v>
      </c>
      <c r="R2123" s="3">
        <f t="shared" si="201"/>
        <v>8.7858066765849258E-2</v>
      </c>
      <c r="S2123" s="3">
        <f t="shared" si="202"/>
        <v>-1.4974247761086925</v>
      </c>
    </row>
    <row r="2124" spans="6:19" x14ac:dyDescent="0.2">
      <c r="F2124" s="3"/>
      <c r="G2124" s="3"/>
      <c r="H2124" s="3"/>
      <c r="M2124" s="1">
        <f t="shared" si="203"/>
        <v>63.660000000001652</v>
      </c>
      <c r="N2124" s="1">
        <f t="shared" si="204"/>
        <v>-0.92055946616633721</v>
      </c>
      <c r="O2124" s="1">
        <f t="shared" si="205"/>
        <v>0.43881431054661735</v>
      </c>
      <c r="P2124" s="1">
        <f t="shared" si="206"/>
        <v>4.7841589963867222</v>
      </c>
      <c r="R2124" s="3">
        <f t="shared" si="201"/>
        <v>0.10756262712739763</v>
      </c>
      <c r="S2124" s="3">
        <f t="shared" si="202"/>
        <v>-1.4961384565759455</v>
      </c>
    </row>
    <row r="2125" spans="6:19" x14ac:dyDescent="0.2">
      <c r="F2125" s="3"/>
      <c r="G2125" s="3"/>
      <c r="H2125" s="3"/>
      <c r="M2125" s="1">
        <f t="shared" si="203"/>
        <v>63.690000000001653</v>
      </c>
      <c r="N2125" s="1">
        <f t="shared" si="204"/>
        <v>-1.115119559223172</v>
      </c>
      <c r="O2125" s="1">
        <f t="shared" si="205"/>
        <v>0.40536072376992216</v>
      </c>
      <c r="P2125" s="1">
        <f t="shared" si="206"/>
        <v>4.7963198180998194</v>
      </c>
      <c r="R2125" s="3">
        <f t="shared" si="201"/>
        <v>0.12574849833113683</v>
      </c>
      <c r="S2125" s="3">
        <f t="shared" si="202"/>
        <v>-1.4947198115926155</v>
      </c>
    </row>
    <row r="2126" spans="6:19" x14ac:dyDescent="0.2">
      <c r="F2126" s="3"/>
      <c r="G2126" s="3"/>
      <c r="H2126" s="3"/>
      <c r="M2126" s="1">
        <f t="shared" si="203"/>
        <v>63.720000000001654</v>
      </c>
      <c r="N2126" s="1">
        <f t="shared" si="204"/>
        <v>-1.2939674484506614</v>
      </c>
      <c r="O2126" s="1">
        <f t="shared" si="205"/>
        <v>0.36654170031640232</v>
      </c>
      <c r="P2126" s="1">
        <f t="shared" si="206"/>
        <v>4.8073160691093113</v>
      </c>
      <c r="R2126" s="3">
        <f t="shared" si="201"/>
        <v>0.14217687880780525</v>
      </c>
      <c r="S2126" s="3">
        <f t="shared" si="202"/>
        <v>-1.4932467093995121</v>
      </c>
    </row>
    <row r="2127" spans="6:19" x14ac:dyDescent="0.2">
      <c r="F2127" s="3"/>
      <c r="G2127" s="3"/>
      <c r="H2127" s="3"/>
      <c r="M2127" s="1">
        <f t="shared" si="203"/>
        <v>63.750000000001656</v>
      </c>
      <c r="N2127" s="1">
        <f t="shared" si="204"/>
        <v>-1.4547575411065288</v>
      </c>
      <c r="O2127" s="1">
        <f t="shared" si="205"/>
        <v>0.32289897408320645</v>
      </c>
      <c r="P2127" s="1">
        <f t="shared" si="206"/>
        <v>4.8170030383318077</v>
      </c>
      <c r="R2127" s="3">
        <f t="shared" si="201"/>
        <v>0.15663501679738098</v>
      </c>
      <c r="S2127" s="3">
        <f t="shared" si="202"/>
        <v>-1.4917994072638869</v>
      </c>
    </row>
    <row r="2128" spans="6:19" x14ac:dyDescent="0.2">
      <c r="F2128" s="3"/>
      <c r="G2128" s="3"/>
      <c r="H2128" s="3"/>
      <c r="M2128" s="1">
        <f t="shared" si="203"/>
        <v>63.780000000001657</v>
      </c>
      <c r="N2128" s="1">
        <f t="shared" si="204"/>
        <v>-1.5954110756412982</v>
      </c>
      <c r="O2128" s="1">
        <f t="shared" si="205"/>
        <v>0.27503664181396748</v>
      </c>
      <c r="P2128" s="1">
        <f t="shared" si="206"/>
        <v>4.825254137586227</v>
      </c>
      <c r="R2128" s="3">
        <f t="shared" si="201"/>
        <v>0.16893853023185501</v>
      </c>
      <c r="S2128" s="3">
        <f t="shared" si="202"/>
        <v>-1.4904562298179376</v>
      </c>
    </row>
    <row r="2129" spans="6:19" x14ac:dyDescent="0.2">
      <c r="F2129" s="3"/>
      <c r="G2129" s="3"/>
      <c r="H2129" s="3"/>
      <c r="M2129" s="1">
        <f t="shared" si="203"/>
        <v>63.810000000001658</v>
      </c>
      <c r="N2129" s="1">
        <f t="shared" si="204"/>
        <v>-1.7141386000818071</v>
      </c>
      <c r="O2129" s="1">
        <f t="shared" si="205"/>
        <v>0.22361248381151327</v>
      </c>
      <c r="P2129" s="1">
        <f t="shared" si="206"/>
        <v>4.8319625121005725</v>
      </c>
      <c r="R2129" s="3">
        <f t="shared" si="201"/>
        <v>0.17893319253003559</v>
      </c>
      <c r="S2129" s="3">
        <f t="shared" si="202"/>
        <v>-1.4892893985424758</v>
      </c>
    </row>
    <row r="2130" spans="6:19" x14ac:dyDescent="0.2">
      <c r="F2130" s="3"/>
      <c r="G2130" s="3"/>
      <c r="H2130" s="3"/>
      <c r="M2130" s="1">
        <f t="shared" si="203"/>
        <v>63.840000000001659</v>
      </c>
      <c r="N2130" s="1">
        <f t="shared" si="204"/>
        <v>-1.8094570488433921</v>
      </c>
      <c r="O2130" s="1">
        <f t="shared" si="205"/>
        <v>0.16932877234621152</v>
      </c>
      <c r="P2130" s="1">
        <f t="shared" si="206"/>
        <v>4.8370423752709586</v>
      </c>
      <c r="R2130" s="3">
        <f t="shared" si="201"/>
        <v>0.18649623767687029</v>
      </c>
      <c r="S2130" s="3">
        <f t="shared" si="202"/>
        <v>-1.488361230794585</v>
      </c>
    </row>
    <row r="2131" spans="6:19" x14ac:dyDescent="0.2">
      <c r="F2131" s="3"/>
      <c r="G2131" s="3"/>
      <c r="H2131" s="3"/>
      <c r="M2131" s="1">
        <f t="shared" si="203"/>
        <v>63.87000000000166</v>
      </c>
      <c r="N2131" s="1">
        <f t="shared" si="204"/>
        <v>-1.8802019662798617</v>
      </c>
      <c r="O2131" s="1">
        <f t="shared" si="205"/>
        <v>0.11292271335781567</v>
      </c>
      <c r="P2131" s="1">
        <f t="shared" si="206"/>
        <v>4.8404300566716927</v>
      </c>
      <c r="R2131" s="3">
        <f t="shared" si="201"/>
        <v>0.19153725154152978</v>
      </c>
      <c r="S2131" s="3">
        <f t="shared" si="202"/>
        <v>-1.4877209016720565</v>
      </c>
    </row>
    <row r="2132" spans="6:19" x14ac:dyDescent="0.2">
      <c r="F2132" s="3"/>
      <c r="G2132" s="3"/>
      <c r="H2132" s="3"/>
      <c r="M2132" s="1">
        <f t="shared" si="203"/>
        <v>63.900000000001661</v>
      </c>
      <c r="N2132" s="1">
        <f t="shared" si="204"/>
        <v>-1.9255355596175014</v>
      </c>
      <c r="O2132" s="1">
        <f t="shared" si="205"/>
        <v>5.5156646569290632E-2</v>
      </c>
      <c r="P2132" s="1">
        <f t="shared" si="206"/>
        <v>4.842084756068771</v>
      </c>
      <c r="R2132" s="3">
        <f t="shared" si="201"/>
        <v>0.19399871907984562</v>
      </c>
      <c r="S2132" s="3">
        <f t="shared" si="202"/>
        <v>-1.4874019285302071</v>
      </c>
    </row>
    <row r="2133" spans="6:19" x14ac:dyDescent="0.2">
      <c r="F2133" s="3"/>
      <c r="G2133" s="3"/>
      <c r="H2133" s="3"/>
      <c r="M2133" s="1">
        <f t="shared" si="203"/>
        <v>63.930000000001662</v>
      </c>
      <c r="N2133" s="1">
        <f t="shared" si="204"/>
        <v>-1.9449512889896925</v>
      </c>
      <c r="O2133" s="1">
        <f t="shared" si="205"/>
        <v>-3.1918921004001413E-3</v>
      </c>
      <c r="P2133" s="1">
        <f t="shared" si="206"/>
        <v>4.8419889993057588</v>
      </c>
      <c r="R2133" s="3">
        <f t="shared" si="201"/>
        <v>0.19385628939666727</v>
      </c>
      <c r="S2133" s="3">
        <f t="shared" si="202"/>
        <v>-1.4874204984002861</v>
      </c>
    </row>
    <row r="2134" spans="6:19" x14ac:dyDescent="0.2">
      <c r="F2134" s="3"/>
      <c r="G2134" s="3"/>
      <c r="H2134" s="3"/>
      <c r="M2134" s="1">
        <f t="shared" si="203"/>
        <v>63.960000000001664</v>
      </c>
      <c r="N2134" s="1">
        <f t="shared" si="204"/>
        <v>-1.9382756236776368</v>
      </c>
      <c r="O2134" s="1">
        <f t="shared" si="205"/>
        <v>-6.1340160810729245E-2</v>
      </c>
      <c r="P2134" s="1">
        <f t="shared" si="206"/>
        <v>4.8401487944814372</v>
      </c>
      <c r="R2134" s="3">
        <f t="shared" si="201"/>
        <v>0.19111880433164907</v>
      </c>
      <c r="S2134" s="3">
        <f t="shared" si="202"/>
        <v>-1.4877747150126059</v>
      </c>
    </row>
    <row r="2135" spans="6:19" x14ac:dyDescent="0.2">
      <c r="F2135" s="3"/>
      <c r="G2135" s="3"/>
      <c r="H2135" s="3"/>
      <c r="M2135" s="1">
        <f t="shared" si="203"/>
        <v>63.990000000001665</v>
      </c>
      <c r="N2135" s="1">
        <f t="shared" si="204"/>
        <v>-1.9056674288435251</v>
      </c>
      <c r="O2135" s="1">
        <f t="shared" si="205"/>
        <v>-0.118510183676035</v>
      </c>
      <c r="P2135" s="1">
        <f t="shared" si="206"/>
        <v>4.8365934889711557</v>
      </c>
      <c r="R2135" s="3">
        <f t="shared" si="201"/>
        <v>0.18582811394425192</v>
      </c>
      <c r="S2135" s="3">
        <f t="shared" si="202"/>
        <v>-1.4884447964462513</v>
      </c>
    </row>
    <row r="2136" spans="6:19" x14ac:dyDescent="0.2">
      <c r="F2136" s="3"/>
      <c r="G2136" s="3"/>
      <c r="H2136" s="3"/>
      <c r="M2136" s="1">
        <f t="shared" si="203"/>
        <v>64.020000000001659</v>
      </c>
      <c r="N2136" s="1">
        <f t="shared" si="204"/>
        <v>-1.847615222911676</v>
      </c>
      <c r="O2136" s="1">
        <f t="shared" si="205"/>
        <v>-0.17393864036338527</v>
      </c>
      <c r="P2136" s="1">
        <f t="shared" si="206"/>
        <v>4.8313753297602542</v>
      </c>
      <c r="R2136" s="3">
        <f t="shared" si="201"/>
        <v>0.17805867729926983</v>
      </c>
      <c r="S2136" s="3">
        <f t="shared" si="202"/>
        <v>-1.4893942082062877</v>
      </c>
    </row>
    <row r="2137" spans="6:19" x14ac:dyDescent="0.2">
      <c r="F2137" s="3"/>
      <c r="G2137" s="3"/>
      <c r="H2137" s="3"/>
      <c r="M2137" s="1">
        <f t="shared" si="203"/>
        <v>64.05000000000166</v>
      </c>
      <c r="N2137" s="1">
        <f t="shared" si="204"/>
        <v>-1.7649322953599935</v>
      </c>
      <c r="O2137" s="1">
        <f t="shared" si="205"/>
        <v>-0.22688660922418508</v>
      </c>
      <c r="P2137" s="1">
        <f t="shared" si="206"/>
        <v>4.824568731483529</v>
      </c>
      <c r="R2137" s="3">
        <f t="shared" si="201"/>
        <v>0.16791692283402054</v>
      </c>
      <c r="S2137" s="3">
        <f t="shared" si="202"/>
        <v>-1.4905716712140862</v>
      </c>
    </row>
    <row r="2138" spans="6:19" x14ac:dyDescent="0.2">
      <c r="F2138" s="3"/>
      <c r="G2138" s="3"/>
      <c r="H2138" s="3"/>
      <c r="M2138" s="1">
        <f t="shared" si="203"/>
        <v>64.080000000001661</v>
      </c>
      <c r="N2138" s="1">
        <f t="shared" si="204"/>
        <v>-1.6587494335100286</v>
      </c>
      <c r="O2138" s="1">
        <f t="shared" si="205"/>
        <v>-0.27664909222948592</v>
      </c>
      <c r="P2138" s="1">
        <f t="shared" si="206"/>
        <v>4.8162692587166447</v>
      </c>
      <c r="R2138" s="3">
        <f t="shared" si="201"/>
        <v>0.15554032273195945</v>
      </c>
      <c r="S2138" s="3">
        <f t="shared" si="202"/>
        <v>-1.4919139412192775</v>
      </c>
    </row>
    <row r="2139" spans="6:19" x14ac:dyDescent="0.2">
      <c r="F2139" s="3"/>
      <c r="G2139" s="3"/>
      <c r="H2139" s="3"/>
      <c r="M2139" s="1">
        <f t="shared" si="203"/>
        <v>64.110000000001662</v>
      </c>
      <c r="N2139" s="1">
        <f t="shared" si="204"/>
        <v>-1.5305048090189406</v>
      </c>
      <c r="O2139" s="1">
        <f t="shared" si="205"/>
        <v>-0.32256423650005411</v>
      </c>
      <c r="P2139" s="1">
        <f t="shared" si="206"/>
        <v>4.8065923316216432</v>
      </c>
      <c r="R2139" s="3">
        <f t="shared" si="201"/>
        <v>0.14109612304438673</v>
      </c>
      <c r="S2139" s="3">
        <f t="shared" si="202"/>
        <v>-1.4933492170493288</v>
      </c>
    </row>
    <row r="2140" spans="6:19" x14ac:dyDescent="0.2">
      <c r="F2140" s="3"/>
      <c r="G2140" s="3"/>
      <c r="H2140" s="3"/>
      <c r="M2140" s="1">
        <f t="shared" si="203"/>
        <v>64.140000000001663</v>
      </c>
      <c r="N2140" s="1">
        <f t="shared" si="204"/>
        <v>-1.3819304491588627</v>
      </c>
      <c r="O2140" s="1">
        <f t="shared" si="205"/>
        <v>-0.36402214997481996</v>
      </c>
      <c r="P2140" s="1">
        <f t="shared" si="206"/>
        <v>4.7956716671223987</v>
      </c>
      <c r="R2140" s="3">
        <f t="shared" si="201"/>
        <v>0.12477966787866365</v>
      </c>
      <c r="S2140" s="3">
        <f t="shared" si="202"/>
        <v>-1.4948010016333579</v>
      </c>
    </row>
    <row r="2141" spans="6:19" x14ac:dyDescent="0.2">
      <c r="F2141" s="3"/>
      <c r="G2141" s="3"/>
      <c r="H2141" s="3"/>
      <c r="M2141" s="1">
        <f t="shared" si="203"/>
        <v>64.170000000001664</v>
      </c>
      <c r="N2141" s="1">
        <f t="shared" si="204"/>
        <v>-1.2150346852889027</v>
      </c>
      <c r="O2141" s="1">
        <f t="shared" si="205"/>
        <v>-0.40047319053348707</v>
      </c>
      <c r="P2141" s="1">
        <f t="shared" si="206"/>
        <v>4.7836574714063937</v>
      </c>
      <c r="R2141" s="3">
        <f t="shared" si="201"/>
        <v>0.10681226282138181</v>
      </c>
      <c r="S2141" s="3">
        <f t="shared" si="202"/>
        <v>-1.4961922137583046</v>
      </c>
    </row>
    <row r="2142" spans="6:19" x14ac:dyDescent="0.2">
      <c r="F2142" s="3"/>
      <c r="G2142" s="3"/>
      <c r="H2142" s="3"/>
      <c r="M2142" s="1">
        <f t="shared" si="203"/>
        <v>64.200000000001666</v>
      </c>
      <c r="N2142" s="1">
        <f t="shared" si="204"/>
        <v>-1.0320800410658042</v>
      </c>
      <c r="O2142" s="1">
        <f t="shared" si="205"/>
        <v>-0.4314355917654612</v>
      </c>
      <c r="P2142" s="1">
        <f t="shared" si="206"/>
        <v>4.7707144036534297</v>
      </c>
      <c r="R2142" s="3">
        <f t="shared" si="201"/>
        <v>8.7438539681463173E-2</v>
      </c>
      <c r="S2142" s="3">
        <f t="shared" si="202"/>
        <v>-1.4974493319569693</v>
      </c>
    </row>
    <row r="2143" spans="6:19" x14ac:dyDescent="0.2">
      <c r="F2143" s="3"/>
      <c r="G2143" s="3"/>
      <c r="H2143" s="3"/>
      <c r="M2143" s="1">
        <f t="shared" si="203"/>
        <v>64.230000000001667</v>
      </c>
      <c r="N2143" s="1">
        <f t="shared" si="204"/>
        <v>-0.83555619355574018</v>
      </c>
      <c r="O2143" s="1">
        <f t="shared" si="205"/>
        <v>-0.45650227757213341</v>
      </c>
      <c r="P2143" s="1">
        <f t="shared" si="206"/>
        <v>4.757019335326266</v>
      </c>
      <c r="R2143" s="3">
        <f t="shared" si="201"/>
        <v>6.6923310175213163E-2</v>
      </c>
      <c r="S2143" s="3">
        <f t="shared" si="202"/>
        <v>-1.4985063465181563</v>
      </c>
    </row>
    <row r="2144" spans="6:19" x14ac:dyDescent="0.2">
      <c r="F2144" s="3"/>
      <c r="G2144" s="3"/>
      <c r="H2144" s="3"/>
      <c r="M2144" s="1">
        <f t="shared" si="203"/>
        <v>64.260000000001668</v>
      </c>
      <c r="N2144" s="1">
        <f t="shared" si="204"/>
        <v>-0.62814789677063965</v>
      </c>
      <c r="O2144" s="1">
        <f t="shared" si="205"/>
        <v>-0.47534671447525262</v>
      </c>
      <c r="P2144" s="1">
        <f t="shared" si="206"/>
        <v>4.7427589338920084</v>
      </c>
      <c r="R2144" s="3">
        <f t="shared" si="201"/>
        <v>4.5547927773165443E-2</v>
      </c>
      <c r="S2144" s="3">
        <f t="shared" si="202"/>
        <v>-1.4993083026100971</v>
      </c>
    </row>
    <row r="2145" spans="6:19" x14ac:dyDescent="0.2">
      <c r="F2145" s="3"/>
      <c r="G2145" s="3"/>
      <c r="H2145" s="3"/>
      <c r="M2145" s="1">
        <f t="shared" si="203"/>
        <v>64.290000000001669</v>
      </c>
      <c r="N2145" s="1">
        <f t="shared" si="204"/>
        <v>-0.41269807342888171</v>
      </c>
      <c r="O2145" s="1">
        <f t="shared" si="205"/>
        <v>-0.48772765667811907</v>
      </c>
      <c r="P2145" s="1">
        <f t="shared" si="206"/>
        <v>4.7281271041916648</v>
      </c>
      <c r="R2145" s="3">
        <f t="shared" si="201"/>
        <v>2.3606211184300653E-2</v>
      </c>
      <c r="S2145" s="3">
        <f t="shared" si="202"/>
        <v>-1.4998142374285965</v>
      </c>
    </row>
    <row r="2146" spans="6:19" x14ac:dyDescent="0.2">
      <c r="F2146" s="3"/>
      <c r="G2146" s="3"/>
      <c r="H2146" s="3"/>
      <c r="M2146" s="1">
        <f t="shared" si="203"/>
        <v>64.32000000000167</v>
      </c>
      <c r="N2146" s="1">
        <f t="shared" si="204"/>
        <v>-0.19216662274197582</v>
      </c>
      <c r="O2146" s="1">
        <f t="shared" si="205"/>
        <v>-0.49349265536037834</v>
      </c>
      <c r="P2146" s="1">
        <f t="shared" si="206"/>
        <v>4.7133223245308535</v>
      </c>
      <c r="R2146" s="3">
        <f t="shared" si="201"/>
        <v>1.4000160159792015E-3</v>
      </c>
      <c r="S2146" s="3">
        <f t="shared" si="202"/>
        <v>-1.499999346651576</v>
      </c>
    </row>
    <row r="2147" spans="6:19" x14ac:dyDescent="0.2">
      <c r="F2147" s="3"/>
      <c r="G2147" s="3"/>
      <c r="H2147" s="3"/>
      <c r="M2147" s="1">
        <f t="shared" si="203"/>
        <v>64.350000000001671</v>
      </c>
      <c r="N2147" s="1">
        <f t="shared" si="204"/>
        <v>3.0414178822642031E-2</v>
      </c>
      <c r="O2147" s="1">
        <f t="shared" si="205"/>
        <v>-0.49258022999569906</v>
      </c>
      <c r="P2147" s="1">
        <f t="shared" si="206"/>
        <v>4.6985449176309828</v>
      </c>
      <c r="R2147" s="3">
        <f t="shared" si="201"/>
        <v>-2.076543080531789E-2</v>
      </c>
      <c r="S2147" s="3">
        <f t="shared" si="202"/>
        <v>-1.4998562587406399</v>
      </c>
    </row>
    <row r="2148" spans="6:19" x14ac:dyDescent="0.2">
      <c r="F2148" s="3"/>
      <c r="G2148" s="3"/>
      <c r="H2148" s="3"/>
      <c r="M2148" s="1">
        <f t="shared" si="203"/>
        <v>64.380000000001672</v>
      </c>
      <c r="N2148" s="1">
        <f t="shared" si="204"/>
        <v>0.25198652875279182</v>
      </c>
      <c r="O2148" s="1">
        <f t="shared" si="205"/>
        <v>-0.4850206341331153</v>
      </c>
      <c r="P2148" s="1">
        <f t="shared" si="206"/>
        <v>4.6839942986069891</v>
      </c>
      <c r="R2148" s="3">
        <f t="shared" si="201"/>
        <v>-4.2586299537768504E-2</v>
      </c>
      <c r="S2148" s="3">
        <f t="shared" si="202"/>
        <v>-1.4993953471622083</v>
      </c>
    </row>
    <row r="2149" spans="6:19" x14ac:dyDescent="0.2">
      <c r="F2149" s="3"/>
      <c r="G2149" s="3"/>
      <c r="H2149" s="3"/>
      <c r="M2149" s="1">
        <f t="shared" si="203"/>
        <v>64.410000000001673</v>
      </c>
      <c r="N2149" s="1">
        <f t="shared" si="204"/>
        <v>0.46951485244966545</v>
      </c>
      <c r="O2149" s="1">
        <f t="shared" si="205"/>
        <v>-0.47093518855962535</v>
      </c>
      <c r="P2149" s="1">
        <f t="shared" si="206"/>
        <v>4.6698662429502003</v>
      </c>
      <c r="R2149" s="3">
        <f t="shared" si="201"/>
        <v>-6.3764885664674475E-2</v>
      </c>
      <c r="S2149" s="3">
        <f t="shared" si="202"/>
        <v>-1.4986440669338972</v>
      </c>
    </row>
    <row r="2150" spans="6:19" x14ac:dyDescent="0.2">
      <c r="F2150" s="3"/>
      <c r="G2150" s="3"/>
      <c r="H2150" s="3"/>
      <c r="M2150" s="1">
        <f t="shared" si="203"/>
        <v>64.440000000001675</v>
      </c>
      <c r="N2150" s="1">
        <f t="shared" si="204"/>
        <v>0.68003302361711104</v>
      </c>
      <c r="O2150" s="1">
        <f t="shared" si="205"/>
        <v>-0.45053419785111204</v>
      </c>
      <c r="P2150" s="1">
        <f t="shared" si="206"/>
        <v>4.6563502170146673</v>
      </c>
      <c r="R2150" s="3">
        <f t="shared" si="201"/>
        <v>-8.4014156727953621E-2</v>
      </c>
      <c r="S2150" s="3">
        <f t="shared" si="202"/>
        <v>-1.497645359045088</v>
      </c>
    </row>
    <row r="2151" spans="6:19" x14ac:dyDescent="0.2">
      <c r="F2151" s="3"/>
      <c r="G2151" s="3"/>
      <c r="H2151" s="3"/>
      <c r="M2151" s="1">
        <f t="shared" si="203"/>
        <v>64.470000000001676</v>
      </c>
      <c r="N2151" s="1">
        <f t="shared" si="204"/>
        <v>0.88068964508613634</v>
      </c>
      <c r="O2151" s="1">
        <f t="shared" si="205"/>
        <v>-0.42411350849852797</v>
      </c>
      <c r="P2151" s="1">
        <f t="shared" si="206"/>
        <v>4.6436268117597113</v>
      </c>
      <c r="R2151" s="3">
        <f t="shared" si="201"/>
        <v>-0.10306199121364762</v>
      </c>
      <c r="S2151" s="3">
        <f t="shared" si="202"/>
        <v>-1.4964552201676729</v>
      </c>
    </row>
    <row r="2152" spans="6:19" x14ac:dyDescent="0.2">
      <c r="F2152" s="3"/>
      <c r="G2152" s="3"/>
      <c r="H2152" s="3"/>
      <c r="M2152" s="1">
        <f t="shared" si="203"/>
        <v>64.500000000001677</v>
      </c>
      <c r="N2152" s="1">
        <f t="shared" si="204"/>
        <v>1.0687901279013436</v>
      </c>
      <c r="O2152" s="1">
        <f t="shared" si="205"/>
        <v>-0.39204980466148764</v>
      </c>
      <c r="P2152" s="1">
        <f t="shared" si="206"/>
        <v>4.6318653176198668</v>
      </c>
      <c r="R2152" s="3">
        <f t="shared" si="201"/>
        <v>-0.12065500638841156</v>
      </c>
      <c r="S2152" s="3">
        <f t="shared" si="202"/>
        <v>-1.495139581923177</v>
      </c>
    </row>
    <row r="2153" spans="6:19" x14ac:dyDescent="0.2">
      <c r="F2153" s="3"/>
      <c r="G2153" s="3"/>
      <c r="H2153" s="3"/>
      <c r="M2153" s="1">
        <f t="shared" si="203"/>
        <v>64.530000000001678</v>
      </c>
      <c r="N2153" s="1">
        <f t="shared" si="204"/>
        <v>1.2418345463036495</v>
      </c>
      <c r="O2153" s="1">
        <f t="shared" si="205"/>
        <v>-0.35479476827237816</v>
      </c>
      <c r="P2153" s="1">
        <f t="shared" si="206"/>
        <v>4.6212214745716951</v>
      </c>
      <c r="R2153" s="3">
        <f t="shared" si="201"/>
        <v>-0.13656190242562494</v>
      </c>
      <c r="S2153" s="3">
        <f t="shared" si="202"/>
        <v>-1.4937706807960498</v>
      </c>
    </row>
    <row r="2154" spans="6:19" x14ac:dyDescent="0.2">
      <c r="F2154" s="3"/>
      <c r="G2154" s="3"/>
      <c r="H2154" s="3"/>
      <c r="M2154" s="1">
        <f t="shared" si="203"/>
        <v>64.560000000001679</v>
      </c>
      <c r="N2154" s="1">
        <f t="shared" si="204"/>
        <v>1.3975505534007633</v>
      </c>
      <c r="O2154" s="1">
        <f t="shared" si="205"/>
        <v>-0.31286825167035526</v>
      </c>
      <c r="P2154" s="1">
        <f t="shared" si="206"/>
        <v>4.6118354270215844</v>
      </c>
      <c r="R2154" s="3">
        <f t="shared" si="201"/>
        <v>-0.15057628383772392</v>
      </c>
      <c r="S2154" s="3">
        <f t="shared" si="202"/>
        <v>-1.4924231245681034</v>
      </c>
    </row>
    <row r="2155" spans="6:19" x14ac:dyDescent="0.2">
      <c r="F2155" s="3"/>
      <c r="G2155" s="3"/>
      <c r="H2155" s="3"/>
      <c r="M2155" s="1">
        <f t="shared" si="203"/>
        <v>64.59000000000168</v>
      </c>
      <c r="N2155" s="1">
        <f t="shared" si="204"/>
        <v>1.5339209810275711</v>
      </c>
      <c r="O2155" s="1">
        <f t="shared" si="205"/>
        <v>-0.2668506222395281</v>
      </c>
      <c r="P2155" s="1">
        <f t="shared" si="206"/>
        <v>4.603829908354399</v>
      </c>
      <c r="R2155" s="3">
        <f t="shared" si="201"/>
        <v>-0.16251895233857264</v>
      </c>
      <c r="S2155" s="3">
        <f t="shared" si="202"/>
        <v>-1.491169872995955</v>
      </c>
    </row>
    <row r="2156" spans="6:19" x14ac:dyDescent="0.2">
      <c r="F2156" s="3"/>
      <c r="G2156" s="3"/>
      <c r="H2156" s="3"/>
      <c r="M2156" s="1">
        <f t="shared" si="203"/>
        <v>64.620000000001681</v>
      </c>
      <c r="N2156" s="1">
        <f t="shared" si="204"/>
        <v>1.6492060793872838</v>
      </c>
      <c r="O2156" s="1">
        <f t="shared" si="205"/>
        <v>-0.21737443985790958</v>
      </c>
      <c r="P2156" s="1">
        <f t="shared" si="206"/>
        <v>4.5973086751586614</v>
      </c>
      <c r="R2156" s="3">
        <f t="shared" si="201"/>
        <v>-0.17223969422440696</v>
      </c>
      <c r="S2156" s="3">
        <f t="shared" si="202"/>
        <v>-1.490078349528468</v>
      </c>
    </row>
    <row r="2157" spans="6:19" x14ac:dyDescent="0.2">
      <c r="F2157" s="3"/>
      <c r="G2157" s="3"/>
      <c r="H2157" s="3"/>
      <c r="M2157" s="1">
        <f t="shared" si="203"/>
        <v>64.650000000001683</v>
      </c>
      <c r="N2157" s="1">
        <f t="shared" si="204"/>
        <v>1.7419606418312814</v>
      </c>
      <c r="O2157" s="1">
        <f t="shared" si="205"/>
        <v>-0.16511562060297114</v>
      </c>
      <c r="P2157" s="1">
        <f t="shared" si="206"/>
        <v>4.5923552065405726</v>
      </c>
      <c r="R2157" s="3">
        <f t="shared" si="201"/>
        <v>-0.17961860727711354</v>
      </c>
      <c r="S2157" s="3">
        <f t="shared" si="202"/>
        <v>-1.4892068882193064</v>
      </c>
    </row>
    <row r="2158" spans="6:19" x14ac:dyDescent="0.2">
      <c r="F2158" s="3"/>
      <c r="G2158" s="3"/>
      <c r="H2158" s="3"/>
      <c r="M2158" s="1">
        <f t="shared" si="203"/>
        <v>64.680000000001684</v>
      </c>
      <c r="N2158" s="1">
        <f t="shared" si="204"/>
        <v>1.8110464786254026</v>
      </c>
      <c r="O2158" s="1">
        <f t="shared" si="205"/>
        <v>-0.11078422624420906</v>
      </c>
      <c r="P2158" s="1">
        <f t="shared" si="206"/>
        <v>4.589031679753246</v>
      </c>
      <c r="R2158" s="3">
        <f t="shared" si="201"/>
        <v>-0.18456702513283163</v>
      </c>
      <c r="S2158" s="3">
        <f t="shared" si="202"/>
        <v>-1.4886016973097997</v>
      </c>
    </row>
    <row r="2159" spans="6:19" x14ac:dyDescent="0.2">
      <c r="F2159" s="3"/>
      <c r="G2159" s="3"/>
      <c r="H2159" s="3"/>
      <c r="M2159" s="1">
        <f t="shared" si="203"/>
        <v>64.710000000001685</v>
      </c>
      <c r="N2159" s="1">
        <f t="shared" si="204"/>
        <v>1.855640831690295</v>
      </c>
      <c r="O2159" s="1">
        <f t="shared" si="205"/>
        <v>-5.5115001293500207E-2</v>
      </c>
      <c r="P2159" s="1">
        <f t="shared" si="206"/>
        <v>4.5873782297144414</v>
      </c>
      <c r="R2159" s="3">
        <f t="shared" si="201"/>
        <v>-0.18702810025194655</v>
      </c>
      <c r="S2159" s="3">
        <f t="shared" si="202"/>
        <v>-1.4882944902525668</v>
      </c>
    </row>
    <row r="2160" spans="6:19" x14ac:dyDescent="0.2">
      <c r="F2160" s="3"/>
      <c r="G2160" s="3"/>
      <c r="H2160" s="3"/>
      <c r="M2160" s="1">
        <f t="shared" si="203"/>
        <v>64.740000000001686</v>
      </c>
      <c r="N2160" s="1">
        <f t="shared" si="204"/>
        <v>1.8752413526358804</v>
      </c>
      <c r="O2160" s="1">
        <f t="shared" si="205"/>
        <v>1.1422392855762048E-3</v>
      </c>
      <c r="P2160" s="1">
        <f t="shared" si="206"/>
        <v>4.587412496893009</v>
      </c>
      <c r="R2160" s="3">
        <f t="shared" si="201"/>
        <v>-0.18697710048909</v>
      </c>
      <c r="S2160" s="3">
        <f t="shared" si="202"/>
        <v>-1.4883008983040669</v>
      </c>
    </row>
    <row r="2161" spans="6:19" x14ac:dyDescent="0.2">
      <c r="F2161" s="3"/>
      <c r="G2161" s="3"/>
      <c r="H2161" s="3"/>
      <c r="M2161" s="1">
        <f t="shared" si="203"/>
        <v>64.770000000001687</v>
      </c>
      <c r="N2161" s="1">
        <f t="shared" si="204"/>
        <v>1.8696682033551983</v>
      </c>
      <c r="O2161" s="1">
        <f t="shared" si="205"/>
        <v>5.7232285386232151E-2</v>
      </c>
      <c r="P2161" s="1">
        <f t="shared" si="206"/>
        <v>4.5891294654545955</v>
      </c>
      <c r="R2161" s="3">
        <f t="shared" si="201"/>
        <v>-0.18442146028964307</v>
      </c>
      <c r="S2161" s="3">
        <f t="shared" si="202"/>
        <v>-1.4886197382087325</v>
      </c>
    </row>
    <row r="2162" spans="6:19" x14ac:dyDescent="0.2">
      <c r="F2162" s="3"/>
      <c r="G2162" s="3"/>
      <c r="H2162" s="3"/>
      <c r="M2162" s="1">
        <f t="shared" si="203"/>
        <v>64.800000000001688</v>
      </c>
      <c r="N2162" s="1">
        <f t="shared" si="204"/>
        <v>1.8390636972116698</v>
      </c>
      <c r="O2162" s="1">
        <f t="shared" si="205"/>
        <v>0.11240419630258225</v>
      </c>
      <c r="P2162" s="1">
        <f t="shared" si="206"/>
        <v>4.5925015913436731</v>
      </c>
      <c r="R2162" s="3">
        <f t="shared" si="201"/>
        <v>-0.17940060809630465</v>
      </c>
      <c r="S2162" s="3">
        <f t="shared" si="202"/>
        <v>-1.4892331656979294</v>
      </c>
    </row>
    <row r="2163" spans="6:19" x14ac:dyDescent="0.2">
      <c r="F2163" s="3"/>
      <c r="G2163" s="3"/>
      <c r="H2163" s="3"/>
      <c r="M2163" s="1">
        <f t="shared" si="203"/>
        <v>64.830000000001689</v>
      </c>
      <c r="N2163" s="1">
        <f t="shared" si="204"/>
        <v>1.7838897032958141</v>
      </c>
      <c r="O2163" s="1">
        <f t="shared" si="205"/>
        <v>0.16592088740145666</v>
      </c>
      <c r="P2163" s="1">
        <f t="shared" si="206"/>
        <v>4.5974792179657165</v>
      </c>
      <c r="R2163" s="3">
        <f t="shared" si="201"/>
        <v>-0.17198556957639544</v>
      </c>
      <c r="S2163" s="3">
        <f t="shared" si="202"/>
        <v>-1.4901077020999129</v>
      </c>
    </row>
    <row r="2164" spans="6:19" x14ac:dyDescent="0.2">
      <c r="F2164" s="3"/>
      <c r="G2164" s="3"/>
      <c r="H2164" s="3"/>
      <c r="M2164" s="1">
        <f t="shared" si="203"/>
        <v>64.860000000001691</v>
      </c>
      <c r="N2164" s="1">
        <f t="shared" si="204"/>
        <v>1.7049228158978236</v>
      </c>
      <c r="O2164" s="1">
        <f t="shared" si="205"/>
        <v>0.21706857187839138</v>
      </c>
      <c r="P2164" s="1">
        <f t="shared" si="206"/>
        <v>4.603991275122068</v>
      </c>
      <c r="R2164" s="3">
        <f t="shared" si="201"/>
        <v>-0.16227832496123171</v>
      </c>
      <c r="S2164" s="3">
        <f t="shared" si="202"/>
        <v>-1.4911960787394047</v>
      </c>
    </row>
    <row r="2165" spans="6:19" x14ac:dyDescent="0.2">
      <c r="F2165" s="3"/>
      <c r="G2165" s="3"/>
      <c r="H2165" s="3"/>
      <c r="M2165" s="1">
        <f t="shared" si="203"/>
        <v>64.890000000001692</v>
      </c>
      <c r="N2165" s="1">
        <f t="shared" si="204"/>
        <v>1.6032470781432619</v>
      </c>
      <c r="O2165" s="1">
        <f t="shared" si="205"/>
        <v>0.26516598422268922</v>
      </c>
      <c r="P2165" s="1">
        <f t="shared" si="206"/>
        <v>4.6119462546487489</v>
      </c>
      <c r="R2165" s="3">
        <f t="shared" si="201"/>
        <v>-0.15041088119969495</v>
      </c>
      <c r="S2165" s="3">
        <f t="shared" si="202"/>
        <v>-1.4924398034147748</v>
      </c>
    </row>
    <row r="2166" spans="6:19" x14ac:dyDescent="0.2">
      <c r="F2166" s="3"/>
      <c r="G2166" s="3"/>
      <c r="H2166" s="3"/>
      <c r="M2166" s="1">
        <f t="shared" si="203"/>
        <v>64.920000000001693</v>
      </c>
      <c r="N2166" s="1">
        <f t="shared" si="204"/>
        <v>1.4802438734169074</v>
      </c>
      <c r="O2166" s="1">
        <f t="shared" si="205"/>
        <v>0.30957330042519643</v>
      </c>
      <c r="P2166" s="1">
        <f t="shared" si="206"/>
        <v>4.621233453661505</v>
      </c>
      <c r="R2166" s="3">
        <f t="shared" si="201"/>
        <v>-0.13654400840268652</v>
      </c>
      <c r="S2166" s="3">
        <f t="shared" si="202"/>
        <v>-1.4937723165761665</v>
      </c>
    </row>
    <row r="2167" spans="6:19" x14ac:dyDescent="0.2">
      <c r="F2167" s="3"/>
      <c r="G2167" s="3"/>
      <c r="H2167" s="3"/>
      <c r="M2167" s="1">
        <f t="shared" si="203"/>
        <v>64.950000000001694</v>
      </c>
      <c r="N2167" s="1">
        <f t="shared" si="204"/>
        <v>1.3375784869885974</v>
      </c>
      <c r="O2167" s="1">
        <f t="shared" si="205"/>
        <v>0.34970065503485437</v>
      </c>
      <c r="P2167" s="1">
        <f t="shared" si="206"/>
        <v>4.6317244733125502</v>
      </c>
      <c r="R2167" s="3">
        <f t="shared" si="201"/>
        <v>-0.12086558708974898</v>
      </c>
      <c r="S2167" s="3">
        <f t="shared" si="202"/>
        <v>-1.4951225735228033</v>
      </c>
    </row>
    <row r="2168" spans="6:19" x14ac:dyDescent="0.2">
      <c r="F2168" s="3"/>
      <c r="G2168" s="3"/>
      <c r="H2168" s="3"/>
      <c r="M2168" s="1">
        <f t="shared" si="203"/>
        <v>64.980000000001695</v>
      </c>
      <c r="N2168" s="1">
        <f t="shared" si="204"/>
        <v>1.177182811944353</v>
      </c>
      <c r="O2168" s="1">
        <f t="shared" si="205"/>
        <v>0.38501613939318496</v>
      </c>
      <c r="P2168" s="1">
        <f t="shared" si="206"/>
        <v>4.6432749574943459</v>
      </c>
      <c r="R2168" s="3">
        <f t="shared" si="201"/>
        <v>-0.10358851897531698</v>
      </c>
      <c r="S2168" s="3">
        <f t="shared" si="202"/>
        <v>-1.4964188647355727</v>
      </c>
    </row>
    <row r="2169" spans="6:19" x14ac:dyDescent="0.2">
      <c r="F2169" s="3"/>
      <c r="G2169" s="3"/>
      <c r="H2169" s="3"/>
      <c r="M2169" s="1">
        <f t="shared" si="203"/>
        <v>65.010000000001696</v>
      </c>
      <c r="N2169" s="1">
        <f t="shared" si="204"/>
        <v>1.0012337372077831</v>
      </c>
      <c r="O2169" s="1">
        <f t="shared" si="205"/>
        <v>0.41505315150941846</v>
      </c>
      <c r="P2169" s="1">
        <f t="shared" si="206"/>
        <v>4.6557265520396287</v>
      </c>
      <c r="R2169" s="3">
        <f t="shared" si="201"/>
        <v>-8.4948169283880826E-2</v>
      </c>
      <c r="S2169" s="3">
        <f t="shared" si="202"/>
        <v>-1.4975926711009628</v>
      </c>
    </row>
    <row r="2170" spans="6:19" x14ac:dyDescent="0.2">
      <c r="F2170" s="3"/>
      <c r="G2170" s="3"/>
      <c r="H2170" s="3"/>
      <c r="M2170" s="1">
        <f t="shared" si="203"/>
        <v>65.040000000001697</v>
      </c>
      <c r="N2170" s="1">
        <f t="shared" si="204"/>
        <v>0.81212690920296071</v>
      </c>
      <c r="O2170" s="1">
        <f t="shared" si="205"/>
        <v>0.43941695878550729</v>
      </c>
      <c r="P2170" s="1">
        <f t="shared" si="206"/>
        <v>4.6689090608031938</v>
      </c>
      <c r="R2170" s="3">
        <f t="shared" si="201"/>
        <v>-6.5199331580599582E-2</v>
      </c>
      <c r="S2170" s="3">
        <f t="shared" si="202"/>
        <v>-1.4985823458060099</v>
      </c>
    </row>
    <row r="2171" spans="6:19" x14ac:dyDescent="0.2">
      <c r="F2171" s="3"/>
      <c r="G2171" s="3"/>
      <c r="H2171" s="3"/>
      <c r="M2171" s="1">
        <f t="shared" si="203"/>
        <v>65.070000000001698</v>
      </c>
      <c r="N2171" s="1">
        <f t="shared" si="204"/>
        <v>0.61244578951530004</v>
      </c>
      <c r="O2171" s="1">
        <f t="shared" si="205"/>
        <v>0.45779033247096629</v>
      </c>
      <c r="P2171" s="1">
        <f t="shared" si="206"/>
        <v>4.6826427707773224</v>
      </c>
      <c r="R2171" s="3">
        <f t="shared" si="201"/>
        <v>-4.461273456554897E-2</v>
      </c>
      <c r="S2171" s="3">
        <f t="shared" si="202"/>
        <v>-1.4993364211925835</v>
      </c>
    </row>
    <row r="2172" spans="6:19" x14ac:dyDescent="0.2">
      <c r="F2172" s="3"/>
      <c r="G2172" s="3"/>
      <c r="H2172" s="3"/>
      <c r="M2172" s="1">
        <f t="shared" si="203"/>
        <v>65.1000000000017</v>
      </c>
      <c r="N2172" s="1">
        <f t="shared" si="204"/>
        <v>0.40492621573310278</v>
      </c>
      <c r="O2172" s="1">
        <f t="shared" si="205"/>
        <v>0.46993811894295939</v>
      </c>
      <c r="P2172" s="1">
        <f t="shared" si="206"/>
        <v>4.6967409143456109</v>
      </c>
      <c r="R2172" s="3">
        <f t="shared" si="201"/>
        <v>-2.3471141166273815E-2</v>
      </c>
      <c r="S2172" s="3">
        <f t="shared" si="202"/>
        <v>-1.4998163572692333</v>
      </c>
    </row>
    <row r="2173" spans="6:19" x14ac:dyDescent="0.2">
      <c r="F2173" s="3"/>
      <c r="G2173" s="3"/>
      <c r="H2173" s="3"/>
      <c r="M2173" s="1">
        <f t="shared" si="203"/>
        <v>65.130000000001701</v>
      </c>
      <c r="N2173" s="1">
        <f t="shared" si="204"/>
        <v>0.1924169809578718</v>
      </c>
      <c r="O2173" s="1">
        <f t="shared" si="205"/>
        <v>0.47571062837169553</v>
      </c>
      <c r="P2173" s="1">
        <f t="shared" si="206"/>
        <v>4.7110122331967617</v>
      </c>
      <c r="R2173" s="3">
        <f t="shared" si="201"/>
        <v>-2.0651201295094138E-3</v>
      </c>
      <c r="S2173" s="3">
        <f t="shared" si="202"/>
        <v>-1.49999857842561</v>
      </c>
    </row>
    <row r="2174" spans="6:19" x14ac:dyDescent="0.2">
      <c r="F2174" s="3"/>
      <c r="G2174" s="3"/>
      <c r="H2174" s="3"/>
      <c r="M2174" s="1">
        <f t="shared" si="203"/>
        <v>65.160000000001702</v>
      </c>
      <c r="N2174" s="1">
        <f t="shared" si="204"/>
        <v>-2.2162755258358462E-2</v>
      </c>
      <c r="O2174" s="1">
        <f t="shared" si="205"/>
        <v>0.47504574571394476</v>
      </c>
      <c r="P2174" s="1">
        <f t="shared" si="206"/>
        <v>4.7252636055681796</v>
      </c>
      <c r="R2174" s="3">
        <f t="shared" si="201"/>
        <v>1.9311404268148168E-2</v>
      </c>
      <c r="S2174" s="3">
        <f t="shared" si="202"/>
        <v>-1.4998756847369692</v>
      </c>
    </row>
    <row r="2175" spans="6:19" x14ac:dyDescent="0.2">
      <c r="F2175" s="3"/>
      <c r="G2175" s="3"/>
      <c r="H2175" s="3"/>
      <c r="M2175" s="1">
        <f t="shared" si="203"/>
        <v>65.190000000001703</v>
      </c>
      <c r="N2175" s="1">
        <f t="shared" si="204"/>
        <v>-0.23586815979573669</v>
      </c>
      <c r="O2175" s="1">
        <f t="shared" si="205"/>
        <v>0.46796970092007267</v>
      </c>
      <c r="P2175" s="1">
        <f t="shared" si="206"/>
        <v>4.7393026965957814</v>
      </c>
      <c r="R2175" s="3">
        <f t="shared" si="201"/>
        <v>4.0365700768211062E-2</v>
      </c>
      <c r="S2175" s="3">
        <f t="shared" si="202"/>
        <v>-1.4994567717015022</v>
      </c>
    </row>
    <row r="2176" spans="6:19" x14ac:dyDescent="0.2">
      <c r="F2176" s="3"/>
      <c r="G2176" s="3"/>
      <c r="H2176" s="3"/>
      <c r="M2176" s="1">
        <f t="shared" si="203"/>
        <v>65.220000000001704</v>
      </c>
      <c r="N2176" s="1">
        <f t="shared" si="204"/>
        <v>-0.44577428076491721</v>
      </c>
      <c r="O2176" s="1">
        <f t="shared" si="205"/>
        <v>0.45459647249712515</v>
      </c>
      <c r="P2176" s="1">
        <f t="shared" si="206"/>
        <v>4.7529405907706952</v>
      </c>
      <c r="R2176" s="3">
        <f t="shared" si="201"/>
        <v>6.0810745847036066E-2</v>
      </c>
      <c r="S2176" s="3">
        <f t="shared" si="202"/>
        <v>-1.4987668441720772</v>
      </c>
    </row>
    <row r="2177" spans="6:19" x14ac:dyDescent="0.2">
      <c r="F2177" s="3"/>
      <c r="G2177" s="3"/>
      <c r="H2177" s="3"/>
      <c r="M2177" s="1">
        <f t="shared" si="203"/>
        <v>65.250000000001705</v>
      </c>
      <c r="N2177" s="1">
        <f t="shared" si="204"/>
        <v>-0.649021140995102</v>
      </c>
      <c r="O2177" s="1">
        <f t="shared" si="205"/>
        <v>0.43512583826727208</v>
      </c>
      <c r="P2177" s="1">
        <f t="shared" si="206"/>
        <v>4.7659943659187132</v>
      </c>
      <c r="R2177" s="3">
        <f t="shared" si="201"/>
        <v>8.0369574564063795E-2</v>
      </c>
      <c r="S2177" s="3">
        <f t="shared" si="202"/>
        <v>-1.4978453630079414</v>
      </c>
    </row>
    <row r="2178" spans="6:19" x14ac:dyDescent="0.2">
      <c r="F2178" s="3"/>
      <c r="G2178" s="3"/>
      <c r="H2178" s="3"/>
      <c r="M2178" s="1">
        <f t="shared" si="203"/>
        <v>65.280000000001706</v>
      </c>
      <c r="N2178" s="1">
        <f t="shared" si="204"/>
        <v>-0.84285707108469243</v>
      </c>
      <c r="O2178" s="1">
        <f t="shared" si="205"/>
        <v>0.40984012613473131</v>
      </c>
      <c r="P2178" s="1">
        <f t="shared" si="206"/>
        <v>4.7782895697027552</v>
      </c>
      <c r="R2178" s="3">
        <f t="shared" ref="R2178:R2241" si="207">$B$3*COS(P2178)</f>
        <v>9.877934979787073E-2</v>
      </c>
      <c r="S2178" s="3">
        <f t="shared" ref="S2178:S2241" si="208">$B$3*SIN(P2178)</f>
        <v>-1.4967440128671001</v>
      </c>
    </row>
    <row r="2179" spans="6:19" x14ac:dyDescent="0.2">
      <c r="F2179" s="3"/>
      <c r="G2179" s="3"/>
      <c r="H2179" s="3"/>
      <c r="M2179" s="1">
        <f t="shared" ref="M2179:M2242" si="209">M2178+B$13</f>
        <v>65.310000000001708</v>
      </c>
      <c r="N2179" s="1">
        <f t="shared" ref="N2179:N2242" si="210">-$B$12*$B$3*COS(P2178)-B$10*O2178</f>
        <v>-1.0246791093308332</v>
      </c>
      <c r="O2179" s="1">
        <f t="shared" ref="O2179:O2242" si="211">N2179*$B$13+O2178</f>
        <v>0.37909975285480629</v>
      </c>
      <c r="P2179" s="1">
        <f t="shared" ref="P2179:P2242" si="212">O2179*$B$13+P2178</f>
        <v>4.7896625622883997</v>
      </c>
      <c r="R2179" s="3">
        <f t="shared" si="207"/>
        <v>0.11579505316296732</v>
      </c>
      <c r="S2179" s="3">
        <f t="shared" si="208"/>
        <v>-1.4955238231679846</v>
      </c>
    </row>
    <row r="2180" spans="6:19" x14ac:dyDescent="0.2">
      <c r="F2180" s="3"/>
      <c r="G2180" s="3"/>
      <c r="H2180" s="3"/>
      <c r="M2180" s="1">
        <f t="shared" si="209"/>
        <v>65.340000000001709</v>
      </c>
      <c r="N2180" s="1">
        <f t="shared" si="210"/>
        <v>-1.1920695093866058</v>
      </c>
      <c r="O2180" s="1">
        <f t="shared" si="211"/>
        <v>0.34333766757320811</v>
      </c>
      <c r="P2180" s="1">
        <f t="shared" si="212"/>
        <v>4.7999626923155958</v>
      </c>
      <c r="R2180" s="3">
        <f t="shared" si="207"/>
        <v>0.1311927281755812</v>
      </c>
      <c r="S2180" s="3">
        <f t="shared" si="208"/>
        <v>-1.4942518087905561</v>
      </c>
    </row>
    <row r="2181" spans="6:19" x14ac:dyDescent="0.2">
      <c r="F2181" s="3"/>
      <c r="G2181" s="3"/>
      <c r="H2181" s="3"/>
      <c r="M2181" s="1">
        <f t="shared" si="209"/>
        <v>65.37000000000171</v>
      </c>
      <c r="N2181" s="1">
        <f t="shared" si="210"/>
        <v>-1.3428276718374006</v>
      </c>
      <c r="O2181" s="1">
        <f t="shared" si="211"/>
        <v>0.30305283741808609</v>
      </c>
      <c r="P2181" s="1">
        <f t="shared" si="212"/>
        <v>4.809054277438138</v>
      </c>
      <c r="R2181" s="3">
        <f t="shared" si="207"/>
        <v>0.14477223658375024</v>
      </c>
      <c r="S2181" s="3">
        <f t="shared" si="208"/>
        <v>-1.4929973206655593</v>
      </c>
    </row>
    <row r="2182" spans="6:19" x14ac:dyDescent="0.2">
      <c r="F2182" s="3"/>
      <c r="G2182" s="3"/>
      <c r="H2182" s="3"/>
      <c r="M2182" s="1">
        <f t="shared" si="209"/>
        <v>65.400000000001711</v>
      </c>
      <c r="N2182" s="1">
        <f t="shared" si="210"/>
        <v>-1.47499712120513</v>
      </c>
      <c r="O2182" s="1">
        <f t="shared" si="211"/>
        <v>0.2588029237819322</v>
      </c>
      <c r="P2182" s="1">
        <f t="shared" si="212"/>
        <v>4.8168183651515957</v>
      </c>
      <c r="R2182" s="3">
        <f t="shared" si="207"/>
        <v>0.15635951878721446</v>
      </c>
      <c r="S2182" s="3">
        <f t="shared" si="208"/>
        <v>-1.4918283081121066</v>
      </c>
    </row>
    <row r="2183" spans="6:19" x14ac:dyDescent="0.2">
      <c r="F2183" s="3"/>
      <c r="G2183" s="3"/>
      <c r="H2183" s="3"/>
      <c r="M2183" s="1">
        <f t="shared" si="209"/>
        <v>65.430000000001712</v>
      </c>
      <c r="N2183" s="1">
        <f t="shared" si="210"/>
        <v>-1.5868874510125184</v>
      </c>
      <c r="O2183" s="1">
        <f t="shared" si="211"/>
        <v>0.21119630025155667</v>
      </c>
      <c r="P2183" s="1">
        <f t="shared" si="212"/>
        <v>4.8231542541591423</v>
      </c>
      <c r="R2183" s="3">
        <f t="shared" si="207"/>
        <v>0.16580837572823406</v>
      </c>
      <c r="S2183" s="3">
        <f t="shared" si="208"/>
        <v>-1.4908076946871334</v>
      </c>
    </row>
    <row r="2184" spans="6:19" x14ac:dyDescent="0.2">
      <c r="F2184" s="3"/>
      <c r="G2184" s="3"/>
      <c r="H2184" s="3"/>
      <c r="M2184" s="1">
        <f t="shared" si="209"/>
        <v>65.460000000001713</v>
      </c>
      <c r="N2184" s="1">
        <f t="shared" si="210"/>
        <v>-1.6770914243049806</v>
      </c>
      <c r="O2184" s="1">
        <f t="shared" si="211"/>
        <v>0.16088355752240724</v>
      </c>
      <c r="P2184" s="1">
        <f t="shared" si="212"/>
        <v>4.8279807608848149</v>
      </c>
      <c r="R2184" s="3">
        <f t="shared" si="207"/>
        <v>0.17300180989387665</v>
      </c>
      <c r="S2184" s="3">
        <f t="shared" si="208"/>
        <v>-1.4899900582800689</v>
      </c>
    </row>
    <row r="2185" spans="6:19" x14ac:dyDescent="0.2">
      <c r="F2185" s="3"/>
      <c r="G2185" s="3"/>
      <c r="H2185" s="3"/>
      <c r="M2185" s="1">
        <f t="shared" si="209"/>
        <v>65.490000000001714</v>
      </c>
      <c r="N2185" s="1">
        <f t="shared" si="210"/>
        <v>-1.744497619115783</v>
      </c>
      <c r="O2185" s="1">
        <f t="shared" si="211"/>
        <v>0.10854862894893375</v>
      </c>
      <c r="P2185" s="1">
        <f t="shared" si="212"/>
        <v>4.8312372197532829</v>
      </c>
      <c r="R2185" s="3">
        <f t="shared" si="207"/>
        <v>0.17785297535726652</v>
      </c>
      <c r="S2185" s="3">
        <f t="shared" si="208"/>
        <v>-1.4894187856867416</v>
      </c>
    </row>
    <row r="2186" spans="6:19" x14ac:dyDescent="0.2">
      <c r="F2186" s="3"/>
      <c r="G2186" s="3"/>
      <c r="H2186" s="3"/>
      <c r="M2186" s="1">
        <f t="shared" si="209"/>
        <v>65.520000000001716</v>
      </c>
      <c r="N2186" s="1">
        <f t="shared" si="210"/>
        <v>-1.7882991301780691</v>
      </c>
      <c r="O2186" s="1">
        <f t="shared" si="211"/>
        <v>5.4899655043591677E-2</v>
      </c>
      <c r="P2186" s="1">
        <f t="shared" si="212"/>
        <v>4.8328842094045905</v>
      </c>
      <c r="R2186" s="3">
        <f t="shared" si="207"/>
        <v>0.180305790355034</v>
      </c>
      <c r="S2186" s="3">
        <f t="shared" si="208"/>
        <v>-1.4891238437297438</v>
      </c>
    </row>
    <row r="2187" spans="6:19" x14ac:dyDescent="0.2">
      <c r="F2187" s="3"/>
      <c r="G2187" s="3"/>
      <c r="H2187" s="3"/>
      <c r="M2187" s="1">
        <f t="shared" si="209"/>
        <v>65.550000000001717</v>
      </c>
      <c r="N2187" s="1">
        <f t="shared" si="210"/>
        <v>-1.8079988725042633</v>
      </c>
      <c r="O2187" s="1">
        <f t="shared" si="211"/>
        <v>6.5968886846377861E-4</v>
      </c>
      <c r="P2187" s="1">
        <f t="shared" si="212"/>
        <v>4.832904000070644</v>
      </c>
      <c r="R2187" s="3">
        <f t="shared" si="207"/>
        <v>0.18033526107242542</v>
      </c>
      <c r="S2187" s="3">
        <f t="shared" si="208"/>
        <v>-1.4891202750664367</v>
      </c>
    </row>
    <row r="2188" spans="6:19" x14ac:dyDescent="0.2">
      <c r="F2188" s="3"/>
      <c r="G2188" s="3"/>
      <c r="H2188" s="3"/>
      <c r="M2188" s="1">
        <f t="shared" si="209"/>
        <v>65.580000000001718</v>
      </c>
      <c r="N2188" s="1">
        <f t="shared" si="210"/>
        <v>-1.8034119827224158</v>
      </c>
      <c r="O2188" s="1">
        <f t="shared" si="211"/>
        <v>-5.344267061320869E-2</v>
      </c>
      <c r="P2188" s="1">
        <f t="shared" si="212"/>
        <v>4.8313007199522477</v>
      </c>
      <c r="R2188" s="3">
        <f t="shared" si="207"/>
        <v>0.17794755338785995</v>
      </c>
      <c r="S2188" s="3">
        <f t="shared" si="208"/>
        <v>-1.4894074889845541</v>
      </c>
    </row>
    <row r="2189" spans="6:19" x14ac:dyDescent="0.2">
      <c r="F2189" s="3"/>
      <c r="G2189" s="3"/>
      <c r="H2189" s="3"/>
      <c r="M2189" s="1">
        <f t="shared" si="209"/>
        <v>65.610000000001719</v>
      </c>
      <c r="N2189" s="1">
        <f t="shared" si="210"/>
        <v>-1.7746656935234109</v>
      </c>
      <c r="O2189" s="1">
        <f t="shared" si="211"/>
        <v>-0.10668264141891101</v>
      </c>
      <c r="P2189" s="1">
        <f t="shared" si="212"/>
        <v>4.8281002407096807</v>
      </c>
      <c r="R2189" s="3">
        <f t="shared" si="207"/>
        <v>0.17317983240983073</v>
      </c>
      <c r="S2189" s="3">
        <f t="shared" si="208"/>
        <v>-1.489969377419047</v>
      </c>
    </row>
    <row r="2190" spans="6:19" x14ac:dyDescent="0.2">
      <c r="F2190" s="3"/>
      <c r="G2190" s="3"/>
      <c r="H2190" s="3"/>
      <c r="M2190" s="1">
        <f t="shared" si="209"/>
        <v>65.64000000000172</v>
      </c>
      <c r="N2190" s="1">
        <f t="shared" si="210"/>
        <v>-1.7221968863706052</v>
      </c>
      <c r="O2190" s="1">
        <f t="shared" si="211"/>
        <v>-0.15834854801002918</v>
      </c>
      <c r="P2190" s="1">
        <f t="shared" si="212"/>
        <v>4.8233497842693795</v>
      </c>
      <c r="R2190" s="3">
        <f t="shared" si="207"/>
        <v>0.16609987034966639</v>
      </c>
      <c r="S2190" s="3">
        <f t="shared" si="208"/>
        <v>-1.4907752456590577</v>
      </c>
    </row>
    <row r="2191" spans="6:19" x14ac:dyDescent="0.2">
      <c r="F2191" s="3"/>
      <c r="G2191" s="3"/>
      <c r="H2191" s="3"/>
      <c r="M2191" s="1">
        <f t="shared" si="209"/>
        <v>65.670000000001721</v>
      </c>
      <c r="N2191" s="1">
        <f t="shared" si="210"/>
        <v>-1.6467473341757612</v>
      </c>
      <c r="O2191" s="1">
        <f t="shared" si="211"/>
        <v>-0.20775096803530202</v>
      </c>
      <c r="P2191" s="1">
        <f t="shared" si="212"/>
        <v>4.8171172552283208</v>
      </c>
      <c r="R2191" s="3">
        <f t="shared" si="207"/>
        <v>0.15680540447383731</v>
      </c>
      <c r="S2191" s="3">
        <f t="shared" si="208"/>
        <v>-1.4917815071677878</v>
      </c>
    </row>
    <row r="2192" spans="6:19" x14ac:dyDescent="0.2">
      <c r="F2192" s="3"/>
      <c r="G2192" s="3"/>
      <c r="H2192" s="3"/>
      <c r="M2192" s="1">
        <f t="shared" si="209"/>
        <v>65.700000000001722</v>
      </c>
      <c r="N2192" s="1">
        <f t="shared" si="210"/>
        <v>-1.5493564576151961</v>
      </c>
      <c r="O2192" s="1">
        <f t="shared" si="211"/>
        <v>-0.25423166176375789</v>
      </c>
      <c r="P2192" s="1">
        <f t="shared" si="212"/>
        <v>4.8094903053754079</v>
      </c>
      <c r="R2192" s="3">
        <f t="shared" si="207"/>
        <v>0.14542321134312708</v>
      </c>
      <c r="S2192" s="3">
        <f t="shared" si="208"/>
        <v>-1.4929340540032745</v>
      </c>
    </row>
    <row r="2193" spans="6:19" x14ac:dyDescent="0.2">
      <c r="F2193" s="3"/>
      <c r="G2193" s="3"/>
      <c r="H2193" s="3"/>
      <c r="M2193" s="1">
        <f t="shared" si="209"/>
        <v>65.730000000001723</v>
      </c>
      <c r="N2193" s="1">
        <f t="shared" si="210"/>
        <v>-1.4313512638725323</v>
      </c>
      <c r="O2193" s="1">
        <f t="shared" si="211"/>
        <v>-0.29717219967993386</v>
      </c>
      <c r="P2193" s="1">
        <f t="shared" si="212"/>
        <v>4.8005751393850096</v>
      </c>
      <c r="R2193" s="3">
        <f t="shared" si="207"/>
        <v>0.13210785365499825</v>
      </c>
      <c r="S2193" s="3">
        <f t="shared" si="208"/>
        <v>-1.4941711799531772</v>
      </c>
    </row>
    <row r="2194" spans="6:19" x14ac:dyDescent="0.2">
      <c r="F2194" s="3"/>
      <c r="G2194" s="3"/>
      <c r="H2194" s="3"/>
      <c r="M2194" s="1">
        <f t="shared" si="209"/>
        <v>65.760000000001725</v>
      </c>
      <c r="N2194" s="1">
        <f t="shared" si="210"/>
        <v>-1.2943330385787886</v>
      </c>
      <c r="O2194" s="1">
        <f t="shared" si="211"/>
        <v>-0.33600219083729754</v>
      </c>
      <c r="P2194" s="1">
        <f t="shared" si="212"/>
        <v>4.7904950736598906</v>
      </c>
      <c r="R2194" s="3">
        <f t="shared" si="207"/>
        <v>0.11704005348093584</v>
      </c>
      <c r="S2194" s="3">
        <f t="shared" si="208"/>
        <v>-1.4954269042254054</v>
      </c>
    </row>
    <row r="2195" spans="6:19" x14ac:dyDescent="0.2">
      <c r="F2195" s="3"/>
      <c r="G2195" s="3"/>
      <c r="H2195" s="3"/>
      <c r="M2195" s="1">
        <f t="shared" si="209"/>
        <v>65.790000000001726</v>
      </c>
      <c r="N2195" s="1">
        <f t="shared" si="210"/>
        <v>-1.1401603376340017</v>
      </c>
      <c r="O2195" s="1">
        <f t="shared" si="211"/>
        <v>-0.37020700096631759</v>
      </c>
      <c r="P2195" s="1">
        <f t="shared" si="212"/>
        <v>4.779388863630901</v>
      </c>
      <c r="R2195" s="3">
        <f t="shared" si="207"/>
        <v>0.10042465138700998</v>
      </c>
      <c r="S2195" s="3">
        <f t="shared" si="208"/>
        <v>-1.4966345209815914</v>
      </c>
    </row>
    <row r="2196" spans="6:19" x14ac:dyDescent="0.2">
      <c r="F2196" s="3"/>
      <c r="G2196" s="3"/>
      <c r="H2196" s="3"/>
      <c r="M2196" s="1">
        <f t="shared" si="209"/>
        <v>65.820000000001727</v>
      </c>
      <c r="N2196" s="1">
        <f t="shared" si="210"/>
        <v>-0.97092788378313122</v>
      </c>
      <c r="O2196" s="1">
        <f t="shared" si="211"/>
        <v>-0.39933483747981152</v>
      </c>
      <c r="P2196" s="1">
        <f t="shared" si="212"/>
        <v>4.7674088185065067</v>
      </c>
      <c r="R2196" s="3">
        <f t="shared" si="207"/>
        <v>8.2488124710704741E-2</v>
      </c>
      <c r="S2196" s="3">
        <f t="shared" si="208"/>
        <v>-1.4977301857416481</v>
      </c>
    </row>
    <row r="2197" spans="6:19" x14ac:dyDescent="0.2">
      <c r="F2197" s="3"/>
      <c r="G2197" s="3"/>
      <c r="H2197" s="3"/>
      <c r="M2197" s="1">
        <f t="shared" si="209"/>
        <v>65.850000000001728</v>
      </c>
      <c r="N2197" s="1">
        <f t="shared" si="210"/>
        <v>-0.78894111173386439</v>
      </c>
      <c r="O2197" s="1">
        <f t="shared" si="211"/>
        <v>-0.42300307083182748</v>
      </c>
      <c r="P2197" s="1">
        <f t="shared" si="212"/>
        <v>4.7547187263815518</v>
      </c>
      <c r="R2197" s="3">
        <f t="shared" si="207"/>
        <v>6.3475659006016399E-2</v>
      </c>
      <c r="S2197" s="3">
        <f t="shared" si="208"/>
        <v>-1.4986563451017556</v>
      </c>
    </row>
    <row r="2198" spans="6:19" x14ac:dyDescent="0.2">
      <c r="F2198" s="3"/>
      <c r="G2198" s="3"/>
      <c r="H2198" s="3"/>
      <c r="M2198" s="1">
        <f t="shared" si="209"/>
        <v>65.880000000001729</v>
      </c>
      <c r="N2198" s="1">
        <f t="shared" si="210"/>
        <v>-0.59668631368529945</v>
      </c>
      <c r="O2198" s="1">
        <f t="shared" si="211"/>
        <v>-0.44090366024238647</v>
      </c>
      <c r="P2198" s="1">
        <f t="shared" si="212"/>
        <v>4.7414916165742804</v>
      </c>
      <c r="R2198" s="3">
        <f t="shared" si="207"/>
        <v>4.3647792328173757E-2</v>
      </c>
      <c r="S2198" s="3">
        <f t="shared" si="208"/>
        <v>-1.4993648222580376</v>
      </c>
    </row>
    <row r="2199" spans="6:19" x14ac:dyDescent="0.2">
      <c r="F2199" s="3"/>
      <c r="G2199" s="3"/>
      <c r="H2199" s="3"/>
      <c r="M2199" s="1">
        <f t="shared" si="209"/>
        <v>65.91000000000173</v>
      </c>
      <c r="N2199" s="1">
        <f t="shared" si="210"/>
        <v>-0.39679659385992277</v>
      </c>
      <c r="O2199" s="1">
        <f t="shared" si="211"/>
        <v>-0.45280755805818418</v>
      </c>
      <c r="P2199" s="1">
        <f t="shared" si="212"/>
        <v>4.7279073898325352</v>
      </c>
      <c r="R2199" s="3">
        <f t="shared" si="207"/>
        <v>2.3276679893174071E-2</v>
      </c>
      <c r="S2199" s="3">
        <f t="shared" si="208"/>
        <v>-1.4998193878508008</v>
      </c>
    </row>
    <row r="2200" spans="6:19" x14ac:dyDescent="0.2">
      <c r="F2200" s="3"/>
      <c r="G2200" s="3"/>
      <c r="H2200" s="3"/>
      <c r="M2200" s="1">
        <f t="shared" si="209"/>
        <v>65.940000000001731</v>
      </c>
      <c r="N2200" s="1">
        <f t="shared" si="210"/>
        <v>-0.19201411870650412</v>
      </c>
      <c r="O2200" s="1">
        <f t="shared" si="211"/>
        <v>-0.45856798161937928</v>
      </c>
      <c r="P2200" s="1">
        <f t="shared" si="212"/>
        <v>4.7141503503839539</v>
      </c>
      <c r="R2200" s="3">
        <f t="shared" si="207"/>
        <v>2.6420536327670351E-3</v>
      </c>
      <c r="S2200" s="3">
        <f t="shared" si="208"/>
        <v>-1.4999976731823959</v>
      </c>
    </row>
    <row r="2201" spans="6:19" x14ac:dyDescent="0.2">
      <c r="F2201" s="3"/>
      <c r="G2201" s="3"/>
      <c r="H2201" s="3"/>
      <c r="M2201" s="1">
        <f t="shared" si="209"/>
        <v>65.970000000001733</v>
      </c>
      <c r="N2201" s="1">
        <f t="shared" si="210"/>
        <v>1.4850582018073787E-2</v>
      </c>
      <c r="O2201" s="1">
        <f t="shared" si="211"/>
        <v>-0.45812246415883706</v>
      </c>
      <c r="P2201" s="1">
        <f t="shared" si="212"/>
        <v>4.7004066764591892</v>
      </c>
      <c r="R2201" s="3">
        <f t="shared" si="207"/>
        <v>-1.7973025799697593E-2</v>
      </c>
      <c r="S2201" s="3">
        <f t="shared" si="208"/>
        <v>-1.4998923195828437</v>
      </c>
    </row>
    <row r="2202" spans="6:19" x14ac:dyDescent="0.2">
      <c r="F2202" s="3"/>
      <c r="G2202" s="3"/>
      <c r="H2202" s="3"/>
      <c r="M2202" s="1">
        <f t="shared" si="209"/>
        <v>66.000000000001734</v>
      </c>
      <c r="N2202" s="1">
        <f t="shared" si="210"/>
        <v>0.22096127977127128</v>
      </c>
      <c r="O2202" s="1">
        <f t="shared" si="211"/>
        <v>-0.4514936257656989</v>
      </c>
      <c r="P2202" s="1">
        <f t="shared" si="212"/>
        <v>4.6868618676862184</v>
      </c>
      <c r="R2202" s="3">
        <f t="shared" si="207"/>
        <v>-3.8286510602860757E-2</v>
      </c>
      <c r="S2202" s="3">
        <f t="shared" si="208"/>
        <v>-1.4995113014265204</v>
      </c>
    </row>
    <row r="2203" spans="6:19" x14ac:dyDescent="0.2">
      <c r="F2203" s="3"/>
      <c r="G2203" s="3"/>
      <c r="H2203" s="3"/>
      <c r="M2203" s="1">
        <f t="shared" si="209"/>
        <v>66.030000000001735</v>
      </c>
      <c r="N2203" s="1">
        <f t="shared" si="210"/>
        <v>0.42349953234752047</v>
      </c>
      <c r="O2203" s="1">
        <f t="shared" si="211"/>
        <v>-0.43878863979527327</v>
      </c>
      <c r="P2203" s="1">
        <f t="shared" si="212"/>
        <v>4.6736982084923602</v>
      </c>
      <c r="R2203" s="3">
        <f t="shared" si="207"/>
        <v>-5.8021679134662413E-2</v>
      </c>
      <c r="S2203" s="3">
        <f t="shared" si="208"/>
        <v>-1.4988774081793328</v>
      </c>
    </row>
    <row r="2204" spans="6:19" x14ac:dyDescent="0.2">
      <c r="F2204" s="3"/>
      <c r="G2204" s="3"/>
      <c r="H2204" s="3"/>
      <c r="M2204" s="1">
        <f t="shared" si="209"/>
        <v>66.060000000001736</v>
      </c>
      <c r="N2204" s="1">
        <f t="shared" si="210"/>
        <v>0.61970776892819879</v>
      </c>
      <c r="O2204" s="1">
        <f t="shared" si="211"/>
        <v>-0.42019740672742734</v>
      </c>
      <c r="P2204" s="1">
        <f t="shared" si="212"/>
        <v>4.6610922862905371</v>
      </c>
      <c r="R2204" s="3">
        <f t="shared" si="207"/>
        <v>-7.691130068110355E-2</v>
      </c>
      <c r="S2204" s="3">
        <f t="shared" si="208"/>
        <v>-1.4980269195937506</v>
      </c>
    </row>
    <row r="2205" spans="6:19" x14ac:dyDescent="0.2">
      <c r="F2205" s="3"/>
      <c r="G2205" s="3"/>
      <c r="H2205" s="3"/>
      <c r="M2205" s="1">
        <f t="shared" si="209"/>
        <v>66.090000000001737</v>
      </c>
      <c r="N2205" s="1">
        <f t="shared" si="210"/>
        <v>0.80693077341650388</v>
      </c>
      <c r="O2205" s="1">
        <f t="shared" si="211"/>
        <v>-0.39598948352493224</v>
      </c>
      <c r="P2205" s="1">
        <f t="shared" si="212"/>
        <v>4.6492126017847895</v>
      </c>
      <c r="R2205" s="3">
        <f t="shared" si="207"/>
        <v>-9.4701542222453722E-2</v>
      </c>
      <c r="S2205" s="3">
        <f t="shared" si="208"/>
        <v>-1.4970075543899866</v>
      </c>
    </row>
    <row r="2206" spans="6:19" x14ac:dyDescent="0.2">
      <c r="F2206" s="3"/>
      <c r="G2206" s="3"/>
      <c r="H2206" s="3"/>
      <c r="M2206" s="1">
        <f t="shared" si="209"/>
        <v>66.120000000001738</v>
      </c>
      <c r="N2206" s="1">
        <f t="shared" si="210"/>
        <v>0.98265447574178122</v>
      </c>
      <c r="O2206" s="1">
        <f t="shared" si="211"/>
        <v>-0.36650984925267882</v>
      </c>
      <c r="P2206" s="1">
        <f t="shared" si="212"/>
        <v>4.638217306307209</v>
      </c>
      <c r="R2206" s="3">
        <f t="shared" si="207"/>
        <v>-0.11115552647097351</v>
      </c>
      <c r="S2206" s="3">
        <f t="shared" si="208"/>
        <v>-1.4958758133397843</v>
      </c>
    </row>
    <row r="2207" spans="6:19" x14ac:dyDescent="0.2">
      <c r="F2207" s="3"/>
      <c r="G2207" s="3"/>
      <c r="H2207" s="3"/>
      <c r="M2207" s="1">
        <f t="shared" si="209"/>
        <v>66.150000000001739</v>
      </c>
      <c r="N2207" s="1">
        <f t="shared" si="210"/>
        <v>1.1445411511424761</v>
      </c>
      <c r="O2207" s="1">
        <f t="shared" si="211"/>
        <v>-0.33217361471840456</v>
      </c>
      <c r="P2207" s="1">
        <f t="shared" si="212"/>
        <v>4.6282520978656567</v>
      </c>
      <c r="R2207" s="3">
        <f t="shared" si="207"/>
        <v>-0.12605647491013566</v>
      </c>
      <c r="S2207" s="3">
        <f t="shared" si="208"/>
        <v>-1.4946938700393571</v>
      </c>
    </row>
    <row r="2208" spans="6:19" x14ac:dyDescent="0.2">
      <c r="F2208" s="3"/>
      <c r="G2208" s="3"/>
      <c r="H2208" s="3"/>
      <c r="M2208" s="1">
        <f t="shared" si="209"/>
        <v>66.180000000001741</v>
      </c>
      <c r="N2208" s="1">
        <f t="shared" si="210"/>
        <v>1.290460374426013</v>
      </c>
      <c r="O2208" s="1">
        <f t="shared" si="211"/>
        <v>-0.29345980348562417</v>
      </c>
      <c r="P2208" s="1">
        <f t="shared" si="212"/>
        <v>4.6194483037610876</v>
      </c>
      <c r="R2208" s="3">
        <f t="shared" si="207"/>
        <v>-0.1392103969221167</v>
      </c>
      <c r="S2208" s="3">
        <f t="shared" si="208"/>
        <v>-1.4935261850362003</v>
      </c>
    </row>
    <row r="2209" spans="6:19" x14ac:dyDescent="0.2">
      <c r="F2209" s="3"/>
      <c r="G2209" s="3"/>
      <c r="H2209" s="3"/>
      <c r="M2209" s="1">
        <f t="shared" si="209"/>
        <v>66.210000000001742</v>
      </c>
      <c r="N2209" s="1">
        <f t="shared" si="210"/>
        <v>1.4185153515348734</v>
      </c>
      <c r="O2209" s="1">
        <f t="shared" si="211"/>
        <v>-0.25090434293957797</v>
      </c>
      <c r="P2209" s="1">
        <f t="shared" si="212"/>
        <v>4.6119211734729006</v>
      </c>
      <c r="R2209" s="3">
        <f t="shared" si="207"/>
        <v>-0.15044831329753419</v>
      </c>
      <c r="S2209" s="3">
        <f t="shared" si="208"/>
        <v>-1.4924360304635931</v>
      </c>
    </row>
    <row r="2210" spans="6:19" x14ac:dyDescent="0.2">
      <c r="F2210" s="3"/>
      <c r="G2210" s="3"/>
      <c r="H2210" s="3"/>
      <c r="M2210" s="1">
        <f t="shared" si="209"/>
        <v>66.240000000001743</v>
      </c>
      <c r="N2210" s="1">
        <f t="shared" si="210"/>
        <v>1.5270645238399041</v>
      </c>
      <c r="O2210" s="1">
        <f t="shared" si="211"/>
        <v>-0.20509240722438085</v>
      </c>
      <c r="P2210" s="1">
        <f t="shared" si="212"/>
        <v>4.605768401256169</v>
      </c>
      <c r="R2210" s="3">
        <f t="shared" si="207"/>
        <v>-0.15962802658172584</v>
      </c>
      <c r="S2210" s="3">
        <f t="shared" si="208"/>
        <v>-1.4914821129097136</v>
      </c>
    </row>
    <row r="2211" spans="6:19" x14ac:dyDescent="0.2">
      <c r="F2211" s="3"/>
      <c r="G2211" s="3"/>
      <c r="H2211" s="3"/>
      <c r="M2211" s="1">
        <f t="shared" si="209"/>
        <v>66.270000000001744</v>
      </c>
      <c r="N2211" s="1">
        <f t="shared" si="210"/>
        <v>1.6147385824674527</v>
      </c>
      <c r="O2211" s="1">
        <f t="shared" si="211"/>
        <v>-0.15665024975035727</v>
      </c>
      <c r="P2211" s="1">
        <f t="shared" si="212"/>
        <v>4.6010688937636584</v>
      </c>
      <c r="R2211" s="3">
        <f t="shared" si="207"/>
        <v>-0.16663546942724955</v>
      </c>
      <c r="S2211" s="3">
        <f t="shared" si="208"/>
        <v>-1.4907154726267384</v>
      </c>
    </row>
    <row r="2212" spans="6:19" x14ac:dyDescent="0.2">
      <c r="F2212" s="3"/>
      <c r="G2212" s="3"/>
      <c r="H2212" s="3"/>
      <c r="M2212" s="1">
        <f t="shared" si="209"/>
        <v>66.300000000001745</v>
      </c>
      <c r="N2212" s="1">
        <f t="shared" si="210"/>
        <v>1.6804532167500277</v>
      </c>
      <c r="O2212" s="1">
        <f t="shared" si="211"/>
        <v>-0.10623665324785644</v>
      </c>
      <c r="P2212" s="1">
        <f t="shared" si="212"/>
        <v>4.5978817941662227</v>
      </c>
      <c r="R2212" s="3">
        <f t="shared" si="207"/>
        <v>-0.17138567375889879</v>
      </c>
      <c r="S2212" s="3">
        <f t="shared" si="208"/>
        <v>-1.4901768186460989</v>
      </c>
    </row>
    <row r="2213" spans="6:19" x14ac:dyDescent="0.2">
      <c r="F2213" s="3"/>
      <c r="G2213" s="3"/>
      <c r="H2213" s="3"/>
      <c r="M2213" s="1">
        <f t="shared" si="209"/>
        <v>66.330000000001746</v>
      </c>
      <c r="N2213" s="1">
        <f t="shared" si="210"/>
        <v>1.723418036381295</v>
      </c>
      <c r="O2213" s="1">
        <f t="shared" si="211"/>
        <v>-5.4534112156417597E-2</v>
      </c>
      <c r="P2213" s="1">
        <f t="shared" si="212"/>
        <v>4.5962457708015299</v>
      </c>
      <c r="R2213" s="3">
        <f t="shared" si="207"/>
        <v>-0.17382340740112778</v>
      </c>
      <c r="S2213" s="3">
        <f t="shared" si="208"/>
        <v>-1.4898944335218725</v>
      </c>
    </row>
    <row r="2214" spans="6:19" x14ac:dyDescent="0.2">
      <c r="F2214" s="3"/>
      <c r="G2214" s="3"/>
      <c r="H2214" s="3"/>
      <c r="M2214" s="1">
        <f t="shared" si="209"/>
        <v>66.360000000001747</v>
      </c>
      <c r="N2214" s="1">
        <f t="shared" si="210"/>
        <v>1.7431421441053554</v>
      </c>
      <c r="O2214" s="1">
        <f t="shared" si="211"/>
        <v>-2.2398478332569388E-3</v>
      </c>
      <c r="P2214" s="1">
        <f t="shared" si="212"/>
        <v>4.5961785753665323</v>
      </c>
      <c r="R2214" s="3">
        <f t="shared" si="207"/>
        <v>-0.17392352111318737</v>
      </c>
      <c r="S2214" s="3">
        <f t="shared" si="208"/>
        <v>-1.4898827500188028</v>
      </c>
    </row>
    <row r="2215" spans="6:19" x14ac:dyDescent="0.2">
      <c r="F2215" s="3"/>
      <c r="G2215" s="3"/>
      <c r="H2215" s="3"/>
      <c r="M2215" s="1">
        <f t="shared" si="209"/>
        <v>66.390000000001749</v>
      </c>
      <c r="N2215" s="1">
        <f t="shared" si="210"/>
        <v>1.7394367974368667</v>
      </c>
      <c r="O2215" s="1">
        <f t="shared" si="211"/>
        <v>4.9943256089849064E-2</v>
      </c>
      <c r="P2215" s="1">
        <f t="shared" si="212"/>
        <v>4.5976768730492275</v>
      </c>
      <c r="R2215" s="3">
        <f t="shared" si="207"/>
        <v>-0.1716910388564884</v>
      </c>
      <c r="S2215" s="3">
        <f t="shared" si="208"/>
        <v>-1.4901416668143939</v>
      </c>
    </row>
    <row r="2216" spans="6:19" x14ac:dyDescent="0.2">
      <c r="F2216" s="3"/>
      <c r="G2216" s="3"/>
      <c r="H2216" s="3"/>
      <c r="M2216" s="1">
        <f t="shared" si="209"/>
        <v>66.42000000000175</v>
      </c>
      <c r="N2216" s="1">
        <f t="shared" si="210"/>
        <v>1.7124154955167976</v>
      </c>
      <c r="O2216" s="1">
        <f t="shared" si="211"/>
        <v>0.10131572095535299</v>
      </c>
      <c r="P2216" s="1">
        <f t="shared" si="212"/>
        <v>4.6007163446778883</v>
      </c>
      <c r="R2216" s="3">
        <f t="shared" si="207"/>
        <v>-0.16716100943774798</v>
      </c>
      <c r="S2216" s="3">
        <f t="shared" si="208"/>
        <v>-1.4906566328044004</v>
      </c>
    </row>
    <row r="2217" spans="6:19" x14ac:dyDescent="0.2">
      <c r="F2217" s="3"/>
      <c r="G2217" s="3"/>
      <c r="H2217" s="3"/>
      <c r="M2217" s="1">
        <f t="shared" si="209"/>
        <v>66.450000000001751</v>
      </c>
      <c r="N2217" s="1">
        <f t="shared" si="210"/>
        <v>1.6624916794914981</v>
      </c>
      <c r="O2217" s="1">
        <f t="shared" si="211"/>
        <v>0.15119047134009794</v>
      </c>
      <c r="P2217" s="1">
        <f t="shared" si="212"/>
        <v>4.605252058818091</v>
      </c>
      <c r="R2217" s="3">
        <f t="shared" si="207"/>
        <v>-0.16039812077886068</v>
      </c>
      <c r="S2217" s="3">
        <f t="shared" si="208"/>
        <v>-1.4913994913672894</v>
      </c>
    </row>
    <row r="2218" spans="6:19" x14ac:dyDescent="0.2">
      <c r="F2218" s="3"/>
      <c r="G2218" s="3"/>
      <c r="H2218" s="3"/>
      <c r="M2218" s="1">
        <f t="shared" si="209"/>
        <v>66.480000000001752</v>
      </c>
      <c r="N2218" s="1">
        <f t="shared" si="210"/>
        <v>1.5903740653679981</v>
      </c>
      <c r="O2218" s="1">
        <f t="shared" si="211"/>
        <v>0.19890169330113788</v>
      </c>
      <c r="P2218" s="1">
        <f t="shared" si="212"/>
        <v>4.6112191096171253</v>
      </c>
      <c r="R2218" s="3">
        <f t="shared" si="207"/>
        <v>-0.15149606152799683</v>
      </c>
      <c r="S2218" s="3">
        <f t="shared" si="208"/>
        <v>-1.4923300383432296</v>
      </c>
    </row>
    <row r="2219" spans="6:19" x14ac:dyDescent="0.2">
      <c r="F2219" s="3"/>
      <c r="G2219" s="3"/>
      <c r="H2219" s="3"/>
      <c r="M2219" s="1">
        <f t="shared" si="209"/>
        <v>66.510000000001753</v>
      </c>
      <c r="N2219" s="1">
        <f t="shared" si="210"/>
        <v>1.4970594628828657</v>
      </c>
      <c r="O2219" s="1">
        <f t="shared" si="211"/>
        <v>0.24381347718762386</v>
      </c>
      <c r="P2219" s="1">
        <f t="shared" si="212"/>
        <v>4.6185335139327544</v>
      </c>
      <c r="R2219" s="3">
        <f t="shared" si="207"/>
        <v>-0.14057660104553976</v>
      </c>
      <c r="S2219" s="3">
        <f t="shared" si="208"/>
        <v>-1.4933982118773557</v>
      </c>
    </row>
    <row r="2220" spans="6:19" x14ac:dyDescent="0.2">
      <c r="F2220" s="3"/>
      <c r="G2220" s="3"/>
      <c r="H2220" s="3"/>
      <c r="M2220" s="1">
        <f t="shared" si="209"/>
        <v>66.540000000001754</v>
      </c>
      <c r="N2220" s="1">
        <f t="shared" si="210"/>
        <v>1.3838227975085116</v>
      </c>
      <c r="O2220" s="1">
        <f t="shared" si="211"/>
        <v>0.28532816111287923</v>
      </c>
      <c r="P2220" s="1">
        <f t="shared" si="212"/>
        <v>4.6270933587661407</v>
      </c>
      <c r="R2220" s="3">
        <f t="shared" si="207"/>
        <v>-0.12778835012506898</v>
      </c>
      <c r="S2220" s="3">
        <f t="shared" si="208"/>
        <v>-1.4945468000609123</v>
      </c>
    </row>
    <row r="2221" spans="6:19" x14ac:dyDescent="0.2">
      <c r="F2221" s="3"/>
      <c r="G2221" s="3"/>
      <c r="H2221" s="3"/>
      <c r="M2221" s="1">
        <f t="shared" si="209"/>
        <v>66.570000000001755</v>
      </c>
      <c r="N2221" s="1">
        <f t="shared" si="210"/>
        <v>1.2522039667505309</v>
      </c>
      <c r="O2221" s="1">
        <f t="shared" si="211"/>
        <v>0.32289428011539517</v>
      </c>
      <c r="P2221" s="1">
        <f t="shared" si="212"/>
        <v>4.6367801871696024</v>
      </c>
      <c r="R2221" s="3">
        <f t="shared" si="207"/>
        <v>-0.11330516270445341</v>
      </c>
      <c r="S2221" s="3">
        <f t="shared" si="208"/>
        <v>-1.4957145249359978</v>
      </c>
    </row>
    <row r="2222" spans="6:19" x14ac:dyDescent="0.2">
      <c r="F2222" s="3"/>
      <c r="G2222" s="3"/>
      <c r="H2222" s="3"/>
      <c r="M2222" s="1">
        <f t="shared" si="209"/>
        <v>66.600000000001756</v>
      </c>
      <c r="N2222" s="1">
        <f t="shared" si="210"/>
        <v>1.1039911418341486</v>
      </c>
      <c r="O2222" s="1">
        <f t="shared" si="211"/>
        <v>0.35601401437041963</v>
      </c>
      <c r="P2222" s="1">
        <f t="shared" si="212"/>
        <v>4.6474606076007152</v>
      </c>
      <c r="R2222" s="3">
        <f t="shared" si="207"/>
        <v>-9.7324144067133897E-2</v>
      </c>
      <c r="S2222" s="3">
        <f t="shared" si="208"/>
        <v>-1.4968393404041729</v>
      </c>
    </row>
    <row r="2223" spans="6:19" x14ac:dyDescent="0.2">
      <c r="F2223" s="3"/>
      <c r="G2223" s="3"/>
      <c r="H2223" s="3"/>
      <c r="M2223" s="1">
        <f t="shared" si="209"/>
        <v>66.630000000001758</v>
      </c>
      <c r="N2223" s="1">
        <f t="shared" si="210"/>
        <v>0.94120017937800127</v>
      </c>
      <c r="O2223" s="1">
        <f t="shared" si="211"/>
        <v>0.38425001975175965</v>
      </c>
      <c r="P2223" s="1">
        <f t="shared" si="212"/>
        <v>4.6589881081932676</v>
      </c>
      <c r="R2223" s="3">
        <f t="shared" si="207"/>
        <v>-8.0063243523553831E-2</v>
      </c>
      <c r="S2223" s="3">
        <f t="shared" si="208"/>
        <v>-1.4978617683339435</v>
      </c>
    </row>
    <row r="2224" spans="6:19" x14ac:dyDescent="0.2">
      <c r="F2224" s="3"/>
      <c r="G2224" s="3"/>
      <c r="H2224" s="3"/>
      <c r="M2224" s="1">
        <f t="shared" si="209"/>
        <v>66.660000000001759</v>
      </c>
      <c r="N2224" s="1">
        <f t="shared" si="210"/>
        <v>0.76604993345787986</v>
      </c>
      <c r="O2224" s="1">
        <f t="shared" si="211"/>
        <v>0.40723151775549604</v>
      </c>
      <c r="P2224" s="1">
        <f t="shared" si="212"/>
        <v>4.6712050537259326</v>
      </c>
      <c r="R2224" s="3">
        <f t="shared" si="207"/>
        <v>-6.1758428291721797E-2</v>
      </c>
      <c r="S2224" s="3">
        <f t="shared" si="208"/>
        <v>-1.4987280929291131</v>
      </c>
    </row>
    <row r="2225" spans="6:19" x14ac:dyDescent="0.2">
      <c r="F2225" s="3"/>
      <c r="G2225" s="3"/>
      <c r="H2225" s="3"/>
      <c r="M2225" s="1">
        <f t="shared" si="209"/>
        <v>66.69000000000176</v>
      </c>
      <c r="N2225" s="1">
        <f t="shared" si="210"/>
        <v>0.58093344631922339</v>
      </c>
      <c r="O2225" s="1">
        <f t="shared" si="211"/>
        <v>0.42465952114507277</v>
      </c>
      <c r="P2225" s="1">
        <f t="shared" si="212"/>
        <v>4.6839448393602847</v>
      </c>
      <c r="R2225" s="3">
        <f t="shared" si="207"/>
        <v>-4.2660458450033342E-2</v>
      </c>
      <c r="S2225" s="3">
        <f t="shared" si="208"/>
        <v>-1.4993932390419911</v>
      </c>
    </row>
    <row r="2226" spans="6:19" x14ac:dyDescent="0.2">
      <c r="F2226" s="3"/>
      <c r="G2226" s="3"/>
      <c r="H2226" s="3"/>
      <c r="M2226" s="1">
        <f t="shared" si="209"/>
        <v>66.720000000001761</v>
      </c>
      <c r="N2226" s="1">
        <f t="shared" si="210"/>
        <v>0.38838522759727689</v>
      </c>
      <c r="O2226" s="1">
        <f t="shared" si="211"/>
        <v>0.43631107797299107</v>
      </c>
      <c r="P2226" s="1">
        <f t="shared" si="212"/>
        <v>4.6970341716994746</v>
      </c>
      <c r="R2226" s="3">
        <f t="shared" si="207"/>
        <v>-2.3031307987106266E-2</v>
      </c>
      <c r="S2226" s="3">
        <f t="shared" si="208"/>
        <v>-1.4998231758618759</v>
      </c>
    </row>
    <row r="2227" spans="6:19" x14ac:dyDescent="0.2">
      <c r="F2227" s="3"/>
      <c r="G2227" s="3"/>
      <c r="H2227" s="3"/>
      <c r="M2227" s="1">
        <f t="shared" si="209"/>
        <v>66.750000000001762</v>
      </c>
      <c r="N2227" s="1">
        <f t="shared" si="210"/>
        <v>0.19104508285349345</v>
      </c>
      <c r="O2227" s="1">
        <f t="shared" si="211"/>
        <v>0.44204243045859587</v>
      </c>
      <c r="P2227" s="1">
        <f t="shared" si="212"/>
        <v>4.7102954446132328</v>
      </c>
      <c r="R2227" s="3">
        <f t="shared" si="207"/>
        <v>-3.1403013632507861E-3</v>
      </c>
      <c r="S2227" s="3">
        <f t="shared" si="208"/>
        <v>-1.4999967128321809</v>
      </c>
    </row>
    <row r="2228" spans="6:19" x14ac:dyDescent="0.2">
      <c r="F2228" s="3"/>
      <c r="G2228" s="3"/>
      <c r="H2228" s="3"/>
      <c r="M2228" s="1">
        <f t="shared" si="209"/>
        <v>66.780000000001763</v>
      </c>
      <c r="N2228" s="1">
        <f t="shared" si="210"/>
        <v>-8.3808051087657653E-3</v>
      </c>
      <c r="O2228" s="1">
        <f t="shared" si="211"/>
        <v>0.44179100630533291</v>
      </c>
      <c r="P2228" s="1">
        <f t="shared" si="212"/>
        <v>4.7235491748023932</v>
      </c>
      <c r="R2228" s="3">
        <f t="shared" si="207"/>
        <v>1.6739944128334384E-2</v>
      </c>
      <c r="S2228" s="3">
        <f t="shared" si="208"/>
        <v>-1.4999065885149583</v>
      </c>
    </row>
    <row r="2229" spans="6:19" x14ac:dyDescent="0.2">
      <c r="F2229" s="3"/>
      <c r="G2229" s="3"/>
      <c r="H2229" s="3"/>
      <c r="M2229" s="1">
        <f t="shared" si="209"/>
        <v>66.810000000001764</v>
      </c>
      <c r="N2229" s="1">
        <f t="shared" si="210"/>
        <v>-0.20716063185082378</v>
      </c>
      <c r="O2229" s="1">
        <f t="shared" si="211"/>
        <v>0.43557618734980819</v>
      </c>
      <c r="P2229" s="1">
        <f t="shared" si="212"/>
        <v>4.7366164604228871</v>
      </c>
      <c r="R2229" s="3">
        <f t="shared" si="207"/>
        <v>3.63376649558661E-2</v>
      </c>
      <c r="S2229" s="3">
        <f t="shared" si="208"/>
        <v>-1.499559793441247</v>
      </c>
    </row>
    <row r="2230" spans="6:19" x14ac:dyDescent="0.2">
      <c r="F2230" s="3"/>
      <c r="G2230" s="3"/>
      <c r="H2230" s="3"/>
      <c r="M2230" s="1">
        <f t="shared" si="209"/>
        <v>66.840000000001766</v>
      </c>
      <c r="N2230" s="1">
        <f t="shared" si="210"/>
        <v>-0.40257850642014376</v>
      </c>
      <c r="O2230" s="1">
        <f t="shared" si="211"/>
        <v>0.42349883215720385</v>
      </c>
      <c r="P2230" s="1">
        <f t="shared" si="212"/>
        <v>4.7493214253876035</v>
      </c>
      <c r="R2230" s="3">
        <f t="shared" si="207"/>
        <v>5.5386074348786084E-2</v>
      </c>
      <c r="S2230" s="3">
        <f t="shared" si="208"/>
        <v>-1.4989771121562299</v>
      </c>
    </row>
    <row r="2231" spans="6:19" x14ac:dyDescent="0.2">
      <c r="F2231" s="3"/>
      <c r="G2231" s="3"/>
      <c r="H2231" s="3"/>
      <c r="M2231" s="1">
        <f t="shared" si="209"/>
        <v>66.870000000001767</v>
      </c>
      <c r="N2231" s="1">
        <f t="shared" si="210"/>
        <v>-0.59197563838200917</v>
      </c>
      <c r="O2231" s="1">
        <f t="shared" si="211"/>
        <v>0.4057395630057436</v>
      </c>
      <c r="P2231" s="1">
        <f t="shared" si="212"/>
        <v>4.7614936122777758</v>
      </c>
      <c r="R2231" s="3">
        <f t="shared" si="207"/>
        <v>7.3627350339724132E-2</v>
      </c>
      <c r="S2231" s="3">
        <f t="shared" si="208"/>
        <v>-1.4981919147031704</v>
      </c>
    </row>
    <row r="2232" spans="6:19" x14ac:dyDescent="0.2">
      <c r="F2232" s="3"/>
      <c r="G2232" s="3"/>
      <c r="H2232" s="3"/>
      <c r="M2232" s="1">
        <f t="shared" si="209"/>
        <v>66.900000000001768</v>
      </c>
      <c r="N2232" s="1">
        <f t="shared" si="210"/>
        <v>-0.7727900640677583</v>
      </c>
      <c r="O2232" s="1">
        <f t="shared" si="211"/>
        <v>0.38255586108371087</v>
      </c>
      <c r="P2232" s="1">
        <f t="shared" si="212"/>
        <v>4.7729702881102867</v>
      </c>
      <c r="R2232" s="3">
        <f t="shared" si="207"/>
        <v>9.0816387001267818E-2</v>
      </c>
      <c r="S2232" s="3">
        <f t="shared" si="208"/>
        <v>-1.4972482706124712</v>
      </c>
    </row>
    <row r="2233" spans="6:19" x14ac:dyDescent="0.2">
      <c r="F2233" s="3"/>
      <c r="G2233" s="3"/>
      <c r="H2233" s="3"/>
      <c r="M2233" s="1">
        <f t="shared" si="209"/>
        <v>66.930000000001769</v>
      </c>
      <c r="N2233" s="1">
        <f t="shared" si="210"/>
        <v>-0.94259389751021216</v>
      </c>
      <c r="O2233" s="1">
        <f t="shared" si="211"/>
        <v>0.35427804415840453</v>
      </c>
      <c r="P2233" s="1">
        <f t="shared" si="212"/>
        <v>4.7835986294350388</v>
      </c>
      <c r="R2233" s="3">
        <f t="shared" si="207"/>
        <v>0.10672422373713691</v>
      </c>
      <c r="S2233" s="3">
        <f t="shared" si="208"/>
        <v>-1.496198496212219</v>
      </c>
    </row>
    <row r="2234" spans="6:19" x14ac:dyDescent="0.2">
      <c r="F2234" s="3"/>
      <c r="G2234" s="3"/>
      <c r="H2234" s="3"/>
      <c r="M2234" s="1">
        <f t="shared" si="209"/>
        <v>66.96000000000177</v>
      </c>
      <c r="N2234" s="1">
        <f t="shared" si="210"/>
        <v>-1.0991272613456253</v>
      </c>
      <c r="O2234" s="1">
        <f t="shared" si="211"/>
        <v>0.32130422631803579</v>
      </c>
      <c r="P2234" s="1">
        <f t="shared" si="212"/>
        <v>4.7932377562245803</v>
      </c>
      <c r="R2234" s="3">
        <f t="shared" si="207"/>
        <v>0.12114108943045505</v>
      </c>
      <c r="S2234" s="3">
        <f t="shared" si="208"/>
        <v>-1.4951002763867052</v>
      </c>
    </row>
    <row r="2235" spans="6:19" x14ac:dyDescent="0.2">
      <c r="F2235" s="3"/>
      <c r="G2235" s="3"/>
      <c r="H2235" s="3"/>
      <c r="M2235" s="1">
        <f t="shared" si="209"/>
        <v>66.990000000001771</v>
      </c>
      <c r="N2235" s="1">
        <f t="shared" si="210"/>
        <v>-1.2403282746731736</v>
      </c>
      <c r="O2235" s="1">
        <f t="shared" si="211"/>
        <v>0.2840943780778406</v>
      </c>
      <c r="P2235" s="1">
        <f t="shared" si="212"/>
        <v>4.8017605875669158</v>
      </c>
      <c r="R2235" s="3">
        <f t="shared" si="207"/>
        <v>0.13387902292413534</v>
      </c>
      <c r="S2235" s="3">
        <f t="shared" si="208"/>
        <v>-1.4940135231050886</v>
      </c>
    </row>
    <row r="2236" spans="6:19" x14ac:dyDescent="0.2">
      <c r="F2236" s="3"/>
      <c r="G2236" s="3"/>
      <c r="H2236" s="3"/>
      <c r="M2236" s="1">
        <f t="shared" si="209"/>
        <v>67.020000000001772</v>
      </c>
      <c r="N2236" s="1">
        <f t="shared" si="210"/>
        <v>-1.3643587232683589</v>
      </c>
      <c r="O2236" s="1">
        <f t="shared" si="211"/>
        <v>0.24316361637978984</v>
      </c>
      <c r="P2236" s="1">
        <f t="shared" si="212"/>
        <v>4.8090554960583098</v>
      </c>
      <c r="R2236" s="3">
        <f t="shared" si="207"/>
        <v>0.14477405598029425</v>
      </c>
      <c r="S2236" s="3">
        <f t="shared" si="208"/>
        <v>-1.4929971442420829</v>
      </c>
    </row>
    <row r="2237" spans="6:19" x14ac:dyDescent="0.2">
      <c r="F2237" s="3"/>
      <c r="G2237" s="3"/>
      <c r="H2237" s="3"/>
      <c r="M2237" s="1">
        <f t="shared" si="209"/>
        <v>67.050000000001774</v>
      </c>
      <c r="N2237" s="1">
        <f t="shared" si="210"/>
        <v>-1.4696252852771239</v>
      </c>
      <c r="O2237" s="1">
        <f t="shared" si="211"/>
        <v>0.19907485782147613</v>
      </c>
      <c r="P2237" s="1">
        <f t="shared" si="212"/>
        <v>4.8150277417929539</v>
      </c>
      <c r="R2237" s="3">
        <f t="shared" si="207"/>
        <v>0.15368796692894121</v>
      </c>
      <c r="S2237" s="3">
        <f t="shared" si="208"/>
        <v>-1.4921058973213828</v>
      </c>
    </row>
    <row r="2238" spans="6:19" x14ac:dyDescent="0.2">
      <c r="F2238" s="3"/>
      <c r="G2238" s="3"/>
      <c r="H2238" s="3"/>
      <c r="M2238" s="1">
        <f t="shared" si="209"/>
        <v>67.080000000001775</v>
      </c>
      <c r="N2238" s="1">
        <f t="shared" si="210"/>
        <v>-1.5547964064933448</v>
      </c>
      <c r="O2238" s="1">
        <f t="shared" si="211"/>
        <v>0.1524309656266758</v>
      </c>
      <c r="P2238" s="1">
        <f t="shared" si="212"/>
        <v>4.819600670761754</v>
      </c>
      <c r="R2238" s="3">
        <f t="shared" si="207"/>
        <v>0.16050963049631201</v>
      </c>
      <c r="S2238" s="3">
        <f t="shared" si="208"/>
        <v>-1.4913874944218681</v>
      </c>
    </row>
    <row r="2239" spans="6:19" x14ac:dyDescent="0.2">
      <c r="F2239" s="3"/>
      <c r="G2239" s="3"/>
      <c r="H2239" s="3"/>
      <c r="M2239" s="1">
        <f t="shared" si="209"/>
        <v>67.110000000001776</v>
      </c>
      <c r="N2239" s="1">
        <f t="shared" si="210"/>
        <v>-1.618815091869521</v>
      </c>
      <c r="O2239" s="1">
        <f t="shared" si="211"/>
        <v>0.10386651287059018</v>
      </c>
      <c r="P2239" s="1">
        <f t="shared" si="212"/>
        <v>4.8227166661478718</v>
      </c>
      <c r="R2239" s="3">
        <f t="shared" si="207"/>
        <v>0.16515600029998381</v>
      </c>
      <c r="S2239" s="3">
        <f t="shared" si="208"/>
        <v>-1.4908801077098426</v>
      </c>
    </row>
    <row r="2240" spans="6:19" x14ac:dyDescent="0.2">
      <c r="F2240" s="3"/>
      <c r="G2240" s="3"/>
      <c r="H2240" s="3"/>
      <c r="M2240" s="1">
        <f t="shared" si="209"/>
        <v>67.140000000001777</v>
      </c>
      <c r="N2240" s="1">
        <f t="shared" si="210"/>
        <v>-1.6609079891581915</v>
      </c>
      <c r="O2240" s="1">
        <f t="shared" si="211"/>
        <v>5.4039273195844437E-2</v>
      </c>
      <c r="P2240" s="1">
        <f t="shared" si="212"/>
        <v>4.8243378443437468</v>
      </c>
      <c r="R2240" s="3">
        <f t="shared" si="207"/>
        <v>0.16757276453154041</v>
      </c>
      <c r="S2240" s="3">
        <f t="shared" si="208"/>
        <v>-1.4906104013414294</v>
      </c>
    </row>
    <row r="2241" spans="6:19" x14ac:dyDescent="0.2">
      <c r="F2241" s="3"/>
      <c r="G2241" s="3"/>
      <c r="H2241" s="3"/>
      <c r="M2241" s="1">
        <f t="shared" si="209"/>
        <v>67.170000000001778</v>
      </c>
      <c r="N2241" s="1">
        <f t="shared" si="210"/>
        <v>-1.6805911799030302</v>
      </c>
      <c r="O2241" s="1">
        <f t="shared" si="211"/>
        <v>3.6215377987535297E-3</v>
      </c>
      <c r="P2241" s="1">
        <f t="shared" si="212"/>
        <v>4.8244464904777091</v>
      </c>
      <c r="R2241" s="3">
        <f t="shared" si="207"/>
        <v>0.16773471259955861</v>
      </c>
      <c r="S2241" s="3">
        <f t="shared" si="208"/>
        <v>-1.4905921864108718</v>
      </c>
    </row>
    <row r="2242" spans="6:19" x14ac:dyDescent="0.2">
      <c r="F2242" s="3"/>
      <c r="G2242" s="3"/>
      <c r="H2242" s="3"/>
      <c r="M2242" s="1">
        <f t="shared" si="209"/>
        <v>67.200000000001779</v>
      </c>
      <c r="N2242" s="1">
        <f t="shared" si="210"/>
        <v>-1.677673064397474</v>
      </c>
      <c r="O2242" s="1">
        <f t="shared" si="211"/>
        <v>-4.6708654133170685E-2</v>
      </c>
      <c r="P2242" s="1">
        <f t="shared" si="212"/>
        <v>4.8230452308537144</v>
      </c>
      <c r="R2242" s="3">
        <f t="shared" ref="R2242:R2305" si="213">$B$3*COS(P2242)</f>
        <v>0.16564584196051793</v>
      </c>
      <c r="S2242" s="3">
        <f t="shared" ref="S2242:S2305" si="214">$B$3*SIN(P2242)</f>
        <v>-1.4908257628043564</v>
      </c>
    </row>
    <row r="2243" spans="6:19" x14ac:dyDescent="0.2">
      <c r="F2243" s="3"/>
      <c r="G2243" s="3"/>
      <c r="H2243" s="3"/>
      <c r="M2243" s="1">
        <f t="shared" ref="M2243:M2306" si="215">M2242+B$13</f>
        <v>67.23000000000178</v>
      </c>
      <c r="N2243" s="1">
        <f t="shared" ref="N2243:N2306" si="216">-$B$12*$B$3*COS(P2242)-B$10*O2242</f>
        <v>-1.6522546407331939</v>
      </c>
      <c r="O2243" s="1">
        <f t="shared" ref="O2243:O2306" si="217">N2243*$B$13+O2242</f>
        <v>-9.6276293355166492E-2</v>
      </c>
      <c r="P2243" s="1">
        <f t="shared" ref="P2243:P2306" si="218">O2243*$B$13+P2242</f>
        <v>4.8201569420530594</v>
      </c>
      <c r="R2243" s="3">
        <f t="shared" si="213"/>
        <v>0.16133922166701631</v>
      </c>
      <c r="S2243" s="3">
        <f t="shared" si="214"/>
        <v>-1.4912979767812606</v>
      </c>
    </row>
    <row r="2244" spans="6:19" x14ac:dyDescent="0.2">
      <c r="F2244" s="3"/>
      <c r="G2244" s="3"/>
      <c r="H2244" s="3"/>
      <c r="M2244" s="1">
        <f t="shared" si="215"/>
        <v>67.260000000001781</v>
      </c>
      <c r="N2244" s="1">
        <f t="shared" si="216"/>
        <v>-1.6047273502681978</v>
      </c>
      <c r="O2244" s="1">
        <f t="shared" si="217"/>
        <v>-0.14441811386321243</v>
      </c>
      <c r="P2244" s="1">
        <f t="shared" si="218"/>
        <v>4.8158243986371634</v>
      </c>
      <c r="R2244" s="3">
        <f t="shared" si="213"/>
        <v>0.15487661440862743</v>
      </c>
      <c r="S2244" s="3">
        <f t="shared" si="214"/>
        <v>-1.4919829872720807</v>
      </c>
    </row>
    <row r="2245" spans="6:19" x14ac:dyDescent="0.2">
      <c r="F2245" s="3"/>
      <c r="G2245" s="3"/>
      <c r="H2245" s="3"/>
      <c r="M2245" s="1">
        <f t="shared" si="215"/>
        <v>67.290000000001783</v>
      </c>
      <c r="N2245" s="1">
        <f t="shared" si="216"/>
        <v>-1.535768513838585</v>
      </c>
      <c r="O2245" s="1">
        <f t="shared" si="217"/>
        <v>-0.19049116927836998</v>
      </c>
      <c r="P2245" s="1">
        <f t="shared" si="218"/>
        <v>4.8101096635588121</v>
      </c>
      <c r="R2245" s="3">
        <f t="shared" si="213"/>
        <v>0.14634784431513687</v>
      </c>
      <c r="S2245" s="3">
        <f t="shared" si="214"/>
        <v>-1.492843698604885</v>
      </c>
    </row>
    <row r="2246" spans="6:19" x14ac:dyDescent="0.2">
      <c r="F2246" s="3"/>
      <c r="G2246" s="3"/>
      <c r="H2246" s="3"/>
      <c r="M2246" s="1">
        <f t="shared" si="215"/>
        <v>67.320000000001784</v>
      </c>
      <c r="N2246" s="1">
        <f t="shared" si="216"/>
        <v>-1.4463342379163155</v>
      </c>
      <c r="O2246" s="1">
        <f t="shared" si="217"/>
        <v>-0.23388119641585944</v>
      </c>
      <c r="P2246" s="1">
        <f t="shared" si="218"/>
        <v>4.8030932276663361</v>
      </c>
      <c r="R2246" s="3">
        <f t="shared" si="213"/>
        <v>0.13586988578494935</v>
      </c>
      <c r="S2246" s="3">
        <f t="shared" si="214"/>
        <v>-1.493833783972228</v>
      </c>
    </row>
    <row r="2247" spans="6:19" x14ac:dyDescent="0.2">
      <c r="F2247" s="3"/>
      <c r="G2247" s="3"/>
      <c r="H2247" s="3"/>
      <c r="M2247" s="1">
        <f t="shared" si="215"/>
        <v>67.350000000001785</v>
      </c>
      <c r="N2247" s="1">
        <f t="shared" si="216"/>
        <v>-1.3376495501720662</v>
      </c>
      <c r="O2247" s="1">
        <f t="shared" si="217"/>
        <v>-0.27401068292102143</v>
      </c>
      <c r="P2247" s="1">
        <f t="shared" si="218"/>
        <v>4.7948729071787053</v>
      </c>
      <c r="R2247" s="3">
        <f t="shared" si="213"/>
        <v>0.12358564103592981</v>
      </c>
      <c r="S2247" s="3">
        <f t="shared" si="214"/>
        <v>-1.4949001937687139</v>
      </c>
    </row>
    <row r="2248" spans="6:19" x14ac:dyDescent="0.2">
      <c r="F2248" s="3"/>
      <c r="G2248" s="3"/>
      <c r="H2248" s="3"/>
      <c r="M2248" s="1">
        <f t="shared" si="215"/>
        <v>67.380000000001786</v>
      </c>
      <c r="N2248" s="1">
        <f t="shared" si="216"/>
        <v>-1.2111954488964061</v>
      </c>
      <c r="O2248" s="1">
        <f t="shared" si="217"/>
        <v>-0.31034654638791359</v>
      </c>
      <c r="P2248" s="1">
        <f t="shared" si="218"/>
        <v>4.7855625107870683</v>
      </c>
      <c r="R2248" s="3">
        <f t="shared" si="213"/>
        <v>0.10966237236546705</v>
      </c>
      <c r="S2248" s="3">
        <f t="shared" si="214"/>
        <v>-1.4959860173434703</v>
      </c>
    </row>
    <row r="2249" spans="6:19" x14ac:dyDescent="0.2">
      <c r="F2249" s="3"/>
      <c r="G2249" s="3"/>
      <c r="H2249" s="3"/>
      <c r="M2249" s="1">
        <f t="shared" si="215"/>
        <v>67.410000000001787</v>
      </c>
      <c r="N2249" s="1">
        <f t="shared" si="216"/>
        <v>-1.0686925344797582</v>
      </c>
      <c r="O2249" s="1">
        <f t="shared" si="217"/>
        <v>-0.34240732242230631</v>
      </c>
      <c r="P2249" s="1">
        <f t="shared" si="218"/>
        <v>4.7752902911143993</v>
      </c>
      <c r="R2249" s="3">
        <f t="shared" si="213"/>
        <v>9.4289759965330761E-2</v>
      </c>
      <c r="S2249" s="3">
        <f t="shared" si="214"/>
        <v>-1.4970335471076393</v>
      </c>
    </row>
    <row r="2250" spans="6:19" x14ac:dyDescent="0.2">
      <c r="F2250" s="3"/>
      <c r="G2250" s="3"/>
      <c r="H2250" s="3"/>
      <c r="M2250" s="1">
        <f t="shared" si="215"/>
        <v>67.440000000001788</v>
      </c>
      <c r="N2250" s="1">
        <f t="shared" si="216"/>
        <v>-0.91208094063529999</v>
      </c>
      <c r="O2250" s="1">
        <f t="shared" si="217"/>
        <v>-0.3697697506413653</v>
      </c>
      <c r="P2250" s="1">
        <f t="shared" si="218"/>
        <v>4.7641971985951583</v>
      </c>
      <c r="R2250" s="3">
        <f t="shared" si="213"/>
        <v>7.7677567481762036E-2</v>
      </c>
      <c r="S2250" s="3">
        <f t="shared" si="214"/>
        <v>-1.4979873816257987</v>
      </c>
    </row>
    <row r="2251" spans="6:19" x14ac:dyDescent="0.2">
      <c r="F2251" s="3"/>
      <c r="G2251" s="3"/>
      <c r="H2251" s="3"/>
      <c r="M2251" s="1">
        <f t="shared" si="215"/>
        <v>67.470000000001789</v>
      </c>
      <c r="N2251" s="1">
        <f t="shared" si="216"/>
        <v>-0.74349639725989758</v>
      </c>
      <c r="O2251" s="1">
        <f t="shared" si="217"/>
        <v>-0.39207464255916225</v>
      </c>
      <c r="P2251" s="1">
        <f t="shared" si="218"/>
        <v>4.7524349593183839</v>
      </c>
      <c r="R2251" s="3">
        <f t="shared" si="213"/>
        <v>6.0052914449698853E-2</v>
      </c>
      <c r="S2251" s="3">
        <f t="shared" si="214"/>
        <v>-1.4987974004067719</v>
      </c>
    </row>
    <row r="2252" spans="6:19" x14ac:dyDescent="0.2">
      <c r="F2252" s="3"/>
      <c r="G2252" s="3"/>
      <c r="H2252" s="3"/>
      <c r="M2252" s="1">
        <f t="shared" si="215"/>
        <v>67.500000000001791</v>
      </c>
      <c r="N2252" s="1">
        <f t="shared" si="216"/>
        <v>-0.56524242666666402</v>
      </c>
      <c r="O2252" s="1">
        <f t="shared" si="217"/>
        <v>-0.40903191535916217</v>
      </c>
      <c r="P2252" s="1">
        <f t="shared" si="218"/>
        <v>4.7401640018576092</v>
      </c>
      <c r="R2252" s="3">
        <f t="shared" si="213"/>
        <v>4.165717564329853E-2</v>
      </c>
      <c r="S2252" s="3">
        <f t="shared" si="214"/>
        <v>-1.4994214483317969</v>
      </c>
    </row>
    <row r="2253" spans="6:19" x14ac:dyDescent="0.2">
      <c r="F2253" s="3"/>
      <c r="G2253" s="3"/>
      <c r="H2253" s="3"/>
      <c r="M2253" s="1">
        <f t="shared" si="215"/>
        <v>67.530000000001792</v>
      </c>
      <c r="N2253" s="1">
        <f t="shared" si="216"/>
        <v>-0.37975888405066066</v>
      </c>
      <c r="O2253" s="1">
        <f t="shared" si="217"/>
        <v>-0.42042468188068199</v>
      </c>
      <c r="P2253" s="1">
        <f t="shared" si="218"/>
        <v>4.7275512614011888</v>
      </c>
      <c r="R2253" s="3">
        <f t="shared" si="213"/>
        <v>2.2742550102505022E-2</v>
      </c>
      <c r="S2253" s="3">
        <f t="shared" si="214"/>
        <v>-1.4998275822289826</v>
      </c>
    </row>
    <row r="2254" spans="6:19" x14ac:dyDescent="0.2">
      <c r="F2254" s="3"/>
      <c r="G2254" s="3"/>
      <c r="H2254" s="3"/>
      <c r="M2254" s="1">
        <f t="shared" si="215"/>
        <v>67.560000000001793</v>
      </c>
      <c r="N2254" s="1">
        <f t="shared" si="216"/>
        <v>-0.18958727965578887</v>
      </c>
      <c r="O2254" s="1">
        <f t="shared" si="217"/>
        <v>-0.42611230027035568</v>
      </c>
      <c r="P2254" s="1">
        <f t="shared" si="218"/>
        <v>4.7147678923930778</v>
      </c>
      <c r="R2254" s="3">
        <f t="shared" si="213"/>
        <v>3.5683646468848804E-3</v>
      </c>
      <c r="S2254" s="3">
        <f t="shared" si="214"/>
        <v>-1.4999957555852439</v>
      </c>
    </row>
    <row r="2255" spans="6:19" x14ac:dyDescent="0.2">
      <c r="F2255" s="3"/>
      <c r="G2255" s="3"/>
      <c r="H2255" s="3"/>
      <c r="M2255" s="1">
        <f t="shared" si="215"/>
        <v>67.590000000001794</v>
      </c>
      <c r="N2255" s="1">
        <f t="shared" si="216"/>
        <v>2.6664605554832035E-3</v>
      </c>
      <c r="O2255" s="1">
        <f t="shared" si="217"/>
        <v>-0.42603230645369117</v>
      </c>
      <c r="P2255" s="1">
        <f t="shared" si="218"/>
        <v>4.7019869231994669</v>
      </c>
      <c r="R2255" s="3">
        <f t="shared" si="213"/>
        <v>-1.5602804396444916E-2</v>
      </c>
      <c r="S2255" s="3">
        <f t="shared" si="214"/>
        <v>-1.4999188486364741</v>
      </c>
    </row>
    <row r="2256" spans="6:19" x14ac:dyDescent="0.2">
      <c r="F2256" s="3"/>
      <c r="G2256" s="3"/>
      <c r="H2256" s="3"/>
      <c r="M2256" s="1">
        <f t="shared" si="215"/>
        <v>67.620000000001795</v>
      </c>
      <c r="N2256" s="1">
        <f t="shared" si="216"/>
        <v>0.19437095154528136</v>
      </c>
      <c r="O2256" s="1">
        <f t="shared" si="217"/>
        <v>-0.42020117790733275</v>
      </c>
      <c r="P2256" s="1">
        <f t="shared" si="218"/>
        <v>4.6893808878622467</v>
      </c>
      <c r="R2256" s="3">
        <f t="shared" si="213"/>
        <v>-3.4509093902421531E-2</v>
      </c>
      <c r="S2256" s="3">
        <f t="shared" si="214"/>
        <v>-1.4996029882732409</v>
      </c>
    </row>
    <row r="2257" spans="6:19" x14ac:dyDescent="0.2">
      <c r="F2257" s="3"/>
      <c r="G2257" s="3"/>
      <c r="H2257" s="3"/>
      <c r="M2257" s="1">
        <f t="shared" si="215"/>
        <v>67.650000000001796</v>
      </c>
      <c r="N2257" s="1">
        <f t="shared" si="216"/>
        <v>0.38290904503587525</v>
      </c>
      <c r="O2257" s="1">
        <f t="shared" si="217"/>
        <v>-0.4087139065562565</v>
      </c>
      <c r="P2257" s="1">
        <f t="shared" si="218"/>
        <v>4.6771194706655592</v>
      </c>
      <c r="R2257" s="3">
        <f t="shared" si="213"/>
        <v>-5.2893296987238519E-2</v>
      </c>
      <c r="S2257" s="3">
        <f t="shared" si="214"/>
        <v>-1.4990671429705273</v>
      </c>
    </row>
    <row r="2258" spans="6:19" x14ac:dyDescent="0.2">
      <c r="F2258" s="3"/>
      <c r="G2258" s="3"/>
      <c r="H2258" s="3"/>
      <c r="M2258" s="1">
        <f t="shared" si="215"/>
        <v>67.680000000001797</v>
      </c>
      <c r="N2258" s="1">
        <f t="shared" si="216"/>
        <v>0.56571722146244829</v>
      </c>
      <c r="O2258" s="1">
        <f t="shared" si="217"/>
        <v>-0.39174238991238308</v>
      </c>
      <c r="P2258" s="1">
        <f t="shared" si="218"/>
        <v>4.6653671989681875</v>
      </c>
      <c r="R2258" s="3">
        <f t="shared" si="213"/>
        <v>-7.0506683144975851E-2</v>
      </c>
      <c r="S2258" s="3">
        <f t="shared" si="214"/>
        <v>-1.4983420195776043</v>
      </c>
    </row>
    <row r="2259" spans="6:19" x14ac:dyDescent="0.2">
      <c r="F2259" s="3"/>
      <c r="G2259" s="3"/>
      <c r="H2259" s="3"/>
      <c r="M2259" s="1">
        <f t="shared" si="215"/>
        <v>67.710000000001799</v>
      </c>
      <c r="N2259" s="1">
        <f t="shared" si="216"/>
        <v>0.74032364654187288</v>
      </c>
      <c r="O2259" s="1">
        <f t="shared" si="217"/>
        <v>-0.36953268051612692</v>
      </c>
      <c r="P2259" s="1">
        <f t="shared" si="218"/>
        <v>4.654281218552704</v>
      </c>
      <c r="R2259" s="3">
        <f t="shared" si="213"/>
        <v>-8.7112600639710672E-2</v>
      </c>
      <c r="S2259" s="3">
        <f t="shared" si="214"/>
        <v>-1.497468328483039</v>
      </c>
    </row>
    <row r="2260" spans="6:19" x14ac:dyDescent="0.2">
      <c r="F2260" s="3"/>
      <c r="G2260" s="3"/>
      <c r="H2260" s="3"/>
      <c r="M2260" s="1">
        <f t="shared" si="215"/>
        <v>67.7400000000018</v>
      </c>
      <c r="N2260" s="1">
        <f t="shared" si="216"/>
        <v>0.90438394764355812</v>
      </c>
      <c r="O2260" s="1">
        <f t="shared" si="217"/>
        <v>-0.3424011620868202</v>
      </c>
      <c r="P2260" s="1">
        <f t="shared" si="218"/>
        <v>4.6440091836900992</v>
      </c>
      <c r="R2260" s="3">
        <f t="shared" si="213"/>
        <v>-0.10248978122205765</v>
      </c>
      <c r="S2260" s="3">
        <f t="shared" si="214"/>
        <v>-1.4964945187821621</v>
      </c>
    </row>
    <row r="2261" spans="6:19" x14ac:dyDescent="0.2">
      <c r="F2261" s="3"/>
      <c r="G2261" s="3"/>
      <c r="H2261" s="3"/>
      <c r="M2261" s="1">
        <f t="shared" si="215"/>
        <v>67.770000000001801</v>
      </c>
      <c r="N2261" s="1">
        <f t="shared" si="216"/>
        <v>1.0557139168083904</v>
      </c>
      <c r="O2261" s="1">
        <f t="shared" si="217"/>
        <v>-0.31072974458256847</v>
      </c>
      <c r="P2261" s="1">
        <f t="shared" si="218"/>
        <v>4.6346872913526225</v>
      </c>
      <c r="R2261" s="3">
        <f t="shared" si="213"/>
        <v>-0.11643528694152686</v>
      </c>
      <c r="S2261" s="3">
        <f t="shared" si="214"/>
        <v>-1.4954741134352156</v>
      </c>
    </row>
    <row r="2262" spans="6:19" x14ac:dyDescent="0.2">
      <c r="F2262" s="3"/>
      <c r="G2262" s="3"/>
      <c r="H2262" s="3"/>
      <c r="M2262" s="1">
        <f t="shared" si="215"/>
        <v>67.800000000001802</v>
      </c>
      <c r="N2262" s="1">
        <f t="shared" si="216"/>
        <v>1.1923185464276997</v>
      </c>
      <c r="O2262" s="1">
        <f t="shared" si="217"/>
        <v>-0.2749601881897375</v>
      </c>
      <c r="P2262" s="1">
        <f t="shared" si="218"/>
        <v>4.6264384857069301</v>
      </c>
      <c r="R2262" s="3">
        <f t="shared" si="213"/>
        <v>-0.1287670610886282</v>
      </c>
      <c r="S2262" s="3">
        <f t="shared" si="214"/>
        <v>-1.4944627944444109</v>
      </c>
    </row>
    <row r="2263" spans="6:19" x14ac:dyDescent="0.2">
      <c r="F2263" s="3"/>
      <c r="G2263" s="3"/>
      <c r="H2263" s="3"/>
      <c r="M2263" s="1">
        <f t="shared" si="215"/>
        <v>67.830000000001803</v>
      </c>
      <c r="N2263" s="1">
        <f t="shared" si="216"/>
        <v>1.3124170278233582</v>
      </c>
      <c r="O2263" s="1">
        <f t="shared" si="217"/>
        <v>-0.23558767735503675</v>
      </c>
      <c r="P2263" s="1">
        <f t="shared" si="218"/>
        <v>4.6193708553862791</v>
      </c>
      <c r="R2263" s="3">
        <f t="shared" si="213"/>
        <v>-0.13932606768025663</v>
      </c>
      <c r="S2263" s="3">
        <f t="shared" si="214"/>
        <v>-1.4935153989379408</v>
      </c>
    </row>
    <row r="2264" spans="6:19" x14ac:dyDescent="0.2">
      <c r="F2264" s="3"/>
      <c r="G2264" s="3"/>
      <c r="H2264" s="3"/>
      <c r="M2264" s="1">
        <f t="shared" si="215"/>
        <v>67.860000000001804</v>
      </c>
      <c r="N2264" s="1">
        <f t="shared" si="216"/>
        <v>1.4144635677645194</v>
      </c>
      <c r="O2264" s="1">
        <f t="shared" si="217"/>
        <v>-0.19315377032210118</v>
      </c>
      <c r="P2264" s="1">
        <f t="shared" si="218"/>
        <v>4.6135762422766158</v>
      </c>
      <c r="R2264" s="3">
        <f t="shared" si="213"/>
        <v>-0.14797802405174029</v>
      </c>
      <c r="S2264" s="3">
        <f t="shared" si="214"/>
        <v>-1.4926829885805435</v>
      </c>
    </row>
    <row r="2265" spans="6:19" x14ac:dyDescent="0.2">
      <c r="F2265" s="3"/>
      <c r="G2265" s="3"/>
      <c r="H2265" s="3"/>
      <c r="M2265" s="1">
        <f t="shared" si="215"/>
        <v>67.890000000001805</v>
      </c>
      <c r="N2265" s="1">
        <f t="shared" si="216"/>
        <v>1.4971640798463921</v>
      </c>
      <c r="O2265" s="1">
        <f t="shared" si="217"/>
        <v>-0.14823884792670941</v>
      </c>
      <c r="P2265" s="1">
        <f t="shared" si="218"/>
        <v>4.6091290768388147</v>
      </c>
      <c r="R2265" s="3">
        <f t="shared" si="213"/>
        <v>-0.15461474706819214</v>
      </c>
      <c r="S2265" s="3">
        <f t="shared" si="214"/>
        <v>-1.4920101474149023</v>
      </c>
    </row>
    <row r="2266" spans="6:19" x14ac:dyDescent="0.2">
      <c r="F2266" s="3"/>
      <c r="G2266" s="3"/>
      <c r="H2266" s="3"/>
      <c r="M2266" s="1">
        <f t="shared" si="215"/>
        <v>67.920000000001806</v>
      </c>
      <c r="N2266" s="1">
        <f t="shared" si="216"/>
        <v>1.5594889669953251</v>
      </c>
      <c r="O2266" s="1">
        <f t="shared" si="217"/>
        <v>-0.10145417891684966</v>
      </c>
      <c r="P2266" s="1">
        <f t="shared" si="218"/>
        <v>4.6060854514713094</v>
      </c>
      <c r="R2266" s="3">
        <f t="shared" si="213"/>
        <v>-0.15915514384190055</v>
      </c>
      <c r="S2266" s="3">
        <f t="shared" si="214"/>
        <v>-1.4915326480465201</v>
      </c>
    </row>
    <row r="2267" spans="6:19" x14ac:dyDescent="0.2">
      <c r="F2267" s="3"/>
      <c r="G2267" s="3"/>
      <c r="H2267" s="3"/>
      <c r="M2267" s="1">
        <f t="shared" si="215"/>
        <v>67.950000000001808</v>
      </c>
      <c r="N2267" s="1">
        <f t="shared" si="216"/>
        <v>1.6006823145215219</v>
      </c>
      <c r="O2267" s="1">
        <f t="shared" si="217"/>
        <v>-5.3433709481204003E-2</v>
      </c>
      <c r="P2267" s="1">
        <f t="shared" si="218"/>
        <v>4.6044824401868736</v>
      </c>
      <c r="R2267" s="3">
        <f t="shared" si="213"/>
        <v>-0.1615458819977641</v>
      </c>
      <c r="S2267" s="3">
        <f t="shared" si="214"/>
        <v>-1.4912756043098019</v>
      </c>
    </row>
    <row r="2268" spans="6:19" x14ac:dyDescent="0.2">
      <c r="F2268" s="3"/>
      <c r="G2268" s="3"/>
      <c r="H2268" s="3"/>
      <c r="M2268" s="1">
        <f t="shared" si="215"/>
        <v>67.980000000001809</v>
      </c>
      <c r="N2268" s="1">
        <f t="shared" si="216"/>
        <v>1.6202678538309494</v>
      </c>
      <c r="O2268" s="1">
        <f t="shared" si="217"/>
        <v>-4.8256738662755261E-3</v>
      </c>
      <c r="P2268" s="1">
        <f t="shared" si="218"/>
        <v>4.6043376699708851</v>
      </c>
      <c r="R2268" s="3">
        <f t="shared" si="213"/>
        <v>-0.16176177259547136</v>
      </c>
      <c r="S2268" s="3">
        <f t="shared" si="214"/>
        <v>-1.4912522016502678</v>
      </c>
    </row>
    <row r="2269" spans="6:19" x14ac:dyDescent="0.2">
      <c r="F2269" s="3"/>
      <c r="G2269" s="3"/>
      <c r="H2269" s="3"/>
      <c r="M2269" s="1">
        <f t="shared" si="215"/>
        <v>68.01000000000181</v>
      </c>
      <c r="N2269" s="1">
        <f t="shared" si="216"/>
        <v>1.6180520366026785</v>
      </c>
      <c r="O2269" s="1">
        <f t="shared" si="217"/>
        <v>4.3715887231804827E-2</v>
      </c>
      <c r="P2269" s="1">
        <f t="shared" si="218"/>
        <v>4.6056491465878393</v>
      </c>
      <c r="R2269" s="3">
        <f t="shared" si="213"/>
        <v>-0.15980589165090997</v>
      </c>
      <c r="S2269" s="3">
        <f t="shared" si="214"/>
        <v>-1.491463065916705</v>
      </c>
    </row>
    <row r="2270" spans="6:19" x14ac:dyDescent="0.2">
      <c r="F2270" s="3"/>
      <c r="G2270" s="3"/>
      <c r="H2270" s="3"/>
      <c r="M2270" s="1">
        <f t="shared" si="215"/>
        <v>68.040000000001811</v>
      </c>
      <c r="N2270" s="1">
        <f t="shared" si="216"/>
        <v>1.5941244866582376</v>
      </c>
      <c r="O2270" s="1">
        <f t="shared" si="217"/>
        <v>9.1539621831551954E-2</v>
      </c>
      <c r="P2270" s="1">
        <f t="shared" si="218"/>
        <v>4.6083953352427862</v>
      </c>
      <c r="R2270" s="3">
        <f t="shared" si="213"/>
        <v>-0.15570945525632662</v>
      </c>
      <c r="S2270" s="3">
        <f t="shared" si="214"/>
        <v>-1.4918962985220448</v>
      </c>
    </row>
    <row r="2271" spans="6:19" x14ac:dyDescent="0.2">
      <c r="F2271" s="3"/>
      <c r="G2271" s="3"/>
      <c r="H2271" s="3"/>
      <c r="M2271" s="1">
        <f t="shared" si="215"/>
        <v>68.070000000001812</v>
      </c>
      <c r="N2271" s="1">
        <f t="shared" si="216"/>
        <v>1.5488559865984266</v>
      </c>
      <c r="O2271" s="1">
        <f t="shared" si="217"/>
        <v>0.13800530142950473</v>
      </c>
      <c r="P2271" s="1">
        <f t="shared" si="218"/>
        <v>4.6125354942856713</v>
      </c>
      <c r="R2271" s="3">
        <f t="shared" si="213"/>
        <v>-0.14953145045111074</v>
      </c>
      <c r="S2271" s="3">
        <f t="shared" si="214"/>
        <v>-1.4925281723726314</v>
      </c>
    </row>
    <row r="2272" spans="6:19" x14ac:dyDescent="0.2">
      <c r="F2272" s="3"/>
      <c r="G2272" s="3"/>
      <c r="H2272" s="3"/>
      <c r="M2272" s="1">
        <f t="shared" si="215"/>
        <v>68.100000000001813</v>
      </c>
      <c r="N2272" s="1">
        <f t="shared" si="216"/>
        <v>1.4828940273824522</v>
      </c>
      <c r="O2272" s="1">
        <f t="shared" si="217"/>
        <v>0.1824921222509783</v>
      </c>
      <c r="P2272" s="1">
        <f t="shared" si="218"/>
        <v>4.618010257953201</v>
      </c>
      <c r="R2272" s="3">
        <f t="shared" si="213"/>
        <v>-0.14135801130938735</v>
      </c>
      <c r="S2272" s="3">
        <f t="shared" si="214"/>
        <v>-1.4933244498897937</v>
      </c>
    </row>
    <row r="2273" spans="6:19" x14ac:dyDescent="0.2">
      <c r="F2273" s="3"/>
      <c r="G2273" s="3"/>
      <c r="H2273" s="3"/>
      <c r="M2273" s="1">
        <f t="shared" si="215"/>
        <v>68.130000000001814</v>
      </c>
      <c r="N2273" s="1">
        <f t="shared" si="216"/>
        <v>1.3971558220912856</v>
      </c>
      <c r="O2273" s="1">
        <f t="shared" si="217"/>
        <v>0.22440679691371687</v>
      </c>
      <c r="P2273" s="1">
        <f t="shared" si="218"/>
        <v>4.6247424618606123</v>
      </c>
      <c r="R2273" s="3">
        <f t="shared" si="213"/>
        <v>-0.13130151921131039</v>
      </c>
      <c r="S2273" s="3">
        <f t="shared" si="214"/>
        <v>-1.494242253134612</v>
      </c>
    </row>
    <row r="2274" spans="6:19" x14ac:dyDescent="0.2">
      <c r="F2274" s="3"/>
      <c r="G2274" s="3"/>
      <c r="H2274" s="3"/>
      <c r="M2274" s="1">
        <f t="shared" si="215"/>
        <v>68.160000000001816</v>
      </c>
      <c r="N2274" s="1">
        <f t="shared" si="216"/>
        <v>1.2928185803908694</v>
      </c>
      <c r="O2274" s="1">
        <f t="shared" si="217"/>
        <v>0.26319135432544294</v>
      </c>
      <c r="P2274" s="1">
        <f t="shared" si="218"/>
        <v>4.6326382024903756</v>
      </c>
      <c r="R2274" s="3">
        <f t="shared" si="213"/>
        <v>-0.11949939970459714</v>
      </c>
      <c r="S2274" s="3">
        <f t="shared" si="214"/>
        <v>-1.4952323877813245</v>
      </c>
    </row>
    <row r="2275" spans="6:19" x14ac:dyDescent="0.2">
      <c r="F2275" s="3"/>
      <c r="G2275" s="3"/>
      <c r="H2275" s="3"/>
      <c r="M2275" s="1">
        <f t="shared" si="215"/>
        <v>68.190000000001817</v>
      </c>
      <c r="N2275" s="1">
        <f t="shared" si="216"/>
        <v>1.1713067751566815</v>
      </c>
      <c r="O2275" s="1">
        <f t="shared" si="217"/>
        <v>0.29833055758014337</v>
      </c>
      <c r="P2275" s="1">
        <f t="shared" si="218"/>
        <v>4.6415881192177801</v>
      </c>
      <c r="R2275" s="3">
        <f t="shared" si="213"/>
        <v>-0.10611258702048924</v>
      </c>
      <c r="S2275" s="3">
        <f t="shared" si="214"/>
        <v>-1.4962419987675184</v>
      </c>
    </row>
    <row r="2276" spans="6:19" x14ac:dyDescent="0.2">
      <c r="F2276" s="3"/>
      <c r="G2276" s="3"/>
      <c r="H2276" s="3"/>
      <c r="M2276" s="1">
        <f t="shared" si="215"/>
        <v>68.220000000001818</v>
      </c>
      <c r="N2276" s="1">
        <f t="shared" si="216"/>
        <v>1.0342761200226795</v>
      </c>
      <c r="O2276" s="1">
        <f t="shared" si="217"/>
        <v>0.32935884118082376</v>
      </c>
      <c r="P2276" s="1">
        <f t="shared" si="218"/>
        <v>4.6514688844532053</v>
      </c>
      <c r="R2276" s="3">
        <f t="shared" si="213"/>
        <v>-9.132363183509716E-2</v>
      </c>
      <c r="S2276" s="3">
        <f t="shared" si="214"/>
        <v>-1.4972174171670751</v>
      </c>
    </row>
    <row r="2277" spans="6:19" x14ac:dyDescent="0.2">
      <c r="F2277" s="3"/>
      <c r="G2277" s="3"/>
      <c r="H2277" s="3"/>
      <c r="M2277" s="1">
        <f t="shared" si="215"/>
        <v>68.250000000001819</v>
      </c>
      <c r="N2277" s="1">
        <f t="shared" si="216"/>
        <v>0.88359402264469744</v>
      </c>
      <c r="O2277" s="1">
        <f t="shared" si="217"/>
        <v>0.35586666186016469</v>
      </c>
      <c r="P2277" s="1">
        <f t="shared" si="218"/>
        <v>4.6621448843090105</v>
      </c>
      <c r="R2277" s="3">
        <f t="shared" si="213"/>
        <v>-7.5334438197677572E-2</v>
      </c>
      <c r="S2277" s="3">
        <f t="shared" si="214"/>
        <v>-1.4981070463826811</v>
      </c>
    </row>
    <row r="2278" spans="6:19" x14ac:dyDescent="0.2">
      <c r="F2278" s="3"/>
      <c r="G2278" s="3"/>
      <c r="H2278" s="3"/>
      <c r="M2278" s="1">
        <f t="shared" si="215"/>
        <v>68.28000000000182</v>
      </c>
      <c r="N2278" s="1">
        <f t="shared" si="216"/>
        <v>0.72131638240936091</v>
      </c>
      <c r="O2278" s="1">
        <f t="shared" si="217"/>
        <v>0.37750615333244553</v>
      </c>
      <c r="P2278" s="1">
        <f t="shared" si="218"/>
        <v>4.6734700689089843</v>
      </c>
      <c r="R2278" s="3">
        <f t="shared" si="213"/>
        <v>-5.8363630889183053E-2</v>
      </c>
      <c r="S2278" s="3">
        <f t="shared" si="214"/>
        <v>-1.4988641321312053</v>
      </c>
    </row>
    <row r="2279" spans="6:19" x14ac:dyDescent="0.2">
      <c r="F2279" s="3"/>
      <c r="G2279" s="3"/>
      <c r="H2279" s="3"/>
      <c r="M2279" s="1">
        <f t="shared" si="215"/>
        <v>68.310000000001821</v>
      </c>
      <c r="N2279" s="1">
        <f t="shared" si="216"/>
        <v>0.54966075509191037</v>
      </c>
      <c r="O2279" s="1">
        <f t="shared" si="217"/>
        <v>0.39399597598520286</v>
      </c>
      <c r="P2279" s="1">
        <f t="shared" si="218"/>
        <v>4.6852899481885402</v>
      </c>
      <c r="R2279" s="3">
        <f t="shared" si="213"/>
        <v>-4.0643573382200843E-2</v>
      </c>
      <c r="S2279" s="3">
        <f t="shared" si="214"/>
        <v>-1.4994492655447618</v>
      </c>
    </row>
    <row r="2280" spans="6:19" x14ac:dyDescent="0.2">
      <c r="F2280" s="3"/>
      <c r="G2280" s="3"/>
      <c r="H2280" s="3"/>
      <c r="M2280" s="1">
        <f t="shared" si="215"/>
        <v>68.340000000001822</v>
      </c>
      <c r="N2280" s="1">
        <f t="shared" si="216"/>
        <v>0.37097609598334019</v>
      </c>
      <c r="O2280" s="1">
        <f t="shared" si="217"/>
        <v>0.40512525886470308</v>
      </c>
      <c r="P2280" s="1">
        <f t="shared" si="218"/>
        <v>4.6974437059544814</v>
      </c>
      <c r="R2280" s="3">
        <f t="shared" si="213"/>
        <v>-2.2417077105921387E-2</v>
      </c>
      <c r="S2280" s="3">
        <f t="shared" si="214"/>
        <v>-1.4998324821972711</v>
      </c>
    </row>
    <row r="2281" spans="6:19" x14ac:dyDescent="0.2">
      <c r="F2281" s="3"/>
      <c r="G2281" s="3"/>
      <c r="H2281" s="3"/>
      <c r="M2281" s="1">
        <f t="shared" si="215"/>
        <v>68.370000000001824</v>
      </c>
      <c r="N2281" s="1">
        <f t="shared" si="216"/>
        <v>0.18770949776139059</v>
      </c>
      <c r="O2281" s="1">
        <f t="shared" si="217"/>
        <v>0.41075654379754478</v>
      </c>
      <c r="P2281" s="1">
        <f t="shared" si="218"/>
        <v>4.709766402268408</v>
      </c>
      <c r="R2281" s="3">
        <f t="shared" si="213"/>
        <v>-3.9338626649563016E-3</v>
      </c>
      <c r="S2281" s="3">
        <f t="shared" si="214"/>
        <v>-1.4999948415659745</v>
      </c>
    </row>
    <row r="2282" spans="6:19" x14ac:dyDescent="0.2">
      <c r="F2282" s="3"/>
      <c r="G2282" s="3"/>
      <c r="H2282" s="3"/>
      <c r="M2282" s="1">
        <f t="shared" si="215"/>
        <v>68.400000000001825</v>
      </c>
      <c r="N2282" s="1">
        <f t="shared" si="216"/>
        <v>2.3705377077839901E-3</v>
      </c>
      <c r="O2282" s="1">
        <f t="shared" si="217"/>
        <v>0.41082765992877829</v>
      </c>
      <c r="P2282" s="1">
        <f t="shared" si="218"/>
        <v>4.7220912320662718</v>
      </c>
      <c r="R2282" s="3">
        <f t="shared" si="213"/>
        <v>1.4553149196265137E-2</v>
      </c>
      <c r="S2282" s="3">
        <f t="shared" si="214"/>
        <v>-1.4999294002880506</v>
      </c>
    </row>
    <row r="2283" spans="6:19" x14ac:dyDescent="0.2">
      <c r="F2283" s="3"/>
      <c r="G2283" s="3"/>
      <c r="H2283" s="3"/>
      <c r="M2283" s="1">
        <f t="shared" si="215"/>
        <v>68.430000000001826</v>
      </c>
      <c r="N2283" s="1">
        <f t="shared" si="216"/>
        <v>-0.18250598135624141</v>
      </c>
      <c r="O2283" s="1">
        <f t="shared" si="217"/>
        <v>0.40535248048809103</v>
      </c>
      <c r="P2283" s="1">
        <f t="shared" si="218"/>
        <v>4.7342518064809145</v>
      </c>
      <c r="R2283" s="3">
        <f t="shared" si="213"/>
        <v>3.2791626691070296E-2</v>
      </c>
      <c r="S2283" s="3">
        <f t="shared" si="214"/>
        <v>-1.4996415269053314</v>
      </c>
    </row>
    <row r="2284" spans="6:19" x14ac:dyDescent="0.2">
      <c r="F2284" s="3"/>
      <c r="G2284" s="3"/>
      <c r="H2284" s="3"/>
      <c r="M2284" s="1">
        <f t="shared" si="215"/>
        <v>68.460000000001827</v>
      </c>
      <c r="N2284" s="1">
        <f t="shared" si="216"/>
        <v>-0.36439799015463109</v>
      </c>
      <c r="O2284" s="1">
        <f t="shared" si="217"/>
        <v>0.39442054078345212</v>
      </c>
      <c r="P2284" s="1">
        <f t="shared" si="218"/>
        <v>4.7460844227044179</v>
      </c>
      <c r="R2284" s="3">
        <f t="shared" si="213"/>
        <v>5.0533599715843772E-2</v>
      </c>
      <c r="S2284" s="3">
        <f t="shared" si="214"/>
        <v>-1.4991485434404954</v>
      </c>
    </row>
    <row r="2285" spans="6:19" x14ac:dyDescent="0.2">
      <c r="F2285" s="3"/>
      <c r="G2285" s="3"/>
      <c r="H2285" s="3"/>
      <c r="M2285" s="1">
        <f t="shared" si="215"/>
        <v>68.490000000001828</v>
      </c>
      <c r="N2285" s="1">
        <f t="shared" si="216"/>
        <v>-0.54083384582894845</v>
      </c>
      <c r="O2285" s="1">
        <f t="shared" si="217"/>
        <v>0.3781955254085837</v>
      </c>
      <c r="P2285" s="1">
        <f t="shared" si="218"/>
        <v>4.7574302884666757</v>
      </c>
      <c r="R2285" s="3">
        <f t="shared" si="213"/>
        <v>6.753912039581797E-2</v>
      </c>
      <c r="S2285" s="3">
        <f t="shared" si="214"/>
        <v>-1.4984787176387122</v>
      </c>
    </row>
    <row r="2286" spans="6:19" x14ac:dyDescent="0.2">
      <c r="F2286" s="3"/>
      <c r="G2286" s="3"/>
      <c r="H2286" s="3"/>
      <c r="M2286" s="1">
        <f t="shared" si="215"/>
        <v>68.520000000001829</v>
      </c>
      <c r="N2286" s="1">
        <f t="shared" si="216"/>
        <v>-0.70942880124495222</v>
      </c>
      <c r="O2286" s="1">
        <f t="shared" si="217"/>
        <v>0.35691266137123512</v>
      </c>
      <c r="P2286" s="1">
        <f t="shared" si="218"/>
        <v>4.7681376683078129</v>
      </c>
      <c r="R2286" s="3">
        <f t="shared" si="213"/>
        <v>8.3579723052590482E-2</v>
      </c>
      <c r="S2286" s="3">
        <f t="shared" si="214"/>
        <v>-1.497669666480046</v>
      </c>
    </row>
    <row r="2287" spans="6:19" x14ac:dyDescent="0.2">
      <c r="F2287" s="3"/>
      <c r="G2287" s="3"/>
      <c r="H2287" s="3"/>
      <c r="M2287" s="1">
        <f t="shared" si="215"/>
        <v>68.55000000000183</v>
      </c>
      <c r="N2287" s="1">
        <f t="shared" si="216"/>
        <v>-0.86791937004931596</v>
      </c>
      <c r="O2287" s="1">
        <f t="shared" si="217"/>
        <v>0.33087508026975565</v>
      </c>
      <c r="P2287" s="1">
        <f t="shared" si="218"/>
        <v>4.7780639207159057</v>
      </c>
      <c r="R2287" s="3">
        <f t="shared" si="213"/>
        <v>9.8441608515863296E-2</v>
      </c>
      <c r="S2287" s="3">
        <f t="shared" si="214"/>
        <v>-1.4967662642219088</v>
      </c>
    </row>
    <row r="2288" spans="6:19" x14ac:dyDescent="0.2">
      <c r="F2288" s="3"/>
      <c r="G2288" s="3"/>
      <c r="H2288" s="3"/>
      <c r="M2288" s="1">
        <f t="shared" si="215"/>
        <v>68.580000000001831</v>
      </c>
      <c r="N2288" s="1">
        <f t="shared" si="216"/>
        <v>-1.014194842382911</v>
      </c>
      <c r="O2288" s="1">
        <f t="shared" si="217"/>
        <v>0.30044923499826831</v>
      </c>
      <c r="P2288" s="1">
        <f t="shared" si="218"/>
        <v>4.7870773977658541</v>
      </c>
      <c r="R2288" s="3">
        <f t="shared" si="213"/>
        <v>0.11192849540568142</v>
      </c>
      <c r="S2288" s="3">
        <f t="shared" si="214"/>
        <v>-1.4958181747512698</v>
      </c>
    </row>
    <row r="2289" spans="6:19" x14ac:dyDescent="0.2">
      <c r="F2289" s="3"/>
      <c r="G2289" s="3"/>
      <c r="H2289" s="3"/>
      <c r="M2289" s="1">
        <f t="shared" si="215"/>
        <v>68.610000000001833</v>
      </c>
      <c r="N2289" s="1">
        <f t="shared" si="216"/>
        <v>-1.1463253852066584</v>
      </c>
      <c r="O2289" s="1">
        <f t="shared" si="217"/>
        <v>0.26605947344206854</v>
      </c>
      <c r="P2289" s="1">
        <f t="shared" si="218"/>
        <v>4.7950591819691164</v>
      </c>
      <c r="R2289" s="3">
        <f t="shared" si="213"/>
        <v>0.12386410111049358</v>
      </c>
      <c r="S2289" s="3">
        <f t="shared" si="214"/>
        <v>-1.4948771469442195</v>
      </c>
    </row>
    <row r="2290" spans="6:19" x14ac:dyDescent="0.2">
      <c r="F2290" s="3"/>
      <c r="G2290" s="3"/>
      <c r="H2290" s="3"/>
      <c r="M2290" s="1">
        <f t="shared" si="215"/>
        <v>68.640000000001834</v>
      </c>
      <c r="N2290" s="1">
        <f t="shared" si="216"/>
        <v>-1.2625863637147219</v>
      </c>
      <c r="O2290" s="1">
        <f t="shared" si="217"/>
        <v>0.22818188253062688</v>
      </c>
      <c r="P2290" s="1">
        <f t="shared" si="218"/>
        <v>4.801904638445035</v>
      </c>
      <c r="R2290" s="3">
        <f t="shared" si="213"/>
        <v>0.13409423549427751</v>
      </c>
      <c r="S2290" s="3">
        <f t="shared" si="214"/>
        <v>-1.4939942222134612</v>
      </c>
    </row>
    <row r="2291" spans="6:19" x14ac:dyDescent="0.2">
      <c r="F2291" s="3"/>
      <c r="G2291" s="3"/>
      <c r="H2291" s="3"/>
      <c r="M2291" s="1">
        <f t="shared" si="215"/>
        <v>68.670000000001835</v>
      </c>
      <c r="N2291" s="1">
        <f t="shared" si="216"/>
        <v>-1.3614787243705317</v>
      </c>
      <c r="O2291" s="1">
        <f t="shared" si="217"/>
        <v>0.18733752079951094</v>
      </c>
      <c r="P2291" s="1">
        <f t="shared" si="218"/>
        <v>4.8075247640690204</v>
      </c>
      <c r="R2291" s="3">
        <f t="shared" si="213"/>
        <v>0.14248850877124053</v>
      </c>
      <c r="S2291" s="3">
        <f t="shared" si="214"/>
        <v>-1.4932170052836085</v>
      </c>
    </row>
    <row r="2292" spans="6:19" x14ac:dyDescent="0.2">
      <c r="F2292" s="3"/>
      <c r="G2292" s="3"/>
      <c r="H2292" s="3"/>
      <c r="M2292" s="1">
        <f t="shared" si="215"/>
        <v>68.700000000001836</v>
      </c>
      <c r="N2292" s="1">
        <f t="shared" si="216"/>
        <v>-1.4417454645843615</v>
      </c>
      <c r="O2292" s="1">
        <f t="shared" si="217"/>
        <v>0.14408515686198009</v>
      </c>
      <c r="P2292" s="1">
        <f t="shared" si="218"/>
        <v>4.8118473187748796</v>
      </c>
      <c r="R2292" s="3">
        <f t="shared" si="213"/>
        <v>0.14894166970473505</v>
      </c>
      <c r="S2292" s="3">
        <f t="shared" si="214"/>
        <v>-1.4925871428581869</v>
      </c>
    </row>
    <row r="2293" spans="6:19" x14ac:dyDescent="0.2">
      <c r="F2293" s="3"/>
      <c r="G2293" s="3"/>
      <c r="H2293" s="3"/>
      <c r="M2293" s="1">
        <f t="shared" si="215"/>
        <v>68.730000000001837</v>
      </c>
      <c r="N2293" s="1">
        <f t="shared" si="216"/>
        <v>-1.5023843611649286</v>
      </c>
      <c r="O2293" s="1">
        <f t="shared" si="217"/>
        <v>9.9013626027032231E-2</v>
      </c>
      <c r="P2293" s="1">
        <f t="shared" si="218"/>
        <v>4.8148177275556909</v>
      </c>
      <c r="R2293" s="3">
        <f t="shared" si="213"/>
        <v>0.15337460006002404</v>
      </c>
      <c r="S2293" s="3">
        <f t="shared" si="214"/>
        <v>-1.4921381410769003</v>
      </c>
    </row>
    <row r="2294" spans="6:19" x14ac:dyDescent="0.2">
      <c r="F2294" s="3"/>
      <c r="G2294" s="3"/>
      <c r="H2294" s="3"/>
      <c r="M2294" s="1">
        <f t="shared" si="215"/>
        <v>68.760000000001838</v>
      </c>
      <c r="N2294" s="1">
        <f t="shared" si="216"/>
        <v>-1.5426572269426733</v>
      </c>
      <c r="O2294" s="1">
        <f t="shared" si="217"/>
        <v>5.2733909218752033E-2</v>
      </c>
      <c r="P2294" s="1">
        <f t="shared" si="218"/>
        <v>4.8163997448322533</v>
      </c>
      <c r="R2294" s="3">
        <f t="shared" si="213"/>
        <v>0.15573499546225558</v>
      </c>
      <c r="S2294" s="3">
        <f t="shared" si="214"/>
        <v>-1.4918936326656707</v>
      </c>
    </row>
    <row r="2295" spans="6:19" x14ac:dyDescent="0.2">
      <c r="F2295" s="3"/>
      <c r="G2295" s="3"/>
      <c r="H2295" s="3"/>
      <c r="M2295" s="1">
        <f t="shared" si="215"/>
        <v>68.790000000001839</v>
      </c>
      <c r="N2295" s="1">
        <f t="shared" si="216"/>
        <v>-1.5620960064522436</v>
      </c>
      <c r="O2295" s="1">
        <f t="shared" si="217"/>
        <v>5.8710290251847291E-3</v>
      </c>
      <c r="P2295" s="1">
        <f t="shared" si="218"/>
        <v>4.816575875703009</v>
      </c>
      <c r="R2295" s="3">
        <f t="shared" si="213"/>
        <v>0.15599776156988129</v>
      </c>
      <c r="S2295" s="3">
        <f t="shared" si="214"/>
        <v>-1.4918661797846302</v>
      </c>
    </row>
    <row r="2296" spans="6:19" x14ac:dyDescent="0.2">
      <c r="F2296" s="3"/>
      <c r="G2296" s="3"/>
      <c r="H2296" s="3"/>
      <c r="M2296" s="1">
        <f t="shared" si="215"/>
        <v>68.820000000001841</v>
      </c>
      <c r="N2296" s="1">
        <f t="shared" si="216"/>
        <v>-1.5605060083110796</v>
      </c>
      <c r="O2296" s="1">
        <f t="shared" si="217"/>
        <v>-4.0944151224147657E-2</v>
      </c>
      <c r="P2296" s="1">
        <f t="shared" si="218"/>
        <v>4.8153475511662842</v>
      </c>
      <c r="R2296" s="3">
        <f t="shared" si="213"/>
        <v>0.15416514851332011</v>
      </c>
      <c r="S2296" s="3">
        <f t="shared" si="214"/>
        <v>-1.4920566701649993</v>
      </c>
    </row>
    <row r="2297" spans="6:19" x14ac:dyDescent="0.2">
      <c r="F2297" s="3"/>
      <c r="G2297" s="3"/>
      <c r="H2297" s="3"/>
      <c r="M2297" s="1">
        <f t="shared" si="215"/>
        <v>68.850000000001842</v>
      </c>
      <c r="N2297" s="1">
        <f t="shared" si="216"/>
        <v>-1.5379665115230277</v>
      </c>
      <c r="O2297" s="1">
        <f t="shared" si="217"/>
        <v>-8.7083146569838482E-2</v>
      </c>
      <c r="P2297" s="1">
        <f t="shared" si="218"/>
        <v>4.8127350567691893</v>
      </c>
      <c r="R2297" s="3">
        <f t="shared" si="213"/>
        <v>0.15026663715835265</v>
      </c>
      <c r="S2297" s="3">
        <f t="shared" si="214"/>
        <v>-1.4924543335583571</v>
      </c>
    </row>
    <row r="2298" spans="6:19" x14ac:dyDescent="0.2">
      <c r="F2298" s="3"/>
      <c r="G2298" s="3"/>
      <c r="H2298" s="3"/>
      <c r="M2298" s="1">
        <f t="shared" si="215"/>
        <v>68.880000000001843</v>
      </c>
      <c r="N2298" s="1">
        <f t="shared" si="216"/>
        <v>-1.4948288883922407</v>
      </c>
      <c r="O2298" s="1">
        <f t="shared" si="217"/>
        <v>-0.13192801322160569</v>
      </c>
      <c r="P2298" s="1">
        <f t="shared" si="218"/>
        <v>4.8087772163725413</v>
      </c>
      <c r="R2298" s="3">
        <f t="shared" si="213"/>
        <v>0.14435857960388229</v>
      </c>
      <c r="S2298" s="3">
        <f t="shared" si="214"/>
        <v>-1.4930373741118304</v>
      </c>
    </row>
    <row r="2299" spans="6:19" x14ac:dyDescent="0.2">
      <c r="F2299" s="3"/>
      <c r="G2299" s="3"/>
      <c r="H2299" s="3"/>
      <c r="M2299" s="1">
        <f t="shared" si="215"/>
        <v>68.910000000001844</v>
      </c>
      <c r="N2299" s="1">
        <f t="shared" si="216"/>
        <v>-1.4317122748488782</v>
      </c>
      <c r="O2299" s="1">
        <f t="shared" si="217"/>
        <v>-0.17487938146707205</v>
      </c>
      <c r="P2299" s="1">
        <f t="shared" si="218"/>
        <v>4.8035308349285293</v>
      </c>
      <c r="R2299" s="3">
        <f t="shared" si="213"/>
        <v>0.13652358526691163</v>
      </c>
      <c r="S2299" s="3">
        <f t="shared" si="214"/>
        <v>-1.4937741832907236</v>
      </c>
    </row>
    <row r="2300" spans="6:19" x14ac:dyDescent="0.2">
      <c r="F2300" s="3"/>
      <c r="G2300" s="3"/>
      <c r="H2300" s="3"/>
      <c r="M2300" s="1">
        <f t="shared" si="215"/>
        <v>68.940000000001845</v>
      </c>
      <c r="N2300" s="1">
        <f t="shared" si="216"/>
        <v>-1.3494967083370797</v>
      </c>
      <c r="O2300" s="1">
        <f t="shared" si="217"/>
        <v>-0.21536428271718444</v>
      </c>
      <c r="P2300" s="1">
        <f t="shared" si="218"/>
        <v>4.7970699064470139</v>
      </c>
      <c r="R2300" s="3">
        <f t="shared" si="213"/>
        <v>0.12686963476390242</v>
      </c>
      <c r="S2300" s="3">
        <f t="shared" si="214"/>
        <v>-1.4946250686292111</v>
      </c>
    </row>
    <row r="2301" spans="6:19" x14ac:dyDescent="0.2">
      <c r="F2301" s="3"/>
      <c r="G2301" s="3"/>
      <c r="H2301" s="3"/>
      <c r="M2301" s="1">
        <f t="shared" si="215"/>
        <v>68.970000000001846</v>
      </c>
      <c r="N2301" s="1">
        <f t="shared" si="216"/>
        <v>-1.2493135621944778</v>
      </c>
      <c r="O2301" s="1">
        <f t="shared" si="217"/>
        <v>-0.25284368958301878</v>
      </c>
      <c r="P2301" s="1">
        <f t="shared" si="218"/>
        <v>4.7894845957595233</v>
      </c>
      <c r="R2301" s="3">
        <f t="shared" si="213"/>
        <v>0.11552889814697576</v>
      </c>
      <c r="S2301" s="3">
        <f t="shared" si="214"/>
        <v>-1.4955444071283694</v>
      </c>
    </row>
    <row r="2302" spans="6:19" x14ac:dyDescent="0.2">
      <c r="F2302" s="3"/>
      <c r="G2302" s="3"/>
      <c r="H2302" s="3"/>
      <c r="M2302" s="1">
        <f t="shared" si="215"/>
        <v>69.000000000001847</v>
      </c>
      <c r="N2302" s="1">
        <f t="shared" si="216"/>
        <v>-1.1325330494072858</v>
      </c>
      <c r="O2302" s="1">
        <f t="shared" si="217"/>
        <v>-0.28681968106523736</v>
      </c>
      <c r="P2302" s="1">
        <f t="shared" si="218"/>
        <v>4.7808800053275666</v>
      </c>
      <c r="R2302" s="3">
        <f t="shared" si="213"/>
        <v>0.10265623305162072</v>
      </c>
      <c r="S2302" s="3">
        <f t="shared" si="214"/>
        <v>-1.496483109766245</v>
      </c>
    </row>
    <row r="2303" spans="6:19" x14ac:dyDescent="0.2">
      <c r="F2303" s="3"/>
      <c r="G2303" s="3"/>
      <c r="H2303" s="3"/>
      <c r="M2303" s="1">
        <f t="shared" si="215"/>
        <v>69.030000000001849</v>
      </c>
      <c r="N2303" s="1">
        <f t="shared" si="216"/>
        <v>-1.0007485592203358</v>
      </c>
      <c r="O2303" s="1">
        <f t="shared" si="217"/>
        <v>-0.31684213784184745</v>
      </c>
      <c r="P2303" s="1">
        <f t="shared" si="218"/>
        <v>4.7713747411923109</v>
      </c>
      <c r="R2303" s="3">
        <f t="shared" si="213"/>
        <v>8.8427342552467564E-2</v>
      </c>
      <c r="S2303" s="3">
        <f t="shared" si="214"/>
        <v>-1.4973912665329354</v>
      </c>
    </row>
    <row r="2304" spans="6:19" x14ac:dyDescent="0.2">
      <c r="F2304" s="3"/>
      <c r="G2304" s="3"/>
      <c r="H2304" s="3"/>
      <c r="M2304" s="1">
        <f t="shared" si="215"/>
        <v>69.06000000000185</v>
      </c>
      <c r="N2304" s="1">
        <f t="shared" si="216"/>
        <v>-0.85575763311890929</v>
      </c>
      <c r="O2304" s="1">
        <f t="shared" si="217"/>
        <v>-0.34251486683541471</v>
      </c>
      <c r="P2304" s="1">
        <f t="shared" si="218"/>
        <v>4.7610992951872486</v>
      </c>
      <c r="R2304" s="3">
        <f t="shared" si="213"/>
        <v>7.3036581954166416E-2</v>
      </c>
      <c r="S2304" s="3">
        <f t="shared" si="214"/>
        <v>-1.4982208307510785</v>
      </c>
    </row>
    <row r="2305" spans="6:19" x14ac:dyDescent="0.2">
      <c r="F2305" s="3"/>
      <c r="G2305" s="3"/>
      <c r="H2305" s="3"/>
      <c r="M2305" s="1">
        <f t="shared" si="215"/>
        <v>69.090000000001851</v>
      </c>
      <c r="N2305" s="1">
        <f t="shared" si="216"/>
        <v>-0.69953948152647694</v>
      </c>
      <c r="O2305" s="1">
        <f t="shared" si="217"/>
        <v>-0.36350105128120902</v>
      </c>
      <c r="P2305" s="1">
        <f t="shared" si="218"/>
        <v>4.7501942636488126</v>
      </c>
      <c r="R2305" s="3">
        <f t="shared" si="213"/>
        <v>5.6694417660978193E-2</v>
      </c>
      <c r="S2305" s="3">
        <f t="shared" si="214"/>
        <v>-1.4989281980822438</v>
      </c>
    </row>
    <row r="2306" spans="6:19" x14ac:dyDescent="0.2">
      <c r="F2306" s="3"/>
      <c r="G2306" s="3"/>
      <c r="H2306" s="3"/>
      <c r="M2306" s="1">
        <f t="shared" si="215"/>
        <v>69.120000000001852</v>
      </c>
      <c r="N2306" s="1">
        <f t="shared" si="216"/>
        <v>-0.53422908199447305</v>
      </c>
      <c r="O2306" s="1">
        <f t="shared" si="217"/>
        <v>-0.37952792374104322</v>
      </c>
      <c r="P2306" s="1">
        <f t="shared" si="218"/>
        <v>4.7388084259365817</v>
      </c>
      <c r="R2306" s="3">
        <f t="shared" ref="R2306:R2369" si="219">$B$3*COS(P2306)</f>
        <v>3.962455838065719E-2</v>
      </c>
      <c r="S2306" s="3">
        <f t="shared" ref="S2306:S2369" si="220">$B$3*SIN(P2306)</f>
        <v>-1.4994765401209644</v>
      </c>
    </row>
    <row r="2307" spans="6:19" x14ac:dyDescent="0.2">
      <c r="F2307" s="3"/>
      <c r="G2307" s="3"/>
      <c r="H2307" s="3"/>
      <c r="M2307" s="1">
        <f t="shared" ref="M2307:M2370" si="221">M2306+B$13</f>
        <v>69.150000000001853</v>
      </c>
      <c r="N2307" s="1">
        <f t="shared" ref="N2307:N2370" si="222">-$B$12*$B$3*COS(P2306)-B$10*O2306</f>
        <v>-0.36208807066987797</v>
      </c>
      <c r="O2307" s="1">
        <f t="shared" ref="O2307:O2370" si="223">N2307*$B$13+O2306</f>
        <v>-0.39039056586113957</v>
      </c>
      <c r="P2307" s="1">
        <f t="shared" ref="P2307:P2370" si="224">O2307*$B$13+P2306</f>
        <v>4.7270967089607474</v>
      </c>
      <c r="R2307" s="3">
        <f t="shared" si="219"/>
        <v>2.2060797488729394E-2</v>
      </c>
      <c r="S2307" s="3">
        <f t="shared" si="220"/>
        <v>-1.4998377649646515</v>
      </c>
    </row>
    <row r="2308" spans="6:19" x14ac:dyDescent="0.2">
      <c r="F2308" s="3"/>
      <c r="G2308" s="3"/>
      <c r="H2308" s="3"/>
      <c r="M2308" s="1">
        <f t="shared" si="221"/>
        <v>69.180000000001854</v>
      </c>
      <c r="N2308" s="1">
        <f t="shared" si="222"/>
        <v>-0.18547282395979139</v>
      </c>
      <c r="O2308" s="1">
        <f t="shared" si="223"/>
        <v>-0.39595475057993329</v>
      </c>
      <c r="P2308" s="1">
        <f t="shared" si="224"/>
        <v>4.7152180664433496</v>
      </c>
      <c r="R2308" s="3">
        <f t="shared" si="219"/>
        <v>4.2436234271831354E-3</v>
      </c>
      <c r="S2308" s="3">
        <f t="shared" si="220"/>
        <v>-1.4999939972080583</v>
      </c>
    </row>
    <row r="2309" spans="6:19" x14ac:dyDescent="0.2">
      <c r="F2309" s="3"/>
      <c r="G2309" s="3"/>
      <c r="H2309" s="3"/>
      <c r="M2309" s="1">
        <f t="shared" si="221"/>
        <v>69.210000000001855</v>
      </c>
      <c r="N2309" s="1">
        <f t="shared" si="222"/>
        <v>-6.8003067196373557E-3</v>
      </c>
      <c r="O2309" s="1">
        <f t="shared" si="223"/>
        <v>-0.39615875978152243</v>
      </c>
      <c r="P2309" s="1">
        <f t="shared" si="224"/>
        <v>4.7033333036499041</v>
      </c>
      <c r="R2309" s="3">
        <f t="shared" si="219"/>
        <v>-1.3583329449610767E-2</v>
      </c>
      <c r="S2309" s="3">
        <f t="shared" si="220"/>
        <v>-1.4999384964594591</v>
      </c>
    </row>
    <row r="2310" spans="6:19" x14ac:dyDescent="0.2">
      <c r="F2310" s="3"/>
      <c r="G2310" s="3"/>
      <c r="H2310" s="3"/>
      <c r="M2310" s="1">
        <f t="shared" si="221"/>
        <v>69.240000000001857</v>
      </c>
      <c r="N2310" s="1">
        <f t="shared" si="222"/>
        <v>0.17148758287644469</v>
      </c>
      <c r="O2310" s="1">
        <f t="shared" si="223"/>
        <v>-0.39101413229522908</v>
      </c>
      <c r="P2310" s="1">
        <f t="shared" si="224"/>
        <v>4.6916028796810476</v>
      </c>
      <c r="R2310" s="3">
        <f t="shared" si="219"/>
        <v>-3.1176905882997184E-2</v>
      </c>
      <c r="S2310" s="3">
        <f t="shared" si="220"/>
        <v>-1.4996759651803329</v>
      </c>
    </row>
    <row r="2311" spans="6:19" x14ac:dyDescent="0.2">
      <c r="F2311" s="3"/>
      <c r="G2311" s="3"/>
      <c r="H2311" s="3"/>
      <c r="M2311" s="1">
        <f t="shared" si="221"/>
        <v>69.270000000001858</v>
      </c>
      <c r="N2311" s="1">
        <f t="shared" si="222"/>
        <v>0.34696033073654248</v>
      </c>
      <c r="O2311" s="1">
        <f t="shared" si="223"/>
        <v>-0.38060532237313283</v>
      </c>
      <c r="P2311" s="1">
        <f t="shared" si="224"/>
        <v>4.6801847200098532</v>
      </c>
      <c r="R2311" s="3">
        <f t="shared" si="219"/>
        <v>-4.8298041119799448E-2</v>
      </c>
      <c r="S2311" s="3">
        <f t="shared" si="220"/>
        <v>-1.499222231433349</v>
      </c>
    </row>
    <row r="2312" spans="6:19" x14ac:dyDescent="0.2">
      <c r="F2312" s="3"/>
      <c r="G2312" s="3"/>
      <c r="H2312" s="3"/>
      <c r="M2312" s="1">
        <f t="shared" si="221"/>
        <v>69.300000000001859</v>
      </c>
      <c r="N2312" s="1">
        <f t="shared" si="222"/>
        <v>0.51723489021157643</v>
      </c>
      <c r="O2312" s="1">
        <f t="shared" si="223"/>
        <v>-0.36508827566678553</v>
      </c>
      <c r="P2312" s="1">
        <f t="shared" si="224"/>
        <v>4.6692320717398497</v>
      </c>
      <c r="R2312" s="3">
        <f t="shared" si="219"/>
        <v>-6.4715269700521452E-2</v>
      </c>
      <c r="S2312" s="3">
        <f t="shared" si="220"/>
        <v>-1.4986033277247148</v>
      </c>
    </row>
    <row r="2313" spans="6:19" x14ac:dyDescent="0.2">
      <c r="F2313" s="3"/>
      <c r="G2313" s="3"/>
      <c r="H2313" s="3"/>
      <c r="M2313" s="1">
        <f t="shared" si="221"/>
        <v>69.33000000000186</v>
      </c>
      <c r="N2313" s="1">
        <f t="shared" si="222"/>
        <v>0.6800106418152253</v>
      </c>
      <c r="O2313" s="1">
        <f t="shared" si="223"/>
        <v>-0.3446879564123288</v>
      </c>
      <c r="P2313" s="1">
        <f t="shared" si="224"/>
        <v>4.6588914330474802</v>
      </c>
      <c r="R2313" s="3">
        <f t="shared" si="219"/>
        <v>-8.020804915401239E-2</v>
      </c>
      <c r="S2313" s="3">
        <f t="shared" si="220"/>
        <v>-1.4978540212086449</v>
      </c>
    </row>
    <row r="2314" spans="6:19" x14ac:dyDescent="0.2">
      <c r="F2314" s="3"/>
      <c r="G2314" s="3"/>
      <c r="H2314" s="3"/>
      <c r="M2314" s="1">
        <f t="shared" si="221"/>
        <v>69.360000000001861</v>
      </c>
      <c r="N2314" s="1">
        <f t="shared" si="222"/>
        <v>0.83310240761723342</v>
      </c>
      <c r="O2314" s="1">
        <f t="shared" si="223"/>
        <v>-0.31969488418381181</v>
      </c>
      <c r="P2314" s="1">
        <f t="shared" si="224"/>
        <v>4.6493005865219654</v>
      </c>
      <c r="R2314" s="3">
        <f t="shared" si="219"/>
        <v>-9.456982803984304E-2</v>
      </c>
      <c r="S2314" s="3">
        <f t="shared" si="220"/>
        <v>-1.4970158808858756</v>
      </c>
    </row>
    <row r="2315" spans="6:19" x14ac:dyDescent="0.2">
      <c r="F2315" s="3"/>
      <c r="G2315" s="3"/>
      <c r="H2315" s="3"/>
      <c r="M2315" s="1">
        <f t="shared" si="221"/>
        <v>69.390000000001862</v>
      </c>
      <c r="N2315" s="1">
        <f t="shared" si="222"/>
        <v>0.97447081997497331</v>
      </c>
      <c r="O2315" s="1">
        <f t="shared" si="223"/>
        <v>-0.29046075958456263</v>
      </c>
      <c r="P2315" s="1">
        <f t="shared" si="224"/>
        <v>4.6405867637344285</v>
      </c>
      <c r="R2315" s="3">
        <f t="shared" si="219"/>
        <v>-0.10761080369976667</v>
      </c>
      <c r="S2315" s="3">
        <f t="shared" si="220"/>
        <v>-1.496134992213968</v>
      </c>
    </row>
    <row r="2316" spans="6:19" x14ac:dyDescent="0.2">
      <c r="F2316" s="3"/>
      <c r="G2316" s="3"/>
      <c r="H2316" s="3"/>
      <c r="M2316" s="1">
        <f t="shared" si="221"/>
        <v>69.420000000001863</v>
      </c>
      <c r="N2316" s="1">
        <f t="shared" si="222"/>
        <v>1.1022495053602774</v>
      </c>
      <c r="O2316" s="1">
        <f t="shared" si="223"/>
        <v>-0.25739327442375431</v>
      </c>
      <c r="P2316" s="1">
        <f t="shared" si="224"/>
        <v>4.6328649655017156</v>
      </c>
      <c r="R2316" s="3">
        <f t="shared" si="219"/>
        <v>-0.11916033323617969</v>
      </c>
      <c r="S2316" s="3">
        <f t="shared" si="220"/>
        <v>-1.4952594473813039</v>
      </c>
    </row>
    <row r="2317" spans="6:19" x14ac:dyDescent="0.2">
      <c r="F2317" s="3"/>
      <c r="G2317" s="3"/>
      <c r="H2317" s="3"/>
      <c r="M2317" s="1">
        <f t="shared" si="221"/>
        <v>69.450000000001864</v>
      </c>
      <c r="N2317" s="1">
        <f t="shared" si="222"/>
        <v>1.2147687270599348</v>
      </c>
      <c r="O2317" s="1">
        <f t="shared" si="223"/>
        <v>-0.22095021261195627</v>
      </c>
      <c r="P2317" s="1">
        <f t="shared" si="224"/>
        <v>4.6262364591233567</v>
      </c>
      <c r="R2317" s="3">
        <f t="shared" si="219"/>
        <v>-0.12906897967141642</v>
      </c>
      <c r="S2317" s="3">
        <f t="shared" si="220"/>
        <v>-1.4944367495771038</v>
      </c>
    </row>
    <row r="2318" spans="6:19" x14ac:dyDescent="0.2">
      <c r="F2318" s="3"/>
      <c r="G2318" s="3"/>
      <c r="H2318" s="3"/>
      <c r="M2318" s="1">
        <f t="shared" si="221"/>
        <v>69.480000000001866</v>
      </c>
      <c r="N2318" s="1">
        <f t="shared" si="222"/>
        <v>1.3105753158492404</v>
      </c>
      <c r="O2318" s="1">
        <f t="shared" si="223"/>
        <v>-0.18163295313647906</v>
      </c>
      <c r="P2318" s="1">
        <f t="shared" si="224"/>
        <v>4.6207874705292626</v>
      </c>
      <c r="R2318" s="3">
        <f t="shared" si="219"/>
        <v>-0.13721019205783891</v>
      </c>
      <c r="S2318" s="3">
        <f t="shared" si="220"/>
        <v>-1.4937112716972618</v>
      </c>
    </row>
    <row r="2319" spans="6:19" x14ac:dyDescent="0.2">
      <c r="F2319" s="3"/>
      <c r="G2319" s="3"/>
      <c r="H2319" s="3"/>
      <c r="M2319" s="1">
        <f t="shared" si="221"/>
        <v>69.510000000001867</v>
      </c>
      <c r="N2319" s="1">
        <f t="shared" si="222"/>
        <v>1.3884488863606721</v>
      </c>
      <c r="O2319" s="1">
        <f t="shared" si="223"/>
        <v>-0.13997948654565889</v>
      </c>
      <c r="P2319" s="1">
        <f t="shared" si="224"/>
        <v>4.6165880859328929</v>
      </c>
      <c r="R2319" s="3">
        <f t="shared" si="219"/>
        <v>-0.14348163188990867</v>
      </c>
      <c r="S2319" s="3">
        <f t="shared" si="220"/>
        <v>-1.4931219043702388</v>
      </c>
    </row>
    <row r="2320" spans="6:19" x14ac:dyDescent="0.2">
      <c r="F2320" s="3"/>
      <c r="G2320" s="3"/>
      <c r="H2320" s="3"/>
      <c r="M2320" s="1">
        <f t="shared" si="221"/>
        <v>69.540000000001868</v>
      </c>
      <c r="N2320" s="1">
        <f t="shared" si="222"/>
        <v>1.4474144726881961</v>
      </c>
      <c r="O2320" s="1">
        <f t="shared" si="223"/>
        <v>-9.655705236501301E-2</v>
      </c>
      <c r="P2320" s="1">
        <f t="shared" si="224"/>
        <v>4.6136913743619425</v>
      </c>
      <c r="R2320" s="3">
        <f t="shared" si="219"/>
        <v>-0.14780616736615917</v>
      </c>
      <c r="S2320" s="3">
        <f t="shared" si="220"/>
        <v>-1.4927000157059445</v>
      </c>
    </row>
    <row r="2321" spans="6:19" x14ac:dyDescent="0.2">
      <c r="F2321" s="3"/>
      <c r="G2321" s="3"/>
      <c r="H2321" s="3"/>
      <c r="M2321" s="1">
        <f t="shared" si="221"/>
        <v>69.570000000001869</v>
      </c>
      <c r="N2321" s="1">
        <f t="shared" si="222"/>
        <v>1.4867518083744429</v>
      </c>
      <c r="O2321" s="1">
        <f t="shared" si="223"/>
        <v>-5.1954498113779723E-2</v>
      </c>
      <c r="P2321" s="1">
        <f t="shared" si="224"/>
        <v>4.612132739418529</v>
      </c>
      <c r="R2321" s="3">
        <f t="shared" si="219"/>
        <v>-0.15013256129277042</v>
      </c>
      <c r="S2321" s="3">
        <f t="shared" si="220"/>
        <v>-1.4924678268021969</v>
      </c>
    </row>
    <row r="2322" spans="6:19" x14ac:dyDescent="0.2">
      <c r="F2322" s="3"/>
      <c r="G2322" s="3"/>
      <c r="H2322" s="3"/>
      <c r="M2322" s="1">
        <f t="shared" si="221"/>
        <v>69.60000000000187</v>
      </c>
      <c r="N2322" s="1">
        <f t="shared" si="222"/>
        <v>1.5060015177579442</v>
      </c>
      <c r="O2322" s="1">
        <f t="shared" si="223"/>
        <v>-6.7744525810413958E-3</v>
      </c>
      <c r="P2322" s="1">
        <f t="shared" si="224"/>
        <v>4.6119295058410978</v>
      </c>
      <c r="R2322" s="3">
        <f t="shared" si="219"/>
        <v>-0.15043587776579509</v>
      </c>
      <c r="S2322" s="3">
        <f t="shared" si="220"/>
        <v>-1.4924372840025255</v>
      </c>
    </row>
    <row r="2323" spans="6:19" x14ac:dyDescent="0.2">
      <c r="F2323" s="3"/>
      <c r="G2323" s="3"/>
      <c r="H2323" s="3"/>
      <c r="M2323" s="1">
        <f t="shared" si="221"/>
        <v>69.630000000001871</v>
      </c>
      <c r="N2323" s="1">
        <f t="shared" si="222"/>
        <v>1.5049684783902446</v>
      </c>
      <c r="O2323" s="1">
        <f t="shared" si="223"/>
        <v>3.8374601770665942E-2</v>
      </c>
      <c r="P2323" s="1">
        <f t="shared" si="224"/>
        <v>4.6130807438942174</v>
      </c>
      <c r="R2323" s="3">
        <f t="shared" si="219"/>
        <v>-0.1487176278620686</v>
      </c>
      <c r="S2323" s="3">
        <f t="shared" si="220"/>
        <v>-1.4926094824712455</v>
      </c>
    </row>
    <row r="2324" spans="6:19" x14ac:dyDescent="0.2">
      <c r="F2324" s="3"/>
      <c r="G2324" s="3"/>
      <c r="H2324" s="3"/>
      <c r="M2324" s="1">
        <f t="shared" si="221"/>
        <v>69.660000000001872</v>
      </c>
      <c r="N2324" s="1">
        <f t="shared" si="222"/>
        <v>1.4837225644613259</v>
      </c>
      <c r="O2324" s="1">
        <f t="shared" si="223"/>
        <v>8.2886278704505711E-2</v>
      </c>
      <c r="P2324" s="1">
        <f t="shared" si="224"/>
        <v>4.6155673322553525</v>
      </c>
      <c r="R2324" s="3">
        <f t="shared" si="219"/>
        <v>-0.14500566655065861</v>
      </c>
      <c r="S2324" s="3">
        <f t="shared" si="220"/>
        <v>-1.4929746671220512</v>
      </c>
    </row>
    <row r="2325" spans="6:19" x14ac:dyDescent="0.2">
      <c r="F2325" s="3"/>
      <c r="G2325" s="3"/>
      <c r="H2325" s="3"/>
      <c r="M2325" s="1">
        <f t="shared" si="221"/>
        <v>69.690000000001874</v>
      </c>
      <c r="N2325" s="1">
        <f t="shared" si="222"/>
        <v>1.4425969004231802</v>
      </c>
      <c r="O2325" s="1">
        <f t="shared" si="223"/>
        <v>0.12616418571720112</v>
      </c>
      <c r="P2325" s="1">
        <f t="shared" si="224"/>
        <v>4.6193522578268684</v>
      </c>
      <c r="R2325" s="3">
        <f t="shared" si="219"/>
        <v>-0.13935384339752327</v>
      </c>
      <c r="S2325" s="3">
        <f t="shared" si="220"/>
        <v>-1.4935128075548394</v>
      </c>
    </row>
    <row r="2326" spans="6:19" x14ac:dyDescent="0.2">
      <c r="F2326" s="3"/>
      <c r="G2326" s="3"/>
      <c r="H2326" s="3"/>
      <c r="M2326" s="1">
        <f t="shared" si="221"/>
        <v>69.720000000001875</v>
      </c>
      <c r="N2326" s="1">
        <f t="shared" si="222"/>
        <v>1.3821836572606845</v>
      </c>
      <c r="O2326" s="1">
        <f t="shared" si="223"/>
        <v>0.16762969543502165</v>
      </c>
      <c r="P2326" s="1">
        <f t="shared" si="224"/>
        <v>4.6243811486899187</v>
      </c>
      <c r="R2326" s="3">
        <f t="shared" si="219"/>
        <v>-0.13184140003530481</v>
      </c>
      <c r="S2326" s="3">
        <f t="shared" si="220"/>
        <v>-1.4941947146328456</v>
      </c>
    </row>
    <row r="2327" spans="6:19" x14ac:dyDescent="0.2">
      <c r="F2327" s="3"/>
      <c r="G2327" s="3"/>
      <c r="H2327" s="3"/>
      <c r="M2327" s="1">
        <f t="shared" si="221"/>
        <v>69.750000000001876</v>
      </c>
      <c r="N2327" s="1">
        <f t="shared" si="222"/>
        <v>1.3033273277638964</v>
      </c>
      <c r="O2327" s="1">
        <f t="shared" si="223"/>
        <v>0.20672951526793854</v>
      </c>
      <c r="P2327" s="1">
        <f t="shared" si="224"/>
        <v>4.630583034147957</v>
      </c>
      <c r="R2327" s="3">
        <f t="shared" si="219"/>
        <v>-0.12257209944358075</v>
      </c>
      <c r="S2327" s="3">
        <f t="shared" si="220"/>
        <v>-1.4949836388529452</v>
      </c>
    </row>
    <row r="2328" spans="6:19" x14ac:dyDescent="0.2">
      <c r="F2328" s="3"/>
      <c r="G2328" s="3"/>
      <c r="H2328" s="3"/>
      <c r="M2328" s="1">
        <f t="shared" si="221"/>
        <v>69.780000000001877</v>
      </c>
      <c r="N2328" s="1">
        <f t="shared" si="222"/>
        <v>1.2071153380616932</v>
      </c>
      <c r="O2328" s="1">
        <f t="shared" si="223"/>
        <v>0.24294297540978932</v>
      </c>
      <c r="P2328" s="1">
        <f t="shared" si="224"/>
        <v>4.6378713234102511</v>
      </c>
      <c r="R2328" s="3">
        <f t="shared" si="219"/>
        <v>-0.1116730672551469</v>
      </c>
      <c r="S2328" s="3">
        <f t="shared" si="220"/>
        <v>-1.4958372658982084</v>
      </c>
    </row>
    <row r="2329" spans="6:19" x14ac:dyDescent="0.2">
      <c r="F2329" s="3"/>
      <c r="G2329" s="3"/>
      <c r="H2329" s="3"/>
      <c r="M2329" s="1">
        <f t="shared" si="221"/>
        <v>69.810000000001878</v>
      </c>
      <c r="N2329" s="1">
        <f t="shared" si="222"/>
        <v>1.0948658047645878</v>
      </c>
      <c r="O2329" s="1">
        <f t="shared" si="223"/>
        <v>0.27578894955272693</v>
      </c>
      <c r="P2329" s="1">
        <f t="shared" si="224"/>
        <v>4.6461449918968327</v>
      </c>
      <c r="R2329" s="3">
        <f t="shared" si="219"/>
        <v>-9.9293324615000372E-2</v>
      </c>
      <c r="S2329" s="3">
        <f t="shared" si="220"/>
        <v>-1.4967100038707899</v>
      </c>
    </row>
    <row r="2330" spans="6:19" x14ac:dyDescent="0.2">
      <c r="F2330" s="3"/>
      <c r="G2330" s="3"/>
      <c r="H2330" s="3"/>
      <c r="M2330" s="1">
        <f t="shared" si="221"/>
        <v>69.840000000001879</v>
      </c>
      <c r="N2330" s="1">
        <f t="shared" si="222"/>
        <v>0.96811224069025836</v>
      </c>
      <c r="O2330" s="1">
        <f t="shared" si="223"/>
        <v>0.3048323167734347</v>
      </c>
      <c r="P2330" s="1">
        <f t="shared" si="224"/>
        <v>4.6552899614000358</v>
      </c>
      <c r="R2330" s="3">
        <f t="shared" si="219"/>
        <v>-8.5601996109190989E-2</v>
      </c>
      <c r="S2330" s="3">
        <f t="shared" si="220"/>
        <v>-1.4975554407974758</v>
      </c>
    </row>
    <row r="2331" spans="6:19" x14ac:dyDescent="0.2">
      <c r="F2331" s="3"/>
      <c r="G2331" s="3"/>
      <c r="H2331" s="3"/>
      <c r="M2331" s="1">
        <f t="shared" si="221"/>
        <v>69.87000000000188</v>
      </c>
      <c r="N2331" s="1">
        <f t="shared" si="222"/>
        <v>0.82858505258230075</v>
      </c>
      <c r="O2331" s="1">
        <f t="shared" si="223"/>
        <v>0.32968986835090375</v>
      </c>
      <c r="P2331" s="1">
        <f t="shared" si="224"/>
        <v>4.6651806574505628</v>
      </c>
      <c r="R2331" s="3">
        <f t="shared" si="219"/>
        <v>-7.0786184910871255E-2</v>
      </c>
      <c r="S2331" s="3">
        <f t="shared" si="220"/>
        <v>-1.4983288410845477</v>
      </c>
    </row>
    <row r="2332" spans="6:19" x14ac:dyDescent="0.2">
      <c r="F2332" s="3"/>
      <c r="G2332" s="3"/>
      <c r="H2332" s="3"/>
      <c r="M2332" s="1">
        <f t="shared" si="221"/>
        <v>69.900000000001882</v>
      </c>
      <c r="N2332" s="1">
        <f t="shared" si="222"/>
        <v>0.67818976095713135</v>
      </c>
      <c r="O2332" s="1">
        <f t="shared" si="223"/>
        <v>0.3500355611796177</v>
      </c>
      <c r="P2332" s="1">
        <f t="shared" si="224"/>
        <v>4.6756817242859512</v>
      </c>
      <c r="R2332" s="3">
        <f t="shared" si="219"/>
        <v>-5.5048519934054067E-2</v>
      </c>
      <c r="S2332" s="3">
        <f t="shared" si="220"/>
        <v>-1.4989895464789171</v>
      </c>
    </row>
    <row r="2333" spans="6:19" x14ac:dyDescent="0.2">
      <c r="F2333" s="3"/>
      <c r="G2333" s="3"/>
      <c r="H2333" s="3"/>
      <c r="M2333" s="1">
        <f t="shared" si="221"/>
        <v>69.930000000001883</v>
      </c>
      <c r="N2333" s="1">
        <f t="shared" si="222"/>
        <v>0.51898199883437501</v>
      </c>
      <c r="O2333" s="1">
        <f t="shared" si="223"/>
        <v>0.36560502114464893</v>
      </c>
      <c r="P2333" s="1">
        <f t="shared" si="224"/>
        <v>4.6866498749202909</v>
      </c>
      <c r="R2333" s="3">
        <f t="shared" si="219"/>
        <v>-3.860439528849284E-2</v>
      </c>
      <c r="S2333" s="3">
        <f t="shared" si="220"/>
        <v>-1.4995031512685826</v>
      </c>
    </row>
    <row r="2334" spans="6:19" x14ac:dyDescent="0.2">
      <c r="F2334" s="3"/>
      <c r="G2334" s="3"/>
      <c r="H2334" s="3"/>
      <c r="M2334" s="1">
        <f t="shared" si="221"/>
        <v>69.960000000001884</v>
      </c>
      <c r="N2334" s="1">
        <f t="shared" si="222"/>
        <v>0.35313950098191005</v>
      </c>
      <c r="O2334" s="1">
        <f t="shared" si="223"/>
        <v>0.37619920617410624</v>
      </c>
      <c r="P2334" s="1">
        <f t="shared" si="224"/>
        <v>4.6979358511055143</v>
      </c>
      <c r="R2334" s="3">
        <f t="shared" si="219"/>
        <v>-2.1678939137458494E-2</v>
      </c>
      <c r="S2334" s="3">
        <f t="shared" si="220"/>
        <v>-1.4998433330177772</v>
      </c>
    </row>
    <row r="2335" spans="6:19" x14ac:dyDescent="0.2">
      <c r="F2335" s="3"/>
      <c r="G2335" s="3"/>
      <c r="H2335" s="3"/>
      <c r="M2335" s="1">
        <f t="shared" si="221"/>
        <v>69.990000000001885</v>
      </c>
      <c r="N2335" s="1">
        <f t="shared" si="222"/>
        <v>0.18293146281891537</v>
      </c>
      <c r="O2335" s="1">
        <f t="shared" si="223"/>
        <v>0.38168715005867371</v>
      </c>
      <c r="P2335" s="1">
        <f t="shared" si="224"/>
        <v>4.7093864656072748</v>
      </c>
      <c r="R2335" s="3">
        <f t="shared" si="219"/>
        <v>-4.5037653991366446E-3</v>
      </c>
      <c r="S2335" s="3">
        <f t="shared" si="220"/>
        <v>-1.4999932386838379</v>
      </c>
    </row>
    <row r="2336" spans="6:19" x14ac:dyDescent="0.2">
      <c r="F2336" s="3"/>
      <c r="G2336" s="3"/>
      <c r="H2336" s="3"/>
      <c r="M2336" s="1">
        <f t="shared" si="221"/>
        <v>70.020000000001886</v>
      </c>
      <c r="N2336" s="1">
        <f t="shared" si="222"/>
        <v>1.0685810486085821E-2</v>
      </c>
      <c r="O2336" s="1">
        <f t="shared" si="223"/>
        <v>0.38200772437325631</v>
      </c>
      <c r="P2336" s="1">
        <f t="shared" si="224"/>
        <v>4.7208466973384722</v>
      </c>
      <c r="R2336" s="3">
        <f t="shared" si="219"/>
        <v>1.2686424179798331E-2</v>
      </c>
      <c r="S2336" s="3">
        <f t="shared" si="220"/>
        <v>-1.499946350587757</v>
      </c>
    </row>
    <row r="2337" spans="6:19" x14ac:dyDescent="0.2">
      <c r="F2337" s="3"/>
      <c r="G2337" s="3"/>
      <c r="H2337" s="3"/>
      <c r="M2337" s="1">
        <f t="shared" si="221"/>
        <v>70.050000000001887</v>
      </c>
      <c r="N2337" s="1">
        <f t="shared" si="222"/>
        <v>-0.16124493699157638</v>
      </c>
      <c r="O2337" s="1">
        <f t="shared" si="223"/>
        <v>0.37717037626350902</v>
      </c>
      <c r="P2337" s="1">
        <f t="shared" si="224"/>
        <v>4.732161808626377</v>
      </c>
      <c r="R2337" s="3">
        <f t="shared" si="219"/>
        <v>2.9657309780663006E-2</v>
      </c>
      <c r="S2337" s="3">
        <f t="shared" si="220"/>
        <v>-1.4997067860007081</v>
      </c>
    </row>
    <row r="2338" spans="6:19" x14ac:dyDescent="0.2">
      <c r="F2338" s="3"/>
      <c r="G2338" s="3"/>
      <c r="H2338" s="3"/>
      <c r="M2338" s="1">
        <f t="shared" si="221"/>
        <v>70.080000000001888</v>
      </c>
      <c r="N2338" s="1">
        <f t="shared" si="222"/>
        <v>-0.33051843167034584</v>
      </c>
      <c r="O2338" s="1">
        <f t="shared" si="223"/>
        <v>0.36725482331339865</v>
      </c>
      <c r="P2338" s="1">
        <f t="shared" si="224"/>
        <v>4.7431794533257792</v>
      </c>
      <c r="R2338" s="3">
        <f t="shared" si="219"/>
        <v>4.6178412005774438E-2</v>
      </c>
      <c r="S2338" s="3">
        <f t="shared" si="220"/>
        <v>-1.4992890162555801</v>
      </c>
    </row>
    <row r="2339" spans="6:19" x14ac:dyDescent="0.2">
      <c r="F2339" s="3"/>
      <c r="G2339" s="3"/>
      <c r="H2339" s="3"/>
      <c r="M2339" s="1">
        <f t="shared" si="221"/>
        <v>70.110000000001889</v>
      </c>
      <c r="N2339" s="1">
        <f t="shared" si="222"/>
        <v>-0.49483705415595025</v>
      </c>
      <c r="O2339" s="1">
        <f t="shared" si="223"/>
        <v>0.35240971168872015</v>
      </c>
      <c r="P2339" s="1">
        <f t="shared" si="224"/>
        <v>4.7537517446764408</v>
      </c>
      <c r="R2339" s="3">
        <f t="shared" si="219"/>
        <v>6.2026456287326934E-2</v>
      </c>
      <c r="S2339" s="3">
        <f t="shared" si="220"/>
        <v>-1.4987170242312045</v>
      </c>
    </row>
    <row r="2340" spans="6:19" x14ac:dyDescent="0.2">
      <c r="F2340" s="3"/>
      <c r="G2340" s="3"/>
      <c r="H2340" s="3"/>
      <c r="M2340" s="1">
        <f t="shared" si="221"/>
        <v>70.140000000001891</v>
      </c>
      <c r="N2340" s="1">
        <f t="shared" si="222"/>
        <v>-0.65198143692525412</v>
      </c>
      <c r="O2340" s="1">
        <f t="shared" si="223"/>
        <v>0.33285026858096251</v>
      </c>
      <c r="P2340" s="1">
        <f t="shared" si="224"/>
        <v>4.7637372527338693</v>
      </c>
      <c r="R2340" s="3">
        <f t="shared" si="219"/>
        <v>7.6988566193260652E-2</v>
      </c>
      <c r="S2340" s="3">
        <f t="shared" si="220"/>
        <v>-1.4980229506504585</v>
      </c>
    </row>
    <row r="2341" spans="6:19" x14ac:dyDescent="0.2">
      <c r="F2341" s="3"/>
      <c r="G2341" s="3"/>
      <c r="H2341" s="3"/>
      <c r="M2341" s="1">
        <f t="shared" si="221"/>
        <v>70.170000000001892</v>
      </c>
      <c r="N2341" s="1">
        <f t="shared" si="222"/>
        <v>-0.79984218610489322</v>
      </c>
      <c r="O2341" s="1">
        <f t="shared" si="223"/>
        <v>0.30885500299781571</v>
      </c>
      <c r="P2341" s="1">
        <f t="shared" si="224"/>
        <v>4.7730029028238041</v>
      </c>
      <c r="R2341" s="3">
        <f t="shared" si="219"/>
        <v>9.0865219276368106E-2</v>
      </c>
      <c r="S2341" s="3">
        <f t="shared" si="220"/>
        <v>-1.4972453078657009</v>
      </c>
    </row>
    <row r="2342" spans="6:19" x14ac:dyDescent="0.2">
      <c r="F2342" s="3"/>
      <c r="G2342" s="3"/>
      <c r="H2342" s="3"/>
      <c r="M2342" s="1">
        <f t="shared" si="221"/>
        <v>70.200000000001893</v>
      </c>
      <c r="N2342" s="1">
        <f t="shared" si="222"/>
        <v>-0.93644914303348448</v>
      </c>
      <c r="O2342" s="1">
        <f t="shared" si="223"/>
        <v>0.28076152870681115</v>
      </c>
      <c r="P2342" s="1">
        <f t="shared" si="224"/>
        <v>4.7814257486850087</v>
      </c>
      <c r="R2342" s="3">
        <f t="shared" si="219"/>
        <v>0.10347291344040879</v>
      </c>
      <c r="S2342" s="3">
        <f t="shared" si="220"/>
        <v>-1.4964268629586124</v>
      </c>
    </row>
    <row r="2343" spans="6:19" x14ac:dyDescent="0.2">
      <c r="F2343" s="3"/>
      <c r="G2343" s="3"/>
      <c r="H2343" s="3"/>
      <c r="M2343" s="1">
        <f t="shared" si="221"/>
        <v>70.230000000001894</v>
      </c>
      <c r="N2343" s="1">
        <f t="shared" si="222"/>
        <v>-1.0599976719877011</v>
      </c>
      <c r="O2343" s="1">
        <f t="shared" si="223"/>
        <v>0.24896159854718011</v>
      </c>
      <c r="P2343" s="1">
        <f t="shared" si="224"/>
        <v>4.7888945966414243</v>
      </c>
      <c r="R2343" s="3">
        <f t="shared" si="219"/>
        <v>0.11464650820913995</v>
      </c>
      <c r="S2343" s="3">
        <f t="shared" si="220"/>
        <v>-1.4956123087737181</v>
      </c>
    </row>
    <row r="2344" spans="6:19" x14ac:dyDescent="0.2">
      <c r="F2344" s="3"/>
      <c r="G2344" s="3"/>
      <c r="H2344" s="3"/>
      <c r="M2344" s="1">
        <f t="shared" si="221"/>
        <v>70.260000000001895</v>
      </c>
      <c r="N2344" s="1">
        <f t="shared" si="222"/>
        <v>-1.1688716259606458</v>
      </c>
      <c r="O2344" s="1">
        <f t="shared" si="223"/>
        <v>0.21389544976836075</v>
      </c>
      <c r="P2344" s="1">
        <f t="shared" si="224"/>
        <v>4.7953114601344753</v>
      </c>
      <c r="R2344" s="3">
        <f t="shared" si="219"/>
        <v>0.12424122202894099</v>
      </c>
      <c r="S2344" s="3">
        <f t="shared" si="220"/>
        <v>-1.4948458511661848</v>
      </c>
    </row>
    <row r="2345" spans="6:19" x14ac:dyDescent="0.2">
      <c r="F2345" s="3"/>
      <c r="G2345" s="3"/>
      <c r="H2345" s="3"/>
      <c r="M2345" s="1">
        <f t="shared" si="221"/>
        <v>70.290000000001896</v>
      </c>
      <c r="N2345" s="1">
        <f t="shared" si="222"/>
        <v>-1.2616628107685623</v>
      </c>
      <c r="O2345" s="1">
        <f t="shared" si="223"/>
        <v>0.17604556544530389</v>
      </c>
      <c r="P2345" s="1">
        <f t="shared" si="224"/>
        <v>4.8005928270978346</v>
      </c>
      <c r="R2345" s="3">
        <f t="shared" si="219"/>
        <v>0.13213428210507405</v>
      </c>
      <c r="S2345" s="3">
        <f t="shared" si="220"/>
        <v>-1.4941688430336701</v>
      </c>
    </row>
    <row r="2346" spans="6:19" x14ac:dyDescent="0.2">
      <c r="F2346" s="3"/>
      <c r="G2346" s="3"/>
      <c r="H2346" s="3"/>
      <c r="M2346" s="1">
        <f t="shared" si="221"/>
        <v>70.320000000001897</v>
      </c>
      <c r="N2346" s="1">
        <f t="shared" si="222"/>
        <v>-1.3371869219408179</v>
      </c>
      <c r="O2346" s="1">
        <f t="shared" si="223"/>
        <v>0.13592995778707936</v>
      </c>
      <c r="P2346" s="1">
        <f t="shared" si="224"/>
        <v>4.8046707258314472</v>
      </c>
      <c r="R2346" s="3">
        <f t="shared" si="219"/>
        <v>0.13822623580467813</v>
      </c>
      <c r="S2346" s="3">
        <f t="shared" si="220"/>
        <v>-1.493617590862959</v>
      </c>
    </row>
    <row r="2347" spans="6:19" x14ac:dyDescent="0.2">
      <c r="F2347" s="3"/>
      <c r="G2347" s="3"/>
      <c r="H2347" s="3"/>
      <c r="M2347" s="1">
        <f t="shared" si="221"/>
        <v>70.350000000001899</v>
      </c>
      <c r="N2347" s="1">
        <f t="shared" si="222"/>
        <v>-1.3944960542476186</v>
      </c>
      <c r="O2347" s="1">
        <f t="shared" si="223"/>
        <v>9.4095076159650806E-2</v>
      </c>
      <c r="P2347" s="1">
        <f t="shared" si="224"/>
        <v>4.8074935781162367</v>
      </c>
      <c r="R2347" s="3">
        <f t="shared" si="219"/>
        <v>0.14244194130693588</v>
      </c>
      <c r="S2347" s="3">
        <f t="shared" si="220"/>
        <v>-1.4932214481973902</v>
      </c>
    </row>
    <row r="2348" spans="6:19" x14ac:dyDescent="0.2">
      <c r="F2348" s="3"/>
      <c r="G2348" s="3"/>
      <c r="H2348" s="3"/>
      <c r="M2348" s="1">
        <f t="shared" si="221"/>
        <v>70.3800000000019</v>
      </c>
      <c r="N2348" s="1">
        <f t="shared" si="222"/>
        <v>-1.4328879699237274</v>
      </c>
      <c r="O2348" s="1">
        <f t="shared" si="223"/>
        <v>5.1108437061938988E-2</v>
      </c>
      <c r="P2348" s="1">
        <f t="shared" si="224"/>
        <v>4.8090268312280946</v>
      </c>
      <c r="R2348" s="3">
        <f t="shared" si="219"/>
        <v>0.14473125941117015</v>
      </c>
      <c r="S2348" s="3">
        <f t="shared" si="220"/>
        <v>-1.493001293552439</v>
      </c>
    </row>
    <row r="2349" spans="6:19" x14ac:dyDescent="0.2">
      <c r="F2349" s="3"/>
      <c r="G2349" s="3"/>
      <c r="H2349" s="3"/>
      <c r="M2349" s="1">
        <f t="shared" si="221"/>
        <v>70.410000000001901</v>
      </c>
      <c r="N2349" s="1">
        <f t="shared" si="222"/>
        <v>-1.451912353447276</v>
      </c>
      <c r="O2349" s="1">
        <f t="shared" si="223"/>
        <v>7.5510664585207096E-3</v>
      </c>
      <c r="P2349" s="1">
        <f t="shared" si="224"/>
        <v>4.8092533632218499</v>
      </c>
      <c r="R2349" s="3">
        <f t="shared" si="219"/>
        <v>0.14506946825441672</v>
      </c>
      <c r="S2349" s="3">
        <f t="shared" si="220"/>
        <v>-1.4929684689839839</v>
      </c>
    </row>
    <row r="2350" spans="6:19" x14ac:dyDescent="0.2">
      <c r="F2350" s="3"/>
      <c r="G2350" s="3"/>
      <c r="H2350" s="3"/>
      <c r="M2350" s="1">
        <f t="shared" si="221"/>
        <v>70.440000000001902</v>
      </c>
      <c r="N2350" s="1">
        <f t="shared" si="222"/>
        <v>-1.4513742785254342</v>
      </c>
      <c r="O2350" s="1">
        <f t="shared" si="223"/>
        <v>-3.5990161897242315E-2</v>
      </c>
      <c r="P2350" s="1">
        <f t="shared" si="224"/>
        <v>4.8081736583649324</v>
      </c>
      <c r="R2350" s="3">
        <f t="shared" si="219"/>
        <v>0.14345741870215431</v>
      </c>
      <c r="S2350" s="3">
        <f t="shared" si="220"/>
        <v>-1.4931242309397148</v>
      </c>
    </row>
    <row r="2351" spans="6:19" x14ac:dyDescent="0.2">
      <c r="F2351" s="3"/>
      <c r="G2351" s="3"/>
      <c r="H2351" s="3"/>
      <c r="M2351" s="1">
        <f t="shared" si="221"/>
        <v>70.470000000001903</v>
      </c>
      <c r="N2351" s="1">
        <f t="shared" si="222"/>
        <v>-1.4313350724507912</v>
      </c>
      <c r="O2351" s="1">
        <f t="shared" si="223"/>
        <v>-7.8930214070766058E-2</v>
      </c>
      <c r="P2351" s="1">
        <f t="shared" si="224"/>
        <v>4.8058057519428097</v>
      </c>
      <c r="R2351" s="3">
        <f t="shared" si="219"/>
        <v>0.13992144136936102</v>
      </c>
      <c r="S2351" s="3">
        <f t="shared" si="220"/>
        <v>-1.4934597384078088</v>
      </c>
    </row>
    <row r="2352" spans="6:19" x14ac:dyDescent="0.2">
      <c r="F2352" s="3"/>
      <c r="G2352" s="3"/>
      <c r="H2352" s="3"/>
      <c r="M2352" s="1">
        <f t="shared" si="221"/>
        <v>70.500000000001904</v>
      </c>
      <c r="N2352" s="1">
        <f t="shared" si="222"/>
        <v>-1.3921106944272414</v>
      </c>
      <c r="O2352" s="1">
        <f t="shared" si="223"/>
        <v>-0.1206935349035833</v>
      </c>
      <c r="P2352" s="1">
        <f t="shared" si="224"/>
        <v>4.8021849458957018</v>
      </c>
      <c r="R2352" s="3">
        <f t="shared" si="219"/>
        <v>0.13451300793248899</v>
      </c>
      <c r="S2352" s="3">
        <f t="shared" si="220"/>
        <v>-1.4939565759073972</v>
      </c>
    </row>
    <row r="2353" spans="6:19" x14ac:dyDescent="0.2">
      <c r="F2353" s="3"/>
      <c r="G2353" s="3"/>
      <c r="H2353" s="3"/>
      <c r="M2353" s="1">
        <f t="shared" si="221"/>
        <v>70.530000000001905</v>
      </c>
      <c r="N2353" s="1">
        <f t="shared" si="222"/>
        <v>-1.3342676611835673</v>
      </c>
      <c r="O2353" s="1">
        <f t="shared" si="223"/>
        <v>-0.16072156473909033</v>
      </c>
      <c r="P2353" s="1">
        <f t="shared" si="224"/>
        <v>4.7973632989535293</v>
      </c>
      <c r="R2353" s="3">
        <f t="shared" si="219"/>
        <v>0.12730814109238126</v>
      </c>
      <c r="S2353" s="3">
        <f t="shared" si="220"/>
        <v>-1.494587781701564</v>
      </c>
    </row>
    <row r="2354" spans="6:19" x14ac:dyDescent="0.2">
      <c r="F2354" s="3"/>
      <c r="G2354" s="3"/>
      <c r="H2354" s="3"/>
      <c r="M2354" s="1">
        <f t="shared" si="221"/>
        <v>70.560000000001907</v>
      </c>
      <c r="N2354" s="1">
        <f t="shared" si="222"/>
        <v>-1.2586164700972944</v>
      </c>
      <c r="O2354" s="1">
        <f t="shared" si="223"/>
        <v>-0.19848005884200914</v>
      </c>
      <c r="P2354" s="1">
        <f t="shared" si="224"/>
        <v>4.7914088971882691</v>
      </c>
      <c r="R2354" s="3">
        <f t="shared" si="219"/>
        <v>0.11840656071227479</v>
      </c>
      <c r="S2354" s="3">
        <f t="shared" si="220"/>
        <v>-1.4953193258900557</v>
      </c>
    </row>
    <row r="2355" spans="6:19" x14ac:dyDescent="0.2">
      <c r="F2355" s="3"/>
      <c r="G2355" s="3"/>
      <c r="H2355" s="3"/>
      <c r="M2355" s="1">
        <f t="shared" si="221"/>
        <v>70.590000000001908</v>
      </c>
      <c r="N2355" s="1">
        <f t="shared" si="222"/>
        <v>-1.1662024018269672</v>
      </c>
      <c r="O2355" s="1">
        <f t="shared" si="223"/>
        <v>-0.23346613089681817</v>
      </c>
      <c r="P2355" s="1">
        <f t="shared" si="224"/>
        <v>4.7844049132613646</v>
      </c>
      <c r="R2355" s="3">
        <f t="shared" si="219"/>
        <v>0.10793054956453205</v>
      </c>
      <c r="S2355" s="3">
        <f t="shared" si="220"/>
        <v>-1.4961119598715524</v>
      </c>
    </row>
    <row r="2356" spans="6:19" x14ac:dyDescent="0.2">
      <c r="F2356" s="3"/>
      <c r="G2356" s="3"/>
      <c r="H2356" s="3"/>
      <c r="M2356" s="1">
        <f t="shared" si="221"/>
        <v>70.620000000001909</v>
      </c>
      <c r="N2356" s="1">
        <f t="shared" si="222"/>
        <v>-1.0582935438646066</v>
      </c>
      <c r="O2356" s="1">
        <f t="shared" si="223"/>
        <v>-0.26521493721275635</v>
      </c>
      <c r="P2356" s="1">
        <f t="shared" si="224"/>
        <v>4.7764484651449823</v>
      </c>
      <c r="R2356" s="3">
        <f t="shared" si="219"/>
        <v>9.6023521716303253E-2</v>
      </c>
      <c r="S2356" s="3">
        <f t="shared" si="220"/>
        <v>-1.4969233391450607</v>
      </c>
    </row>
    <row r="2357" spans="6:19" x14ac:dyDescent="0.2">
      <c r="F2357" s="3"/>
      <c r="G2357" s="3"/>
      <c r="H2357" s="3"/>
      <c r="M2357" s="1">
        <f t="shared" si="221"/>
        <v>70.65000000000191</v>
      </c>
      <c r="N2357" s="1">
        <f t="shared" si="222"/>
        <v>-0.93636587281388439</v>
      </c>
      <c r="O2357" s="1">
        <f t="shared" si="223"/>
        <v>-0.29330591339717288</v>
      </c>
      <c r="P2357" s="1">
        <f t="shared" si="224"/>
        <v>4.7676492877430672</v>
      </c>
      <c r="R2357" s="3">
        <f t="shared" si="219"/>
        <v>8.2848280356616025E-2</v>
      </c>
      <c r="S2357" s="3">
        <f t="shared" si="220"/>
        <v>-1.4977103065820012</v>
      </c>
    </row>
    <row r="2358" spans="6:19" x14ac:dyDescent="0.2">
      <c r="F2358" s="3"/>
      <c r="G2358" s="3"/>
      <c r="H2358" s="3"/>
      <c r="M2358" s="1">
        <f t="shared" si="221"/>
        <v>70.680000000001911</v>
      </c>
      <c r="N2358" s="1">
        <f t="shared" si="222"/>
        <v>-0.80208527136041463</v>
      </c>
      <c r="O2358" s="1">
        <f t="shared" si="223"/>
        <v>-0.31736847153798531</v>
      </c>
      <c r="P2358" s="1">
        <f t="shared" si="224"/>
        <v>4.7581282335969277</v>
      </c>
      <c r="R2358" s="3">
        <f t="shared" si="219"/>
        <v>6.8584959784591781E-2</v>
      </c>
      <c r="S2358" s="3">
        <f t="shared" si="220"/>
        <v>-1.4984312140673479</v>
      </c>
    </row>
    <row r="2359" spans="6:19" x14ac:dyDescent="0.2">
      <c r="F2359" s="3"/>
      <c r="G2359" s="3"/>
      <c r="H2359" s="3"/>
      <c r="M2359" s="1">
        <f t="shared" si="221"/>
        <v>70.710000000001912</v>
      </c>
      <c r="N2359" s="1">
        <f t="shared" si="222"/>
        <v>-0.65728643540749909</v>
      </c>
      <c r="O2359" s="1">
        <f t="shared" si="223"/>
        <v>-0.33708706460021026</v>
      </c>
      <c r="P2359" s="1">
        <f t="shared" si="224"/>
        <v>4.7480156216589213</v>
      </c>
      <c r="R2359" s="3">
        <f t="shared" si="219"/>
        <v>5.342865778274436E-2</v>
      </c>
      <c r="S2359" s="3">
        <f t="shared" si="220"/>
        <v>-1.4990481575078014</v>
      </c>
    </row>
    <row r="2360" spans="6:19" x14ac:dyDescent="0.2">
      <c r="F2360" s="3"/>
      <c r="G2360" s="3"/>
      <c r="H2360" s="3"/>
      <c r="M2360" s="1">
        <f t="shared" si="221"/>
        <v>70.740000000001913</v>
      </c>
      <c r="N2360" s="1">
        <f t="shared" si="222"/>
        <v>-0.50394874201342466</v>
      </c>
      <c r="O2360" s="1">
        <f t="shared" si="223"/>
        <v>-0.35220552686061302</v>
      </c>
      <c r="P2360" s="1">
        <f t="shared" si="224"/>
        <v>4.7374494558531026</v>
      </c>
      <c r="R2360" s="3">
        <f t="shared" si="219"/>
        <v>3.7586778659666066E-2</v>
      </c>
      <c r="S2360" s="3">
        <f t="shared" si="220"/>
        <v>-1.4995290040776101</v>
      </c>
    </row>
    <row r="2361" spans="6:19" x14ac:dyDescent="0.2">
      <c r="F2361" s="3"/>
      <c r="G2361" s="3"/>
      <c r="H2361" s="3"/>
      <c r="M2361" s="1">
        <f t="shared" si="221"/>
        <v>70.770000000001914</v>
      </c>
      <c r="N2361" s="1">
        <f t="shared" si="222"/>
        <v>-0.34416928917920547</v>
      </c>
      <c r="O2361" s="1">
        <f t="shared" si="223"/>
        <v>-0.3625306055359892</v>
      </c>
      <c r="P2361" s="1">
        <f t="shared" si="224"/>
        <v>4.726573537687023</v>
      </c>
      <c r="R2361" s="3">
        <f t="shared" si="219"/>
        <v>2.127612247153781E-2</v>
      </c>
      <c r="S2361" s="3">
        <f t="shared" si="220"/>
        <v>-1.4998491012807176</v>
      </c>
    </row>
    <row r="2362" spans="6:19" x14ac:dyDescent="0.2">
      <c r="F2362" s="3"/>
      <c r="G2362" s="3"/>
      <c r="H2362" s="3"/>
      <c r="M2362" s="1">
        <f t="shared" si="221"/>
        <v>70.800000000001916</v>
      </c>
      <c r="N2362" s="1">
        <f t="shared" si="222"/>
        <v>-0.1801334702171391</v>
      </c>
      <c r="O2362" s="1">
        <f t="shared" si="223"/>
        <v>-0.36793460964250335</v>
      </c>
      <c r="P2362" s="1">
        <f t="shared" si="224"/>
        <v>4.7155354993977481</v>
      </c>
      <c r="R2362" s="3">
        <f t="shared" si="219"/>
        <v>4.7197707314988856E-3</v>
      </c>
      <c r="S2362" s="3">
        <f t="shared" si="220"/>
        <v>-1.4999925745697018</v>
      </c>
    </row>
    <row r="2363" spans="6:19" x14ac:dyDescent="0.2">
      <c r="F2363" s="3"/>
      <c r="G2363" s="3"/>
      <c r="H2363" s="3"/>
      <c r="M2363" s="1">
        <f t="shared" si="221"/>
        <v>70.830000000001917</v>
      </c>
      <c r="N2363" s="1">
        <f t="shared" si="222"/>
        <v>-1.4083592447163562E-2</v>
      </c>
      <c r="O2363" s="1">
        <f t="shared" si="223"/>
        <v>-0.36835711741591826</v>
      </c>
      <c r="P2363" s="1">
        <f t="shared" si="224"/>
        <v>4.7044847858752705</v>
      </c>
      <c r="R2363" s="3">
        <f t="shared" si="219"/>
        <v>-1.1856168308325889E-2</v>
      </c>
      <c r="S2363" s="3">
        <f t="shared" si="220"/>
        <v>-1.4999531430258228</v>
      </c>
    </row>
    <row r="2364" spans="6:19" x14ac:dyDescent="0.2">
      <c r="F2364" s="3"/>
      <c r="G2364" s="3"/>
      <c r="H2364" s="3"/>
      <c r="M2364" s="1">
        <f t="shared" si="221"/>
        <v>70.860000000001918</v>
      </c>
      <c r="N2364" s="1">
        <f t="shared" si="222"/>
        <v>0.15171382365069153</v>
      </c>
      <c r="O2364" s="1">
        <f t="shared" si="223"/>
        <v>-0.3638057027063975</v>
      </c>
      <c r="P2364" s="1">
        <f t="shared" si="224"/>
        <v>4.693570614794079</v>
      </c>
      <c r="R2364" s="3">
        <f t="shared" si="219"/>
        <v>-2.8225882374307704E-2</v>
      </c>
      <c r="S2364" s="3">
        <f t="shared" si="220"/>
        <v>-1.4997344096753238</v>
      </c>
    </row>
    <row r="2365" spans="6:19" x14ac:dyDescent="0.2">
      <c r="F2365" s="3"/>
      <c r="G2365" s="3"/>
      <c r="H2365" s="3"/>
      <c r="M2365" s="1">
        <f t="shared" si="221"/>
        <v>70.890000000001919</v>
      </c>
      <c r="N2365" s="1">
        <f t="shared" si="222"/>
        <v>0.31500133698665278</v>
      </c>
      <c r="O2365" s="1">
        <f t="shared" si="223"/>
        <v>-0.3543556625967979</v>
      </c>
      <c r="P2365" s="1">
        <f t="shared" si="224"/>
        <v>4.6829399449161748</v>
      </c>
      <c r="R2365" s="3">
        <f t="shared" si="219"/>
        <v>-4.4167168592358766E-2</v>
      </c>
      <c r="S2365" s="3">
        <f t="shared" si="220"/>
        <v>-1.4993496127383148</v>
      </c>
    </row>
    <row r="2366" spans="6:19" x14ac:dyDescent="0.2">
      <c r="F2366" s="3"/>
      <c r="G2366" s="3"/>
      <c r="H2366" s="3"/>
      <c r="M2366" s="1">
        <f t="shared" si="221"/>
        <v>70.92000000000192</v>
      </c>
      <c r="N2366" s="1">
        <f t="shared" si="222"/>
        <v>0.47356369555729944</v>
      </c>
      <c r="O2366" s="1">
        <f t="shared" si="223"/>
        <v>-0.34014875173007891</v>
      </c>
      <c r="P2366" s="1">
        <f t="shared" si="224"/>
        <v>4.6727354823642724</v>
      </c>
      <c r="R2366" s="3">
        <f t="shared" si="219"/>
        <v>-5.9464660466959654E-2</v>
      </c>
      <c r="S2366" s="3">
        <f t="shared" si="220"/>
        <v>-1.498820854590551</v>
      </c>
    </row>
    <row r="2367" spans="6:19" x14ac:dyDescent="0.2">
      <c r="F2367" s="3"/>
      <c r="G2367" s="3"/>
      <c r="H2367" s="3"/>
      <c r="M2367" s="1">
        <f t="shared" si="221"/>
        <v>70.950000000001921</v>
      </c>
      <c r="N2367" s="1">
        <f t="shared" si="222"/>
        <v>0.6252599923253036</v>
      </c>
      <c r="O2367" s="1">
        <f t="shared" si="223"/>
        <v>-0.3213909519603198</v>
      </c>
      <c r="P2367" s="1">
        <f t="shared" si="224"/>
        <v>4.6630937538054624</v>
      </c>
      <c r="R2367" s="3">
        <f t="shared" si="219"/>
        <v>-7.3912896418452029E-2</v>
      </c>
      <c r="S2367" s="3">
        <f t="shared" si="220"/>
        <v>-1.4981778545096156</v>
      </c>
    </row>
    <row r="2368" spans="6:19" x14ac:dyDescent="0.2">
      <c r="F2368" s="3"/>
      <c r="G2368" s="3"/>
      <c r="H2368" s="3"/>
      <c r="M2368" s="1">
        <f t="shared" si="221"/>
        <v>70.980000000001922</v>
      </c>
      <c r="N2368" s="1">
        <f t="shared" si="222"/>
        <v>0.76805414986094911</v>
      </c>
      <c r="O2368" s="1">
        <f t="shared" si="223"/>
        <v>-0.29834932746449133</v>
      </c>
      <c r="P2368" s="1">
        <f t="shared" si="224"/>
        <v>4.6541432739815276</v>
      </c>
      <c r="R2368" s="3">
        <f t="shared" si="219"/>
        <v>-8.7319167436658462E-2</v>
      </c>
      <c r="S2368" s="3">
        <f t="shared" si="220"/>
        <v>-1.4974562975252963</v>
      </c>
    </row>
    <row r="2369" spans="6:19" x14ac:dyDescent="0.2">
      <c r="F2369" s="3"/>
      <c r="G2369" s="3"/>
      <c r="H2369" s="3"/>
      <c r="M2369" s="1">
        <f t="shared" si="221"/>
        <v>71.010000000001924</v>
      </c>
      <c r="N2369" s="1">
        <f t="shared" si="222"/>
        <v>0.90004311383838898</v>
      </c>
      <c r="O2369" s="1">
        <f t="shared" si="223"/>
        <v>-0.27134803404933966</v>
      </c>
      <c r="P2369" s="1">
        <f t="shared" si="224"/>
        <v>4.6460028329600478</v>
      </c>
      <c r="R2369" s="3">
        <f t="shared" si="219"/>
        <v>-9.9506094313791857E-2</v>
      </c>
      <c r="S2369" s="3">
        <f t="shared" si="220"/>
        <v>-1.4966958733137519</v>
      </c>
    </row>
    <row r="2370" spans="6:19" x14ac:dyDescent="0.2">
      <c r="F2370" s="3"/>
      <c r="G2370" s="3"/>
      <c r="H2370" s="3"/>
      <c r="M2370" s="1">
        <f t="shared" si="221"/>
        <v>71.040000000001925</v>
      </c>
      <c r="N2370" s="1">
        <f t="shared" si="222"/>
        <v>1.0194822662023593</v>
      </c>
      <c r="O2370" s="1">
        <f t="shared" si="223"/>
        <v>-0.24076356606326887</v>
      </c>
      <c r="P2370" s="1">
        <f t="shared" si="224"/>
        <v>4.6387799259781497</v>
      </c>
      <c r="R2370" s="3">
        <f t="shared" ref="R2370:R2433" si="225">$B$3*COS(P2370)</f>
        <v>-0.1103138997648703</v>
      </c>
      <c r="S2370" s="3">
        <f t="shared" ref="S2370:S2433" si="226">$B$3*SIN(P2370)</f>
        <v>-1.4959381148692836</v>
      </c>
    </row>
    <row r="2371" spans="6:19" x14ac:dyDescent="0.2">
      <c r="F2371" s="3"/>
      <c r="G2371" s="3"/>
      <c r="H2371" s="3"/>
      <c r="M2371" s="1">
        <f t="shared" ref="M2371:M2434" si="227">M2370+B$13</f>
        <v>71.070000000001926</v>
      </c>
      <c r="N2371" s="1">
        <f t="shared" ref="N2371:N2434" si="228">-$B$12*$B$3*COS(P2370)-B$10*O2370</f>
        <v>1.1248077185943972</v>
      </c>
      <c r="O2371" s="1">
        <f t="shared" ref="O2371:O2434" si="229">N2371*$B$13+O2370</f>
        <v>-0.20701933450543697</v>
      </c>
      <c r="P2371" s="1">
        <f t="shared" ref="P2371:P2434" si="230">O2371*$B$13+P2370</f>
        <v>4.6325693459429864</v>
      </c>
      <c r="R2371" s="3">
        <f t="shared" si="225"/>
        <v>-0.11960235596099617</v>
      </c>
      <c r="S2371" s="3">
        <f t="shared" si="226"/>
        <v>-1.4952241559206363</v>
      </c>
    </row>
    <row r="2372" spans="6:19" x14ac:dyDescent="0.2">
      <c r="F2372" s="3"/>
      <c r="G2372" s="3"/>
      <c r="H2372" s="3"/>
      <c r="M2372" s="1">
        <f t="shared" si="227"/>
        <v>71.100000000001927</v>
      </c>
      <c r="N2372" s="1">
        <f t="shared" si="228"/>
        <v>1.2146552997154512</v>
      </c>
      <c r="O2372" s="1">
        <f t="shared" si="229"/>
        <v>-0.17057967551397343</v>
      </c>
      <c r="P2372" s="1">
        <f t="shared" si="230"/>
        <v>4.6274519556775671</v>
      </c>
      <c r="R2372" s="3">
        <f t="shared" si="225"/>
        <v>-0.12725240205380786</v>
      </c>
      <c r="S2372" s="3">
        <f t="shared" si="226"/>
        <v>-1.4945925284744122</v>
      </c>
    </row>
    <row r="2373" spans="6:19" x14ac:dyDescent="0.2">
      <c r="F2373" s="3"/>
      <c r="G2373" s="3"/>
      <c r="H2373" s="3"/>
      <c r="M2373" s="1">
        <f t="shared" si="227"/>
        <v>71.130000000001928</v>
      </c>
      <c r="N2373" s="1">
        <f t="shared" si="228"/>
        <v>1.2878761913343362</v>
      </c>
      <c r="O2373" s="1">
        <f t="shared" si="229"/>
        <v>-0.13194338977394335</v>
      </c>
      <c r="P2373" s="1">
        <f t="shared" si="230"/>
        <v>4.6234936539843492</v>
      </c>
      <c r="R2373" s="3">
        <f t="shared" si="225"/>
        <v>-0.13316743783732116</v>
      </c>
      <c r="S2373" s="3">
        <f t="shared" si="226"/>
        <v>-1.4940771176548564</v>
      </c>
    </row>
    <row r="2374" spans="6:19" x14ac:dyDescent="0.2">
      <c r="F2374" s="3"/>
      <c r="G2374" s="3"/>
      <c r="H2374" s="3"/>
      <c r="M2374" s="1">
        <f t="shared" si="227"/>
        <v>71.160000000001929</v>
      </c>
      <c r="N2374" s="1">
        <f t="shared" si="228"/>
        <v>1.3435492834528664</v>
      </c>
      <c r="O2374" s="1">
        <f t="shared" si="229"/>
        <v>-9.1636911270357363E-2</v>
      </c>
      <c r="P2374" s="1">
        <f t="shared" si="230"/>
        <v>4.6207445466462387</v>
      </c>
      <c r="R2374" s="3">
        <f t="shared" si="225"/>
        <v>-0.13727430781931499</v>
      </c>
      <c r="S2374" s="3">
        <f t="shared" si="226"/>
        <v>-1.4937053807269784</v>
      </c>
    </row>
    <row r="2375" spans="6:19" x14ac:dyDescent="0.2">
      <c r="F2375" s="3"/>
      <c r="G2375" s="3"/>
      <c r="H2375" s="3"/>
      <c r="M2375" s="1">
        <f t="shared" si="227"/>
        <v>71.19000000000193</v>
      </c>
      <c r="N2375" s="1">
        <f t="shared" si="228"/>
        <v>1.3809904002074822</v>
      </c>
      <c r="O2375" s="1">
        <f t="shared" si="229"/>
        <v>-5.0207199264132897E-2</v>
      </c>
      <c r="P2375" s="1">
        <f t="shared" si="230"/>
        <v>4.6192383306683151</v>
      </c>
      <c r="R2375" s="3">
        <f t="shared" si="225"/>
        <v>-0.1395239941632184</v>
      </c>
      <c r="S2375" s="3">
        <f t="shared" si="226"/>
        <v>-1.4934969216750138</v>
      </c>
    </row>
    <row r="2376" spans="6:19" x14ac:dyDescent="0.2">
      <c r="F2376" s="3"/>
      <c r="G2376" s="3"/>
      <c r="H2376" s="3"/>
      <c r="M2376" s="1">
        <f t="shared" si="227"/>
        <v>71.220000000001932</v>
      </c>
      <c r="N2376" s="1">
        <f t="shared" si="228"/>
        <v>1.3997585895659561</v>
      </c>
      <c r="O2376" s="1">
        <f t="shared" si="229"/>
        <v>-8.2144415771542162E-3</v>
      </c>
      <c r="P2376" s="1">
        <f t="shared" si="230"/>
        <v>4.6189918974210009</v>
      </c>
      <c r="R2376" s="3">
        <f t="shared" si="225"/>
        <v>-0.13989203721915494</v>
      </c>
      <c r="S2376" s="3">
        <f t="shared" si="226"/>
        <v>-1.493462492974857</v>
      </c>
    </row>
    <row r="2377" spans="6:19" x14ac:dyDescent="0.2">
      <c r="F2377" s="3"/>
      <c r="G2377" s="3"/>
      <c r="H2377" s="3"/>
      <c r="M2377" s="1">
        <f t="shared" si="227"/>
        <v>71.250000000001933</v>
      </c>
      <c r="N2377" s="1">
        <f t="shared" si="228"/>
        <v>1.3996596719334935</v>
      </c>
      <c r="O2377" s="1">
        <f t="shared" si="229"/>
        <v>3.3775348580850587E-2</v>
      </c>
      <c r="P2377" s="1">
        <f t="shared" si="230"/>
        <v>4.6200051578784267</v>
      </c>
      <c r="R2377" s="3">
        <f t="shared" si="225"/>
        <v>-0.13837869917597515</v>
      </c>
      <c r="S2377" s="3">
        <f t="shared" si="226"/>
        <v>-1.4936034733537429</v>
      </c>
    </row>
    <row r="2378" spans="6:19" x14ac:dyDescent="0.2">
      <c r="F2378" s="3"/>
      <c r="G2378" s="3"/>
      <c r="H2378" s="3"/>
      <c r="M2378" s="1">
        <f t="shared" si="227"/>
        <v>71.280000000001934</v>
      </c>
      <c r="N2378" s="1">
        <f t="shared" si="228"/>
        <v>1.3807472103874749</v>
      </c>
      <c r="O2378" s="1">
        <f t="shared" si="229"/>
        <v>7.519776489247483E-2</v>
      </c>
      <c r="P2378" s="1">
        <f t="shared" si="230"/>
        <v>4.6222610908252006</v>
      </c>
      <c r="R2378" s="3">
        <f t="shared" si="225"/>
        <v>-0.13500888062841865</v>
      </c>
      <c r="S2378" s="3">
        <f t="shared" si="226"/>
        <v>-1.4939118455087841</v>
      </c>
    </row>
    <row r="2379" spans="6:19" x14ac:dyDescent="0.2">
      <c r="F2379" s="3"/>
      <c r="G2379" s="3"/>
      <c r="H2379" s="3"/>
      <c r="M2379" s="1">
        <f t="shared" si="227"/>
        <v>71.310000000001935</v>
      </c>
      <c r="N2379" s="1">
        <f t="shared" si="228"/>
        <v>1.3433210074438635</v>
      </c>
      <c r="O2379" s="1">
        <f t="shared" si="229"/>
        <v>0.11549739511579074</v>
      </c>
      <c r="P2379" s="1">
        <f t="shared" si="230"/>
        <v>4.6257260126786743</v>
      </c>
      <c r="R2379" s="3">
        <f t="shared" si="225"/>
        <v>-0.12983179274909351</v>
      </c>
      <c r="S2379" s="3">
        <f t="shared" si="226"/>
        <v>-1.4943706720862653</v>
      </c>
    </row>
    <row r="2380" spans="6:19" x14ac:dyDescent="0.2">
      <c r="F2380" s="3"/>
      <c r="G2380" s="3"/>
      <c r="H2380" s="3"/>
      <c r="M2380" s="1">
        <f t="shared" si="227"/>
        <v>71.340000000001936</v>
      </c>
      <c r="N2380" s="1">
        <f t="shared" si="228"/>
        <v>1.287923161930514</v>
      </c>
      <c r="O2380" s="1">
        <f t="shared" si="229"/>
        <v>0.15413508997370617</v>
      </c>
      <c r="P2380" s="1">
        <f t="shared" si="230"/>
        <v>4.6303500653778853</v>
      </c>
      <c r="R2380" s="3">
        <f t="shared" si="225"/>
        <v>-0.1229203806137847</v>
      </c>
      <c r="S2380" s="3">
        <f t="shared" si="226"/>
        <v>-1.4949550428122453</v>
      </c>
    </row>
    <row r="2381" spans="6:19" x14ac:dyDescent="0.2">
      <c r="F2381" s="3"/>
      <c r="G2381" s="3"/>
      <c r="H2381" s="3"/>
      <c r="M2381" s="1">
        <f t="shared" si="227"/>
        <v>71.370000000001937</v>
      </c>
      <c r="N2381" s="1">
        <f t="shared" si="228"/>
        <v>1.2153316480402134</v>
      </c>
      <c r="O2381" s="1">
        <f t="shared" si="229"/>
        <v>0.19059503941491257</v>
      </c>
      <c r="P2381" s="1">
        <f t="shared" si="230"/>
        <v>4.6360679165603322</v>
      </c>
      <c r="R2381" s="3">
        <f t="shared" si="225"/>
        <v>-0.11437048736882285</v>
      </c>
      <c r="S2381" s="3">
        <f t="shared" si="226"/>
        <v>-1.4956334415955728</v>
      </c>
    </row>
    <row r="2382" spans="6:19" x14ac:dyDescent="0.2">
      <c r="F2382" s="3"/>
      <c r="G2382" s="3"/>
      <c r="H2382" s="3"/>
      <c r="M2382" s="1">
        <f t="shared" si="227"/>
        <v>71.400000000001938</v>
      </c>
      <c r="N2382" s="1">
        <f t="shared" si="228"/>
        <v>1.1265513201408863</v>
      </c>
      <c r="O2382" s="1">
        <f t="shared" si="229"/>
        <v>0.22439157901913914</v>
      </c>
      <c r="P2382" s="1">
        <f t="shared" si="230"/>
        <v>4.6427996639309068</v>
      </c>
      <c r="R2382" s="3">
        <f t="shared" si="225"/>
        <v>-0.10429974550262737</v>
      </c>
      <c r="S2382" s="3">
        <f t="shared" si="226"/>
        <v>-1.4963694607576323</v>
      </c>
    </row>
    <row r="2383" spans="6:19" x14ac:dyDescent="0.2">
      <c r="F2383" s="3"/>
      <c r="G2383" s="3"/>
      <c r="H2383" s="3"/>
      <c r="M2383" s="1">
        <f t="shared" si="227"/>
        <v>71.430000000001939</v>
      </c>
      <c r="N2383" s="1">
        <f t="shared" si="228"/>
        <v>1.0228022129145513</v>
      </c>
      <c r="O2383" s="1">
        <f t="shared" si="229"/>
        <v>0.25507564540657568</v>
      </c>
      <c r="P2383" s="1">
        <f t="shared" si="230"/>
        <v>4.6504519332931045</v>
      </c>
      <c r="R2383" s="3">
        <f t="shared" si="225"/>
        <v>-9.2846181338992112E-2</v>
      </c>
      <c r="S2383" s="3">
        <f t="shared" si="226"/>
        <v>-1.4971237713064232</v>
      </c>
    </row>
    <row r="2384" spans="6:19" x14ac:dyDescent="0.2">
      <c r="F2384" s="3"/>
      <c r="G2384" s="3"/>
      <c r="H2384" s="3"/>
      <c r="M2384" s="1">
        <f t="shared" si="227"/>
        <v>71.460000000001941</v>
      </c>
      <c r="N2384" s="1">
        <f t="shared" si="228"/>
        <v>0.90550500530332934</v>
      </c>
      <c r="O2384" s="1">
        <f t="shared" si="229"/>
        <v>0.28224079556567555</v>
      </c>
      <c r="P2384" s="1">
        <f t="shared" si="230"/>
        <v>4.6589191571600743</v>
      </c>
      <c r="R2384" s="3">
        <f t="shared" si="225"/>
        <v>-8.0166522449659175E-2</v>
      </c>
      <c r="S2384" s="3">
        <f t="shared" si="226"/>
        <v>-1.4978562443299852</v>
      </c>
    </row>
    <row r="2385" spans="6:19" x14ac:dyDescent="0.2">
      <c r="F2385" s="3"/>
      <c r="G2385" s="3"/>
      <c r="H2385" s="3"/>
      <c r="M2385" s="1">
        <f t="shared" si="227"/>
        <v>71.490000000001942</v>
      </c>
      <c r="N2385" s="1">
        <f t="shared" si="228"/>
        <v>0.77626355289568105</v>
      </c>
      <c r="O2385" s="1">
        <f t="shared" si="229"/>
        <v>0.30552870215254596</v>
      </c>
      <c r="P2385" s="1">
        <f t="shared" si="230"/>
        <v>4.6680850182246507</v>
      </c>
      <c r="R2385" s="3">
        <f t="shared" si="225"/>
        <v>-6.6434204964561178E-2</v>
      </c>
      <c r="S2385" s="3">
        <f t="shared" si="226"/>
        <v>-1.4985281099835022</v>
      </c>
    </row>
    <row r="2386" spans="6:19" x14ac:dyDescent="0.2">
      <c r="F2386" s="3"/>
      <c r="G2386" s="3"/>
      <c r="H2386" s="3"/>
      <c r="M2386" s="1">
        <f t="shared" si="227"/>
        <v>71.520000000001943</v>
      </c>
      <c r="N2386" s="1">
        <f t="shared" si="228"/>
        <v>0.63684446645188264</v>
      </c>
      <c r="O2386" s="1">
        <f t="shared" si="229"/>
        <v>0.32463403614610242</v>
      </c>
      <c r="P2386" s="1">
        <f t="shared" si="230"/>
        <v>4.6778240393090336</v>
      </c>
      <c r="R2386" s="3">
        <f t="shared" si="225"/>
        <v>-5.1837088242659729E-2</v>
      </c>
      <c r="S2386" s="3">
        <f t="shared" si="226"/>
        <v>-1.4991040378447797</v>
      </c>
    </row>
    <row r="2387" spans="6:19" x14ac:dyDescent="0.2">
      <c r="F2387" s="3"/>
      <c r="G2387" s="3"/>
      <c r="H2387" s="3"/>
      <c r="M2387" s="1">
        <f t="shared" si="227"/>
        <v>71.550000000001944</v>
      </c>
      <c r="N2387" s="1">
        <f t="shared" si="228"/>
        <v>0.48915381917344813</v>
      </c>
      <c r="O2387" s="1">
        <f t="shared" si="229"/>
        <v>0.33930865072130589</v>
      </c>
      <c r="P2387" s="1">
        <f t="shared" si="230"/>
        <v>4.6880032988306723</v>
      </c>
      <c r="R2387" s="3">
        <f t="shared" si="225"/>
        <v>-3.6574897132537643E-2</v>
      </c>
      <c r="S2387" s="3">
        <f t="shared" si="226"/>
        <v>-1.4995540260023126</v>
      </c>
    </row>
    <row r="2388" spans="6:19" x14ac:dyDescent="0.2">
      <c r="F2388" s="3"/>
      <c r="G2388" s="3"/>
      <c r="H2388" s="3"/>
      <c r="M2388" s="1">
        <f t="shared" si="227"/>
        <v>71.580000000001945</v>
      </c>
      <c r="N2388" s="1">
        <f t="shared" si="228"/>
        <v>0.33521119276045885</v>
      </c>
      <c r="O2388" s="1">
        <f t="shared" si="229"/>
        <v>0.34936498650411968</v>
      </c>
      <c r="P2388" s="1">
        <f t="shared" si="230"/>
        <v>4.698484248425796</v>
      </c>
      <c r="R2388" s="3">
        <f t="shared" si="225"/>
        <v>-2.0856425854158062E-2</v>
      </c>
      <c r="S2388" s="3">
        <f t="shared" si="226"/>
        <v>-1.4998549961581586</v>
      </c>
    </row>
    <row r="2389" spans="6:19" x14ac:dyDescent="0.2">
      <c r="F2389" s="3"/>
      <c r="G2389" s="3"/>
      <c r="H2389" s="3"/>
      <c r="M2389" s="1">
        <f t="shared" si="227"/>
        <v>71.610000000001946</v>
      </c>
      <c r="N2389" s="1">
        <f t="shared" si="228"/>
        <v>0.17712140975620985</v>
      </c>
      <c r="O2389" s="1">
        <f t="shared" si="229"/>
        <v>0.35467862879680595</v>
      </c>
      <c r="P2389" s="1">
        <f t="shared" si="230"/>
        <v>4.7091246072897004</v>
      </c>
      <c r="R2389" s="3">
        <f t="shared" si="225"/>
        <v>-4.8965509460914235E-3</v>
      </c>
      <c r="S2389" s="3">
        <f t="shared" si="226"/>
        <v>-1.4999920079083195</v>
      </c>
    </row>
    <row r="2390" spans="6:19" x14ac:dyDescent="0.2">
      <c r="F2390" s="3"/>
      <c r="G2390" s="3"/>
      <c r="H2390" s="3"/>
      <c r="M2390" s="1">
        <f t="shared" si="227"/>
        <v>71.640000000001947</v>
      </c>
      <c r="N2390" s="1">
        <f t="shared" si="228"/>
        <v>1.7044432869201709E-2</v>
      </c>
      <c r="O2390" s="1">
        <f t="shared" si="229"/>
        <v>0.35518996178288198</v>
      </c>
      <c r="P2390" s="1">
        <f t="shared" si="230"/>
        <v>4.7197803061431864</v>
      </c>
      <c r="R2390" s="3">
        <f t="shared" si="225"/>
        <v>1.1086887687854298E-2</v>
      </c>
      <c r="S2390" s="3">
        <f t="shared" si="226"/>
        <v>-1.4999590264141873</v>
      </c>
    </row>
    <row r="2391" spans="6:19" x14ac:dyDescent="0.2">
      <c r="F2391" s="3"/>
      <c r="G2391" s="3"/>
      <c r="H2391" s="3"/>
      <c r="M2391" s="1">
        <f t="shared" si="227"/>
        <v>71.670000000001949</v>
      </c>
      <c r="N2391" s="1">
        <f t="shared" si="228"/>
        <v>-0.14283597343900237</v>
      </c>
      <c r="O2391" s="1">
        <f t="shared" si="229"/>
        <v>0.35090488257971192</v>
      </c>
      <c r="P2391" s="1">
        <f t="shared" si="230"/>
        <v>4.7303074526205782</v>
      </c>
      <c r="R2391" s="3">
        <f t="shared" si="225"/>
        <v>2.6876270098572484E-2</v>
      </c>
      <c r="S2391" s="3">
        <f t="shared" si="226"/>
        <v>-1.4997592027074176</v>
      </c>
    </row>
    <row r="2392" spans="6:19" x14ac:dyDescent="0.2">
      <c r="F2392" s="3"/>
      <c r="G2392" s="3"/>
      <c r="H2392" s="3"/>
      <c r="M2392" s="1">
        <f t="shared" si="227"/>
        <v>71.70000000000195</v>
      </c>
      <c r="N2392" s="1">
        <f t="shared" si="228"/>
        <v>-0.30034414041789886</v>
      </c>
      <c r="O2392" s="1">
        <f t="shared" si="229"/>
        <v>0.34189455836717497</v>
      </c>
      <c r="P2392" s="1">
        <f t="shared" si="230"/>
        <v>4.7405642893715934</v>
      </c>
      <c r="R2392" s="3">
        <f t="shared" si="225"/>
        <v>4.2257371973870875E-2</v>
      </c>
      <c r="S2392" s="3">
        <f t="shared" si="226"/>
        <v>-1.4994046533587462</v>
      </c>
    </row>
    <row r="2393" spans="6:19" x14ac:dyDescent="0.2">
      <c r="F2393" s="3"/>
      <c r="G2393" s="3"/>
      <c r="H2393" s="3"/>
      <c r="M2393" s="1">
        <f t="shared" si="227"/>
        <v>71.730000000001951</v>
      </c>
      <c r="N2393" s="1">
        <f t="shared" si="228"/>
        <v>-0.45334422999175444</v>
      </c>
      <c r="O2393" s="1">
        <f t="shared" si="229"/>
        <v>0.32829423146742231</v>
      </c>
      <c r="P2393" s="1">
        <f t="shared" si="230"/>
        <v>4.7504131163156158</v>
      </c>
      <c r="R2393" s="3">
        <f t="shared" si="225"/>
        <v>5.7022460734124543E-2</v>
      </c>
      <c r="S2393" s="3">
        <f t="shared" si="226"/>
        <v>-1.4989157544611456</v>
      </c>
    </row>
    <row r="2394" spans="6:19" x14ac:dyDescent="0.2">
      <c r="F2394" s="3"/>
      <c r="G2394" s="3"/>
      <c r="H2394" s="3"/>
      <c r="M2394" s="1">
        <f t="shared" si="227"/>
        <v>71.760000000001952</v>
      </c>
      <c r="N2394" s="1">
        <f t="shared" si="228"/>
        <v>-0.59977108817331348</v>
      </c>
      <c r="O2394" s="1">
        <f t="shared" si="229"/>
        <v>0.3103010988222229</v>
      </c>
      <c r="P2394" s="1">
        <f t="shared" si="230"/>
        <v>4.7597221492802824</v>
      </c>
      <c r="R2394" s="3">
        <f t="shared" si="225"/>
        <v>7.0973244663486937E-2</v>
      </c>
      <c r="S2394" s="3">
        <f t="shared" si="226"/>
        <v>-1.4983199920383954</v>
      </c>
    </row>
    <row r="2395" spans="6:19" x14ac:dyDescent="0.2">
      <c r="F2395" s="3"/>
      <c r="G2395" s="3"/>
      <c r="H2395" s="3"/>
      <c r="M2395" s="1">
        <f t="shared" si="227"/>
        <v>71.790000000001953</v>
      </c>
      <c r="N2395" s="1">
        <f t="shared" si="228"/>
        <v>-0.73765954552886948</v>
      </c>
      <c r="O2395" s="1">
        <f t="shared" si="229"/>
        <v>0.2881713124563568</v>
      </c>
      <c r="P2395" s="1">
        <f t="shared" si="230"/>
        <v>4.7683672886539732</v>
      </c>
      <c r="R2395" s="3">
        <f t="shared" si="225"/>
        <v>8.3923616273427856E-2</v>
      </c>
      <c r="S2395" s="3">
        <f t="shared" si="226"/>
        <v>-1.4976504353925821</v>
      </c>
    </row>
    <row r="2396" spans="6:19" x14ac:dyDescent="0.2">
      <c r="F2396" s="3"/>
      <c r="G2396" s="3"/>
      <c r="H2396" s="3"/>
      <c r="M2396" s="1">
        <f t="shared" si="227"/>
        <v>71.820000000001954</v>
      </c>
      <c r="N2396" s="1">
        <f t="shared" si="228"/>
        <v>-0.86517158085535062</v>
      </c>
      <c r="O2396" s="1">
        <f t="shared" si="229"/>
        <v>0.26221616503069628</v>
      </c>
      <c r="P2396" s="1">
        <f t="shared" si="230"/>
        <v>4.7762337736048943</v>
      </c>
      <c r="R2396" s="3">
        <f t="shared" si="225"/>
        <v>9.5702142728717299E-2</v>
      </c>
      <c r="S2396" s="3">
        <f t="shared" si="226"/>
        <v>-1.4969439200842269</v>
      </c>
    </row>
    <row r="2397" spans="6:19" x14ac:dyDescent="0.2">
      <c r="F2397" s="3"/>
      <c r="G2397" s="3"/>
      <c r="H2397" s="3"/>
      <c r="M2397" s="1">
        <f t="shared" si="227"/>
        <v>71.850000000001955</v>
      </c>
      <c r="N2397" s="1">
        <f t="shared" si="228"/>
        <v>-0.98062088213993581</v>
      </c>
      <c r="O2397" s="1">
        <f t="shared" si="229"/>
        <v>0.23279753856649821</v>
      </c>
      <c r="P2397" s="1">
        <f t="shared" si="230"/>
        <v>4.7832176997618889</v>
      </c>
      <c r="R2397" s="3">
        <f t="shared" si="225"/>
        <v>0.10615426960355337</v>
      </c>
      <c r="S2397" s="3">
        <f t="shared" si="226"/>
        <v>-1.4962390420801537</v>
      </c>
    </row>
    <row r="2398" spans="6:19" x14ac:dyDescent="0.2">
      <c r="F2398" s="3"/>
      <c r="G2398" s="3"/>
      <c r="H2398" s="3"/>
      <c r="M2398" s="1">
        <f t="shared" si="227"/>
        <v>71.880000000001957</v>
      </c>
      <c r="N2398" s="1">
        <f t="shared" si="228"/>
        <v>-1.0824944745065186</v>
      </c>
      <c r="O2398" s="1">
        <f t="shared" si="229"/>
        <v>0.20032270433130264</v>
      </c>
      <c r="P2398" s="1">
        <f t="shared" si="230"/>
        <v>4.7892273808918278</v>
      </c>
      <c r="R2398" s="3">
        <f t="shared" si="225"/>
        <v>0.11514421807273864</v>
      </c>
      <c r="S2398" s="3">
        <f t="shared" si="226"/>
        <v>-1.4955740734060676</v>
      </c>
    </row>
    <row r="2399" spans="6:19" x14ac:dyDescent="0.2">
      <c r="F2399" s="3"/>
      <c r="G2399" s="3"/>
      <c r="H2399" s="3"/>
      <c r="M2399" s="1">
        <f t="shared" si="227"/>
        <v>71.910000000001958</v>
      </c>
      <c r="N2399" s="1">
        <f t="shared" si="228"/>
        <v>-1.1694712241172036</v>
      </c>
      <c r="O2399" s="1">
        <f t="shared" si="229"/>
        <v>0.16523856760778655</v>
      </c>
      <c r="P2399" s="1">
        <f t="shared" si="230"/>
        <v>4.7941845379200609</v>
      </c>
      <c r="R2399" s="3">
        <f t="shared" si="225"/>
        <v>0.12255656849840198</v>
      </c>
      <c r="S2399" s="3">
        <f t="shared" si="226"/>
        <v>-1.4949849121372085</v>
      </c>
    </row>
    <row r="2400" spans="6:19" x14ac:dyDescent="0.2">
      <c r="F2400" s="3"/>
      <c r="G2400" s="3"/>
      <c r="H2400" s="3"/>
      <c r="M2400" s="1">
        <f t="shared" si="227"/>
        <v>71.940000000001959</v>
      </c>
      <c r="N2400" s="1">
        <f t="shared" si="228"/>
        <v>-1.2404371560687206</v>
      </c>
      <c r="O2400" s="1">
        <f t="shared" si="229"/>
        <v>0.12802545292572493</v>
      </c>
      <c r="P2400" s="1">
        <f t="shared" si="230"/>
        <v>4.7980253015078329</v>
      </c>
      <c r="R2400" s="3">
        <f t="shared" si="225"/>
        <v>0.12829753405300134</v>
      </c>
      <c r="S2400" s="3">
        <f t="shared" si="226"/>
        <v>-1.4945031758935539</v>
      </c>
    </row>
    <row r="2401" spans="6:19" x14ac:dyDescent="0.2">
      <c r="F2401" s="3"/>
      <c r="G2401" s="3"/>
      <c r="H2401" s="3"/>
      <c r="M2401" s="1">
        <f t="shared" si="227"/>
        <v>71.97000000000196</v>
      </c>
      <c r="N2401" s="1">
        <f t="shared" si="228"/>
        <v>-1.2944976312933287</v>
      </c>
      <c r="O2401" s="1">
        <f t="shared" si="229"/>
        <v>8.9190523986925063E-2</v>
      </c>
      <c r="P2401" s="1">
        <f t="shared" si="230"/>
        <v>4.8007010172274409</v>
      </c>
      <c r="R2401" s="3">
        <f t="shared" si="225"/>
        <v>0.13229593565221742</v>
      </c>
      <c r="S2401" s="3">
        <f t="shared" si="226"/>
        <v>-1.4941545386638908</v>
      </c>
    </row>
    <row r="2402" spans="6:19" x14ac:dyDescent="0.2">
      <c r="F2402" s="3"/>
      <c r="G2402" s="3"/>
      <c r="H2402" s="3"/>
      <c r="M2402" s="1">
        <f t="shared" si="227"/>
        <v>72.000000000001961</v>
      </c>
      <c r="N2402" s="1">
        <f t="shared" si="228"/>
        <v>-1.3309865036809976</v>
      </c>
      <c r="O2402" s="1">
        <f t="shared" si="229"/>
        <v>4.9260928876495136E-2</v>
      </c>
      <c r="P2402" s="1">
        <f t="shared" si="230"/>
        <v>4.8021788450937359</v>
      </c>
      <c r="R2402" s="3">
        <f t="shared" si="225"/>
        <v>0.13450389359677062</v>
      </c>
      <c r="S2402" s="3">
        <f t="shared" si="226"/>
        <v>-1.4939573965168178</v>
      </c>
    </row>
    <row r="2403" spans="6:19" x14ac:dyDescent="0.2">
      <c r="F2403" s="3"/>
      <c r="G2403" s="3"/>
      <c r="H2403" s="3"/>
      <c r="M2403" s="1">
        <f t="shared" si="227"/>
        <v>72.030000000001962</v>
      </c>
      <c r="N2403" s="1">
        <f t="shared" si="228"/>
        <v>-1.3494724195665908</v>
      </c>
      <c r="O2403" s="1">
        <f t="shared" si="229"/>
        <v>8.7767562894974158E-3</v>
      </c>
      <c r="P2403" s="1">
        <f t="shared" si="230"/>
        <v>4.8024421477824211</v>
      </c>
      <c r="R2403" s="3">
        <f t="shared" si="225"/>
        <v>0.13489725192904581</v>
      </c>
      <c r="S2403" s="3">
        <f t="shared" si="226"/>
        <v>-1.493921929493637</v>
      </c>
    </row>
    <row r="2404" spans="6:19" x14ac:dyDescent="0.2">
      <c r="F2404" s="3"/>
      <c r="G2404" s="3"/>
      <c r="H2404" s="3"/>
      <c r="M2404" s="1">
        <f t="shared" si="227"/>
        <v>72.060000000001963</v>
      </c>
      <c r="N2404" s="1">
        <f t="shared" si="228"/>
        <v>-1.349762427356513</v>
      </c>
      <c r="O2404" s="1">
        <f t="shared" si="229"/>
        <v>-3.171611653119797E-2</v>
      </c>
      <c r="P2404" s="1">
        <f t="shared" si="230"/>
        <v>4.8014906642864847</v>
      </c>
      <c r="R2404" s="3">
        <f t="shared" si="225"/>
        <v>0.1334757490207498</v>
      </c>
      <c r="S2404" s="3">
        <f t="shared" si="226"/>
        <v>-1.4940496057438488</v>
      </c>
    </row>
    <row r="2405" spans="6:19" x14ac:dyDescent="0.2">
      <c r="F2405" s="3"/>
      <c r="G2405" s="3"/>
      <c r="H2405" s="3"/>
      <c r="M2405" s="1">
        <f t="shared" si="227"/>
        <v>72.090000000001965</v>
      </c>
      <c r="N2405" s="1">
        <f t="shared" si="228"/>
        <v>-1.33190303971969</v>
      </c>
      <c r="O2405" s="1">
        <f t="shared" si="229"/>
        <v>-7.1673207722788679E-2</v>
      </c>
      <c r="P2405" s="1">
        <f t="shared" si="230"/>
        <v>4.7993404680548011</v>
      </c>
      <c r="R2405" s="3">
        <f t="shared" si="225"/>
        <v>0.13026294311192377</v>
      </c>
      <c r="S2405" s="3">
        <f t="shared" si="226"/>
        <v>-1.4943331508240789</v>
      </c>
    </row>
    <row r="2406" spans="6:19" x14ac:dyDescent="0.2">
      <c r="F2406" s="3"/>
      <c r="G2406" s="3"/>
      <c r="H2406" s="3"/>
      <c r="M2406" s="1">
        <f t="shared" si="227"/>
        <v>72.120000000001966</v>
      </c>
      <c r="N2406" s="1">
        <f t="shared" si="228"/>
        <v>-1.2961788424241867</v>
      </c>
      <c r="O2406" s="1">
        <f t="shared" si="229"/>
        <v>-0.11055857299551428</v>
      </c>
      <c r="P2406" s="1">
        <f t="shared" si="230"/>
        <v>4.7960237108649357</v>
      </c>
      <c r="R2406" s="3">
        <f t="shared" si="225"/>
        <v>0.1253058954744857</v>
      </c>
      <c r="S2406" s="3">
        <f t="shared" si="226"/>
        <v>-1.4947569811040649</v>
      </c>
    </row>
    <row r="2407" spans="6:19" x14ac:dyDescent="0.2">
      <c r="F2407" s="3"/>
      <c r="G2407" s="3"/>
      <c r="H2407" s="3"/>
      <c r="M2407" s="1">
        <f t="shared" si="227"/>
        <v>72.150000000001967</v>
      </c>
      <c r="N2407" s="1">
        <f t="shared" si="228"/>
        <v>-1.2431086831752607</v>
      </c>
      <c r="O2407" s="1">
        <f t="shared" si="229"/>
        <v>-0.14785183349077211</v>
      </c>
      <c r="P2407" s="1">
        <f t="shared" si="230"/>
        <v>4.7915881558602127</v>
      </c>
      <c r="R2407" s="3">
        <f t="shared" si="225"/>
        <v>0.11867460776491109</v>
      </c>
      <c r="S2407" s="3">
        <f t="shared" si="226"/>
        <v>-1.4952980764622967</v>
      </c>
    </row>
    <row r="2408" spans="6:19" x14ac:dyDescent="0.2">
      <c r="F2408" s="3"/>
      <c r="G2408" s="3"/>
      <c r="H2408" s="3"/>
      <c r="M2408" s="1">
        <f t="shared" si="227"/>
        <v>72.180000000001968</v>
      </c>
      <c r="N2408" s="1">
        <f t="shared" si="228"/>
        <v>-1.1734394126349414</v>
      </c>
      <c r="O2408" s="1">
        <f t="shared" si="229"/>
        <v>-0.18305501586982034</v>
      </c>
      <c r="P2408" s="1">
        <f t="shared" si="230"/>
        <v>4.7860965053841182</v>
      </c>
      <c r="R2408" s="3">
        <f t="shared" si="225"/>
        <v>0.11046120514290048</v>
      </c>
      <c r="S2408" s="3">
        <f t="shared" si="226"/>
        <v>-1.4959272449415373</v>
      </c>
    </row>
    <row r="2409" spans="6:19" x14ac:dyDescent="0.2">
      <c r="F2409" s="3"/>
      <c r="G2409" s="3"/>
      <c r="H2409" s="3"/>
      <c r="M2409" s="1">
        <f t="shared" si="227"/>
        <v>72.210000000001969</v>
      </c>
      <c r="N2409" s="1">
        <f t="shared" si="228"/>
        <v>-1.0881371000007209</v>
      </c>
      <c r="O2409" s="1">
        <f t="shared" si="229"/>
        <v>-0.21569912886984197</v>
      </c>
      <c r="P2409" s="1">
        <f t="shared" si="230"/>
        <v>4.7796255315180227</v>
      </c>
      <c r="R2409" s="3">
        <f t="shared" si="225"/>
        <v>0.10077885390110036</v>
      </c>
      <c r="S2409" s="3">
        <f t="shared" si="226"/>
        <v>-1.4966107117772411</v>
      </c>
    </row>
    <row r="2410" spans="6:19" x14ac:dyDescent="0.2">
      <c r="F2410" s="3"/>
      <c r="G2410" s="3"/>
      <c r="H2410" s="3"/>
      <c r="M2410" s="1">
        <f t="shared" si="227"/>
        <v>72.24000000000197</v>
      </c>
      <c r="N2410" s="1">
        <f t="shared" si="228"/>
        <v>-0.98837561741271796</v>
      </c>
      <c r="O2410" s="1">
        <f t="shared" si="229"/>
        <v>-0.2453503973922235</v>
      </c>
      <c r="P2410" s="1">
        <f t="shared" si="230"/>
        <v>4.7722650195962562</v>
      </c>
      <c r="R2410" s="3">
        <f t="shared" si="225"/>
        <v>8.976040243965662E-2</v>
      </c>
      <c r="S2410" s="3">
        <f t="shared" si="226"/>
        <v>-1.4973119481770893</v>
      </c>
    </row>
    <row r="2411" spans="6:19" x14ac:dyDescent="0.2">
      <c r="F2411" s="3"/>
      <c r="G2411" s="3"/>
      <c r="H2411" s="3"/>
      <c r="M2411" s="1">
        <f t="shared" si="227"/>
        <v>72.270000000001971</v>
      </c>
      <c r="N2411" s="1">
        <f t="shared" si="228"/>
        <v>-0.87552248863126603</v>
      </c>
      <c r="O2411" s="1">
        <f t="shared" si="229"/>
        <v>-0.27161607205116151</v>
      </c>
      <c r="P2411" s="1">
        <f t="shared" si="230"/>
        <v>4.7641165374347212</v>
      </c>
      <c r="R2411" s="3">
        <f t="shared" si="225"/>
        <v>7.7556737828677141E-2</v>
      </c>
      <c r="S2411" s="3">
        <f t="shared" si="226"/>
        <v>-1.497993642315405</v>
      </c>
    </row>
    <row r="2412" spans="6:19" x14ac:dyDescent="0.2">
      <c r="F2412" s="3"/>
      <c r="G2412" s="3"/>
      <c r="H2412" s="3"/>
      <c r="M2412" s="1">
        <f t="shared" si="227"/>
        <v>72.300000000001972</v>
      </c>
      <c r="N2412" s="1">
        <f t="shared" si="228"/>
        <v>-0.75112193180216691</v>
      </c>
      <c r="O2412" s="1">
        <f t="shared" si="229"/>
        <v>-0.29414973000522648</v>
      </c>
      <c r="P2412" s="1">
        <f t="shared" si="230"/>
        <v>4.7552920455345644</v>
      </c>
      <c r="R2412" s="3">
        <f t="shared" si="225"/>
        <v>6.4334856913316696E-2</v>
      </c>
      <c r="S2412" s="3">
        <f t="shared" si="226"/>
        <v>-1.4986197069923854</v>
      </c>
    </row>
    <row r="2413" spans="6:19" x14ac:dyDescent="0.2">
      <c r="F2413" s="3"/>
      <c r="G2413" s="3"/>
      <c r="H2413" s="3"/>
      <c r="M2413" s="1">
        <f t="shared" si="227"/>
        <v>72.330000000001974</v>
      </c>
      <c r="N2413" s="1">
        <f t="shared" si="228"/>
        <v>-0.61687509343269664</v>
      </c>
      <c r="O2413" s="1">
        <f t="shared" si="229"/>
        <v>-0.31265598280820739</v>
      </c>
      <c r="P2413" s="1">
        <f t="shared" si="230"/>
        <v>4.7459123660503186</v>
      </c>
      <c r="R2413" s="3">
        <f t="shared" si="225"/>
        <v>5.0275660486748773E-2</v>
      </c>
      <c r="S2413" s="3">
        <f t="shared" si="226"/>
        <v>-1.499157215892523</v>
      </c>
    </row>
    <row r="2414" spans="6:19" x14ac:dyDescent="0.2">
      <c r="F2414" s="3"/>
      <c r="G2414" s="3"/>
      <c r="H2414" s="3"/>
      <c r="M2414" s="1">
        <f t="shared" si="227"/>
        <v>72.360000000001975</v>
      </c>
      <c r="N2414" s="1">
        <f t="shared" si="228"/>
        <v>-0.47461756641474906</v>
      </c>
      <c r="O2414" s="1">
        <f t="shared" si="229"/>
        <v>-0.32689450980064988</v>
      </c>
      <c r="P2414" s="1">
        <f t="shared" si="230"/>
        <v>4.7361055307562987</v>
      </c>
      <c r="R2414" s="3">
        <f t="shared" si="225"/>
        <v>3.5571490660950757E-2</v>
      </c>
      <c r="S2414" s="3">
        <f t="shared" si="226"/>
        <v>-1.4995781637020986</v>
      </c>
    </row>
    <row r="2415" spans="6:19" x14ac:dyDescent="0.2">
      <c r="F2415" s="3"/>
      <c r="G2415" s="3"/>
      <c r="H2415" s="3"/>
      <c r="M2415" s="1">
        <f t="shared" si="227"/>
        <v>72.390000000001976</v>
      </c>
      <c r="N2415" s="1">
        <f t="shared" si="228"/>
        <v>-0.32629440072744914</v>
      </c>
      <c r="O2415" s="1">
        <f t="shared" si="229"/>
        <v>-0.33668334182247334</v>
      </c>
      <c r="P2415" s="1">
        <f t="shared" si="230"/>
        <v>4.7260050305016241</v>
      </c>
      <c r="R2415" s="3">
        <f t="shared" si="225"/>
        <v>2.0423444088150673E-2</v>
      </c>
      <c r="S2415" s="3">
        <f t="shared" si="226"/>
        <v>-1.4998609545326453</v>
      </c>
    </row>
    <row r="2416" spans="6:19" x14ac:dyDescent="0.2">
      <c r="F2416" s="3"/>
      <c r="G2416" s="3"/>
      <c r="H2416" s="3"/>
      <c r="M2416" s="1">
        <f t="shared" si="227"/>
        <v>72.420000000001977</v>
      </c>
      <c r="N2416" s="1">
        <f t="shared" si="228"/>
        <v>-0.17393294011748411</v>
      </c>
      <c r="O2416" s="1">
        <f t="shared" si="229"/>
        <v>-0.34190133002599787</v>
      </c>
      <c r="P2416" s="1">
        <f t="shared" si="230"/>
        <v>4.7157479906008444</v>
      </c>
      <c r="R2416" s="3">
        <f t="shared" si="225"/>
        <v>5.0385058493513501E-3</v>
      </c>
      <c r="S2416" s="3">
        <f t="shared" si="226"/>
        <v>-1.4999915377957325</v>
      </c>
    </row>
    <row r="2417" spans="6:19" x14ac:dyDescent="0.2">
      <c r="F2417" s="3"/>
      <c r="G2417" s="3"/>
      <c r="H2417" s="3"/>
      <c r="M2417" s="1">
        <f t="shared" si="227"/>
        <v>72.450000000001978</v>
      </c>
      <c r="N2417" s="1">
        <f t="shared" si="228"/>
        <v>-1.9613938791173697E-2</v>
      </c>
      <c r="O2417" s="1">
        <f t="shared" si="229"/>
        <v>-0.3424897481897331</v>
      </c>
      <c r="P2417" s="1">
        <f t="shared" si="230"/>
        <v>4.7054732981551526</v>
      </c>
      <c r="R2417" s="3">
        <f t="shared" si="225"/>
        <v>-1.0373440656006771E-2</v>
      </c>
      <c r="S2417" s="3">
        <f t="shared" si="226"/>
        <v>-1.4999641301474367</v>
      </c>
    </row>
    <row r="2418" spans="6:19" x14ac:dyDescent="0.2">
      <c r="F2418" s="3"/>
      <c r="G2418" s="3"/>
      <c r="H2418" s="3"/>
      <c r="M2418" s="1">
        <f t="shared" si="227"/>
        <v>72.480000000001979</v>
      </c>
      <c r="N2418" s="1">
        <f t="shared" si="228"/>
        <v>0.1345584838971437</v>
      </c>
      <c r="O2418" s="1">
        <f t="shared" si="229"/>
        <v>-0.33845299367281878</v>
      </c>
      <c r="P2418" s="1">
        <f t="shared" si="230"/>
        <v>4.695319708344968</v>
      </c>
      <c r="R2418" s="3">
        <f t="shared" si="225"/>
        <v>-2.5602664751715326E-2</v>
      </c>
      <c r="S2418" s="3">
        <f t="shared" si="226"/>
        <v>-1.4997814852696414</v>
      </c>
    </row>
    <row r="2419" spans="6:19" x14ac:dyDescent="0.2">
      <c r="F2419" s="3"/>
      <c r="G2419" s="3"/>
      <c r="H2419" s="3"/>
      <c r="M2419" s="1">
        <f t="shared" si="227"/>
        <v>72.51000000000198</v>
      </c>
      <c r="N2419" s="1">
        <f t="shared" si="228"/>
        <v>0.28648741694770696</v>
      </c>
      <c r="O2419" s="1">
        <f t="shared" si="229"/>
        <v>-0.3298583711643876</v>
      </c>
      <c r="P2419" s="1">
        <f t="shared" si="230"/>
        <v>4.6854239572100367</v>
      </c>
      <c r="R2419" s="3">
        <f t="shared" si="225"/>
        <v>-4.0442633288995805E-2</v>
      </c>
      <c r="S2419" s="3">
        <f t="shared" si="226"/>
        <v>-1.4994546986863764</v>
      </c>
    </row>
    <row r="2420" spans="6:19" x14ac:dyDescent="0.2">
      <c r="F2420" s="3"/>
      <c r="G2420" s="3"/>
      <c r="H2420" s="3"/>
      <c r="M2420" s="1">
        <f t="shared" si="227"/>
        <v>72.540000000001982</v>
      </c>
      <c r="N2420" s="1">
        <f t="shared" si="228"/>
        <v>0.43411358629475294</v>
      </c>
      <c r="O2420" s="1">
        <f t="shared" si="229"/>
        <v>-0.31683496357554503</v>
      </c>
      <c r="P2420" s="1">
        <f t="shared" si="230"/>
        <v>4.6759189083027701</v>
      </c>
      <c r="R2420" s="3">
        <f t="shared" si="225"/>
        <v>-5.4692982027172266E-2</v>
      </c>
      <c r="S2420" s="3">
        <f t="shared" si="226"/>
        <v>-1.4990025609441018</v>
      </c>
    </row>
    <row r="2421" spans="6:19" x14ac:dyDescent="0.2">
      <c r="F2421" s="3"/>
      <c r="G2421" s="3"/>
      <c r="H2421" s="3"/>
      <c r="M2421" s="1">
        <f t="shared" si="227"/>
        <v>72.570000000001983</v>
      </c>
      <c r="N2421" s="1">
        <f t="shared" si="228"/>
        <v>0.57544496699352166</v>
      </c>
      <c r="O2421" s="1">
        <f t="shared" si="229"/>
        <v>-0.29957161456573939</v>
      </c>
      <c r="P2421" s="1">
        <f t="shared" si="230"/>
        <v>4.6669317598657978</v>
      </c>
      <c r="R2421" s="3">
        <f t="shared" si="225"/>
        <v>-6.8162350471389993E-2</v>
      </c>
      <c r="S2421" s="3">
        <f t="shared" si="226"/>
        <v>-1.4984504976735853</v>
      </c>
    </row>
    <row r="2422" spans="6:19" x14ac:dyDescent="0.2">
      <c r="F2422" s="3"/>
      <c r="G2422" s="3"/>
      <c r="H2422" s="3"/>
      <c r="M2422" s="1">
        <f t="shared" si="227"/>
        <v>72.600000000001984</v>
      </c>
      <c r="N2422" s="1">
        <f t="shared" si="228"/>
        <v>0.70858495002481647</v>
      </c>
      <c r="O2422" s="1">
        <f t="shared" si="229"/>
        <v>-0.27831406606499487</v>
      </c>
      <c r="P2422" s="1">
        <f t="shared" si="230"/>
        <v>4.658582337883848</v>
      </c>
      <c r="R2422" s="3">
        <f t="shared" si="225"/>
        <v>-8.0671024748891595E-2</v>
      </c>
      <c r="S2422" s="3">
        <f t="shared" si="226"/>
        <v>-1.4978291577366103</v>
      </c>
    </row>
    <row r="2423" spans="6:19" x14ac:dyDescent="0.2">
      <c r="F2423" s="3"/>
      <c r="G2423" s="3"/>
      <c r="H2423" s="3"/>
      <c r="M2423" s="1">
        <f t="shared" si="227"/>
        <v>72.630000000001985</v>
      </c>
      <c r="N2423" s="1">
        <f t="shared" si="228"/>
        <v>0.83175851343476548</v>
      </c>
      <c r="O2423" s="1">
        <f t="shared" si="229"/>
        <v>-0.25336131066195189</v>
      </c>
      <c r="P2423" s="1">
        <f t="shared" si="230"/>
        <v>4.650981498563989</v>
      </c>
      <c r="R2423" s="3">
        <f t="shared" si="225"/>
        <v>-9.2053343601686807E-2</v>
      </c>
      <c r="S2423" s="3">
        <f t="shared" si="226"/>
        <v>-1.4971727294910731</v>
      </c>
    </row>
    <row r="2424" spans="6:19" x14ac:dyDescent="0.2">
      <c r="F2424" s="3"/>
      <c r="G2424" s="3"/>
      <c r="H2424" s="3"/>
      <c r="M2424" s="1">
        <f t="shared" si="227"/>
        <v>72.660000000001986</v>
      </c>
      <c r="N2424" s="1">
        <f t="shared" si="228"/>
        <v>0.94333595397644365</v>
      </c>
      <c r="O2424" s="1">
        <f t="shared" si="229"/>
        <v>-0.22506123204265857</v>
      </c>
      <c r="P2424" s="1">
        <f t="shared" si="230"/>
        <v>4.6442296616027097</v>
      </c>
      <c r="R2424" s="3">
        <f t="shared" si="225"/>
        <v>-0.1021598347459564</v>
      </c>
      <c r="S2424" s="3">
        <f t="shared" si="226"/>
        <v>-1.4965170791423259</v>
      </c>
    </row>
    <row r="2425" spans="6:19" x14ac:dyDescent="0.2">
      <c r="F2425" s="3"/>
      <c r="G2425" s="3"/>
      <c r="H2425" s="3"/>
      <c r="M2425" s="1">
        <f t="shared" si="227"/>
        <v>72.690000000001987</v>
      </c>
      <c r="N2425" s="1">
        <f t="shared" si="228"/>
        <v>1.0418538583434034</v>
      </c>
      <c r="O2425" s="1">
        <f t="shared" si="229"/>
        <v>-0.19380561629235649</v>
      </c>
      <c r="P2425" s="1">
        <f t="shared" si="230"/>
        <v>4.6384154931139392</v>
      </c>
      <c r="R2425" s="3">
        <f t="shared" si="225"/>
        <v>-0.1108590614392195</v>
      </c>
      <c r="S2425" s="3">
        <f t="shared" si="226"/>
        <v>-1.4958978135209688</v>
      </c>
    </row>
    <row r="2426" spans="6:19" x14ac:dyDescent="0.2">
      <c r="F2426" s="3"/>
      <c r="G2426" s="3"/>
      <c r="H2426" s="3"/>
      <c r="M2426" s="1">
        <f t="shared" si="227"/>
        <v>72.720000000001988</v>
      </c>
      <c r="N2426" s="1">
        <f t="shared" si="228"/>
        <v>1.1260331198585072</v>
      </c>
      <c r="O2426" s="1">
        <f t="shared" si="229"/>
        <v>-0.16002462269660128</v>
      </c>
      <c r="P2426" s="1">
        <f t="shared" si="230"/>
        <v>4.633614754433041</v>
      </c>
      <c r="R2426" s="3">
        <f t="shared" si="225"/>
        <v>-0.11803917086313846</v>
      </c>
      <c r="S2426" s="3">
        <f t="shared" si="226"/>
        <v>-1.4953483721668148</v>
      </c>
    </row>
    <row r="2427" spans="6:19" x14ac:dyDescent="0.2">
      <c r="F2427" s="3"/>
      <c r="G2427" s="3"/>
      <c r="H2427" s="3"/>
      <c r="M2427" s="1">
        <f t="shared" si="227"/>
        <v>72.75000000000199</v>
      </c>
      <c r="N2427" s="1">
        <f t="shared" si="228"/>
        <v>1.1947939246740789</v>
      </c>
      <c r="O2427" s="1">
        <f t="shared" si="229"/>
        <v>-0.12418080495637893</v>
      </c>
      <c r="P2427" s="1">
        <f t="shared" si="230"/>
        <v>4.6298893302843496</v>
      </c>
      <c r="R2427" s="3">
        <f t="shared" si="225"/>
        <v>-0.12360914579432397</v>
      </c>
      <c r="S2427" s="3">
        <f t="shared" si="226"/>
        <v>-1.4948982504090362</v>
      </c>
    </row>
    <row r="2428" spans="6:19" x14ac:dyDescent="0.2">
      <c r="F2428" s="3"/>
      <c r="G2428" s="3"/>
      <c r="H2428" s="3"/>
      <c r="M2428" s="1">
        <f t="shared" si="227"/>
        <v>72.780000000001991</v>
      </c>
      <c r="N2428" s="1">
        <f t="shared" si="228"/>
        <v>1.2472677303893138</v>
      </c>
      <c r="O2428" s="1">
        <f t="shared" si="229"/>
        <v>-8.6762773044699509E-2</v>
      </c>
      <c r="P2428" s="1">
        <f t="shared" si="230"/>
        <v>4.6272864470930086</v>
      </c>
      <c r="R2428" s="3">
        <f t="shared" si="225"/>
        <v>-0.12749976820363956</v>
      </c>
      <c r="S2428" s="3">
        <f t="shared" si="226"/>
        <v>-1.4945714466388076</v>
      </c>
    </row>
    <row r="2429" spans="6:19" x14ac:dyDescent="0.2">
      <c r="F2429" s="3"/>
      <c r="G2429" s="3"/>
      <c r="H2429" s="3"/>
      <c r="M2429" s="1">
        <f t="shared" si="227"/>
        <v>72.810000000001992</v>
      </c>
      <c r="N2429" s="1">
        <f t="shared" si="228"/>
        <v>1.2828063316104186</v>
      </c>
      <c r="O2429" s="1">
        <f t="shared" si="229"/>
        <v>-4.8278583096386954E-2</v>
      </c>
      <c r="P2429" s="1">
        <f t="shared" si="230"/>
        <v>4.6258380896001174</v>
      </c>
      <c r="R2429" s="3">
        <f t="shared" si="225"/>
        <v>-0.12966430746959792</v>
      </c>
      <c r="S2429" s="3">
        <f t="shared" si="226"/>
        <v>-1.4943852138483</v>
      </c>
    </row>
    <row r="2430" spans="6:19" x14ac:dyDescent="0.2">
      <c r="F2430" s="3"/>
      <c r="G2430" s="3"/>
      <c r="H2430" s="3"/>
      <c r="M2430" s="1">
        <f t="shared" si="227"/>
        <v>72.840000000001993</v>
      </c>
      <c r="N2430" s="1">
        <f t="shared" si="228"/>
        <v>1.3009881471746543</v>
      </c>
      <c r="O2430" s="1">
        <f t="shared" si="229"/>
        <v>-9.2489386811473243E-3</v>
      </c>
      <c r="P2430" s="1">
        <f t="shared" si="230"/>
        <v>4.6255606214396829</v>
      </c>
      <c r="R2430" s="3">
        <f t="shared" si="225"/>
        <v>-0.13007894678920903</v>
      </c>
      <c r="S2430" s="3">
        <f t="shared" si="226"/>
        <v>-1.4943491786065968</v>
      </c>
    </row>
    <row r="2431" spans="6:19" x14ac:dyDescent="0.2">
      <c r="F2431" s="3"/>
      <c r="G2431" s="3"/>
      <c r="H2431" s="3"/>
      <c r="M2431" s="1">
        <f t="shared" si="227"/>
        <v>72.870000000001994</v>
      </c>
      <c r="N2431" s="1">
        <f t="shared" si="228"/>
        <v>1.3016218723733937</v>
      </c>
      <c r="O2431" s="1">
        <f t="shared" si="229"/>
        <v>2.9799717490054486E-2</v>
      </c>
      <c r="P2431" s="1">
        <f t="shared" si="230"/>
        <v>4.6264546129643849</v>
      </c>
      <c r="R2431" s="3">
        <f t="shared" si="225"/>
        <v>-0.12874295948564118</v>
      </c>
      <c r="S2431" s="3">
        <f t="shared" si="226"/>
        <v>-1.4944648709096104</v>
      </c>
    </row>
    <row r="2432" spans="6:19" x14ac:dyDescent="0.2">
      <c r="F2432" s="3"/>
      <c r="G2432" s="3"/>
      <c r="H2432" s="3"/>
      <c r="M2432" s="1">
        <f t="shared" si="227"/>
        <v>72.900000000001995</v>
      </c>
      <c r="N2432" s="1">
        <f t="shared" si="228"/>
        <v>1.2847476202823069</v>
      </c>
      <c r="O2432" s="1">
        <f t="shared" si="229"/>
        <v>6.8342146098523696E-2</v>
      </c>
      <c r="P2432" s="1">
        <f t="shared" si="230"/>
        <v>4.628504877347341</v>
      </c>
      <c r="R2432" s="3">
        <f t="shared" si="225"/>
        <v>-0.12567864294506956</v>
      </c>
      <c r="S2432" s="3">
        <f t="shared" si="226"/>
        <v>-1.494725686775833</v>
      </c>
    </row>
    <row r="2433" spans="6:19" x14ac:dyDescent="0.2">
      <c r="F2433" s="3"/>
      <c r="G2433" s="3"/>
      <c r="H2433" s="3"/>
      <c r="M2433" s="1">
        <f t="shared" si="227"/>
        <v>72.930000000001996</v>
      </c>
      <c r="N2433" s="1">
        <f t="shared" si="228"/>
        <v>1.2506356363018285</v>
      </c>
      <c r="O2433" s="1">
        <f t="shared" si="229"/>
        <v>0.10586121518757854</v>
      </c>
      <c r="P2433" s="1">
        <f t="shared" si="230"/>
        <v>4.6316807138029681</v>
      </c>
      <c r="R2433" s="3">
        <f t="shared" si="225"/>
        <v>-0.12093101280458821</v>
      </c>
      <c r="S2433" s="3">
        <f t="shared" si="226"/>
        <v>-1.4951172830724873</v>
      </c>
    </row>
    <row r="2434" spans="6:19" x14ac:dyDescent="0.2">
      <c r="F2434" s="3"/>
      <c r="G2434" s="3"/>
      <c r="H2434" s="3"/>
      <c r="M2434" s="1">
        <f t="shared" si="227"/>
        <v>72.960000000001997</v>
      </c>
      <c r="N2434" s="1">
        <f t="shared" si="228"/>
        <v>1.1997826186790002</v>
      </c>
      <c r="O2434" s="1">
        <f t="shared" si="229"/>
        <v>0.14185469374794854</v>
      </c>
      <c r="P2434" s="1">
        <f t="shared" si="230"/>
        <v>4.6359363546154064</v>
      </c>
      <c r="R2434" s="3">
        <f t="shared" ref="R2434:R2497" si="231">$B$3*COS(P2434)</f>
        <v>-0.11456725482293423</v>
      </c>
      <c r="S2434" s="3">
        <f t="shared" ref="S2434:S2497" si="232">$B$3*SIN(P2434)</f>
        <v>-1.4956183818482365</v>
      </c>
    </row>
    <row r="2435" spans="6:19" x14ac:dyDescent="0.2">
      <c r="F2435" s="3"/>
      <c r="G2435" s="3"/>
      <c r="H2435" s="3"/>
      <c r="M2435" s="1">
        <f t="shared" ref="M2435:M2498" si="233">M2434+B$13</f>
        <v>72.990000000001999</v>
      </c>
      <c r="N2435" s="1">
        <f t="shared" ref="N2435:N2498" si="234">-$B$12*$B$3*COS(P2434)-B$10*O2434</f>
        <v>1.1329056257920269</v>
      </c>
      <c r="O2435" s="1">
        <f t="shared" ref="O2435:O2498" si="235">N2435*$B$13+O2434</f>
        <v>0.17584186252170936</v>
      </c>
      <c r="P2435" s="1">
        <f t="shared" ref="P2435:P2498" si="236">O2435*$B$13+P2434</f>
        <v>4.6412116104910579</v>
      </c>
      <c r="R2435" s="3">
        <f t="shared" si="231"/>
        <v>-0.10667592765580605</v>
      </c>
      <c r="S2435" s="3">
        <f t="shared" si="232"/>
        <v>-1.4962019404006843</v>
      </c>
    </row>
    <row r="2436" spans="6:19" x14ac:dyDescent="0.2">
      <c r="F2436" s="3"/>
      <c r="G2436" s="3"/>
      <c r="H2436" s="3"/>
      <c r="M2436" s="1">
        <f t="shared" si="233"/>
        <v>73.020000000002</v>
      </c>
      <c r="N2436" s="1">
        <f t="shared" si="234"/>
        <v>1.0509335089311069</v>
      </c>
      <c r="O2436" s="1">
        <f t="shared" si="235"/>
        <v>0.20736986778964256</v>
      </c>
      <c r="P2436" s="1">
        <f t="shared" si="236"/>
        <v>4.6474327065247474</v>
      </c>
      <c r="R2436" s="3">
        <f t="shared" si="231"/>
        <v>-9.736590745739479E-2</v>
      </c>
      <c r="S2436" s="3">
        <f t="shared" si="232"/>
        <v>-1.4968366243732141</v>
      </c>
    </row>
    <row r="2437" spans="6:19" x14ac:dyDescent="0.2">
      <c r="F2437" s="3"/>
      <c r="G2437" s="3"/>
      <c r="H2437" s="3"/>
      <c r="M2437" s="1">
        <f t="shared" si="233"/>
        <v>73.050000000002001</v>
      </c>
      <c r="N2437" s="1">
        <f t="shared" si="234"/>
        <v>0.95499578647287997</v>
      </c>
      <c r="O2437" s="1">
        <f t="shared" si="235"/>
        <v>0.23601974138382895</v>
      </c>
      <c r="P2437" s="1">
        <f t="shared" si="236"/>
        <v>4.6545132987662621</v>
      </c>
      <c r="R2437" s="3">
        <f t="shared" si="231"/>
        <v>-8.6765065527364002E-2</v>
      </c>
      <c r="S2437" s="3">
        <f t="shared" si="232"/>
        <v>-1.497488505266078</v>
      </c>
    </row>
    <row r="2438" spans="6:19" x14ac:dyDescent="0.2">
      <c r="F2438" s="3"/>
      <c r="G2438" s="3"/>
      <c r="H2438" s="3"/>
      <c r="M2438" s="1">
        <f t="shared" si="233"/>
        <v>73.080000000002002</v>
      </c>
      <c r="N2438" s="1">
        <f t="shared" si="234"/>
        <v>0.8464088785490953</v>
      </c>
      <c r="O2438" s="1">
        <f t="shared" si="235"/>
        <v>0.26141200774030182</v>
      </c>
      <c r="P2438" s="1">
        <f t="shared" si="236"/>
        <v>4.6623556589984707</v>
      </c>
      <c r="R2438" s="3">
        <f t="shared" si="231"/>
        <v>-7.5018673479133435E-2</v>
      </c>
      <c r="S2438" s="3">
        <f t="shared" si="232"/>
        <v>-1.498122891697951</v>
      </c>
    </row>
    <row r="2439" spans="6:19" x14ac:dyDescent="0.2">
      <c r="F2439" s="3"/>
      <c r="G2439" s="3"/>
      <c r="H2439" s="3"/>
      <c r="M2439" s="1">
        <f t="shared" si="233"/>
        <v>73.110000000002003</v>
      </c>
      <c r="N2439" s="1">
        <f t="shared" si="234"/>
        <v>0.72665965409470734</v>
      </c>
      <c r="O2439" s="1">
        <f t="shared" si="235"/>
        <v>0.28321179736314306</v>
      </c>
      <c r="P2439" s="1">
        <f t="shared" si="236"/>
        <v>4.6708520129193651</v>
      </c>
      <c r="R2439" s="3">
        <f t="shared" si="231"/>
        <v>-6.2287536606766024E-2</v>
      </c>
      <c r="S2439" s="3">
        <f t="shared" si="232"/>
        <v>-1.498706196285136</v>
      </c>
    </row>
    <row r="2440" spans="6:19" x14ac:dyDescent="0.2">
      <c r="F2440" s="3"/>
      <c r="G2440" s="3"/>
      <c r="H2440" s="3"/>
      <c r="M2440" s="1">
        <f t="shared" si="233"/>
        <v>73.140000000002004</v>
      </c>
      <c r="N2440" s="1">
        <f t="shared" si="234"/>
        <v>0.59738630430497741</v>
      </c>
      <c r="O2440" s="1">
        <f t="shared" si="235"/>
        <v>0.30113338649229238</v>
      </c>
      <c r="P2440" s="1">
        <f t="shared" si="236"/>
        <v>4.6798860145141337</v>
      </c>
      <c r="R2440" s="3">
        <f t="shared" si="231"/>
        <v>-4.8745864878278256E-2</v>
      </c>
      <c r="S2440" s="3">
        <f t="shared" si="232"/>
        <v>-1.4992077376592172</v>
      </c>
    </row>
    <row r="2441" spans="6:19" x14ac:dyDescent="0.2">
      <c r="F2441" s="3"/>
      <c r="G2441" s="3"/>
      <c r="H2441" s="3"/>
      <c r="M2441" s="1">
        <f t="shared" si="233"/>
        <v>73.170000000002005</v>
      </c>
      <c r="N2441" s="1">
        <f t="shared" si="234"/>
        <v>0.46035664399847626</v>
      </c>
      <c r="O2441" s="1">
        <f t="shared" si="235"/>
        <v>0.31494408581224664</v>
      </c>
      <c r="P2441" s="1">
        <f t="shared" si="236"/>
        <v>4.6893343370885008</v>
      </c>
      <c r="R2441" s="3">
        <f t="shared" si="231"/>
        <v>-3.4578901544421989E-2</v>
      </c>
      <c r="S2441" s="3">
        <f t="shared" si="232"/>
        <v>-1.4996013802234183</v>
      </c>
    </row>
    <row r="2442" spans="6:19" x14ac:dyDescent="0.2">
      <c r="F2442" s="3"/>
      <c r="G2442" s="3"/>
      <c r="H2442" s="3"/>
      <c r="M2442" s="1">
        <f t="shared" si="233"/>
        <v>73.200000000002007</v>
      </c>
      <c r="N2442" s="1">
        <f t="shared" si="234"/>
        <v>0.31744404772111767</v>
      </c>
      <c r="O2442" s="1">
        <f t="shared" si="235"/>
        <v>0.32446740724388018</v>
      </c>
      <c r="P2442" s="1">
        <f t="shared" si="236"/>
        <v>4.6990683593058176</v>
      </c>
      <c r="R2442" s="3">
        <f t="shared" si="231"/>
        <v>-1.998034072431001E-2</v>
      </c>
      <c r="S2442" s="3">
        <f t="shared" si="232"/>
        <v>-1.4998669227583292</v>
      </c>
    </row>
    <row r="2443" spans="6:19" x14ac:dyDescent="0.2">
      <c r="F2443" s="3"/>
      <c r="G2443" s="3"/>
      <c r="H2443" s="3"/>
      <c r="M2443" s="1">
        <f t="shared" si="233"/>
        <v>73.230000000002008</v>
      </c>
      <c r="N2443" s="1">
        <f t="shared" si="234"/>
        <v>0.1706013405911509</v>
      </c>
      <c r="O2443" s="1">
        <f t="shared" si="235"/>
        <v>0.32958544746161472</v>
      </c>
      <c r="P2443" s="1">
        <f t="shared" si="236"/>
        <v>4.7089559227296656</v>
      </c>
      <c r="R2443" s="3">
        <f t="shared" si="231"/>
        <v>-5.149576367136836E-3</v>
      </c>
      <c r="S2443" s="3">
        <f t="shared" si="232"/>
        <v>-1.4999911605950347</v>
      </c>
    </row>
    <row r="2444" spans="6:19" x14ac:dyDescent="0.2">
      <c r="F2444" s="3"/>
      <c r="G2444" s="3"/>
      <c r="H2444" s="3"/>
      <c r="M2444" s="1">
        <f t="shared" si="233"/>
        <v>73.260000000002009</v>
      </c>
      <c r="N2444" s="1">
        <f t="shared" si="234"/>
        <v>2.1833073399823041E-2</v>
      </c>
      <c r="O2444" s="1">
        <f t="shared" si="235"/>
        <v>0.33024043966360939</v>
      </c>
      <c r="P2444" s="1">
        <f t="shared" si="236"/>
        <v>4.7188631359195741</v>
      </c>
      <c r="R2444" s="3">
        <f t="shared" si="231"/>
        <v>9.7111654619131075E-3</v>
      </c>
      <c r="S2444" s="3">
        <f t="shared" si="232"/>
        <v>-1.499968564092385</v>
      </c>
    </row>
    <row r="2445" spans="6:19" x14ac:dyDescent="0.2">
      <c r="F2445" s="3"/>
      <c r="G2445" s="3"/>
      <c r="H2445" s="3"/>
      <c r="M2445" s="1">
        <f t="shared" si="233"/>
        <v>73.29000000000201</v>
      </c>
      <c r="N2445" s="1">
        <f t="shared" si="234"/>
        <v>-0.12683329418885592</v>
      </c>
      <c r="O2445" s="1">
        <f t="shared" si="235"/>
        <v>0.32643544083794374</v>
      </c>
      <c r="P2445" s="1">
        <f t="shared" si="236"/>
        <v>4.7286561991447122</v>
      </c>
      <c r="R2445" s="3">
        <f t="shared" si="231"/>
        <v>2.4399751986629838E-2</v>
      </c>
      <c r="S2445" s="3">
        <f t="shared" si="232"/>
        <v>-1.4998015375718852</v>
      </c>
    </row>
    <row r="2446" spans="6:19" x14ac:dyDescent="0.2">
      <c r="F2446" s="3"/>
      <c r="G2446" s="3"/>
      <c r="H2446" s="3"/>
      <c r="M2446" s="1">
        <f t="shared" si="233"/>
        <v>73.320000000002011</v>
      </c>
      <c r="N2446" s="1">
        <f t="shared" si="234"/>
        <v>-0.27337670954171334</v>
      </c>
      <c r="O2446" s="1">
        <f t="shared" si="235"/>
        <v>0.31823413955169233</v>
      </c>
      <c r="P2446" s="1">
        <f t="shared" si="236"/>
        <v>4.7382032233312632</v>
      </c>
      <c r="R2446" s="3">
        <f t="shared" si="231"/>
        <v>3.8717064070712494E-2</v>
      </c>
      <c r="S2446" s="3">
        <f t="shared" si="232"/>
        <v>-1.4995002463986942</v>
      </c>
    </row>
    <row r="2447" spans="6:19" x14ac:dyDescent="0.2">
      <c r="F2447" s="3"/>
      <c r="G2447" s="3"/>
      <c r="H2447" s="3"/>
      <c r="M2447" s="1">
        <f t="shared" si="233"/>
        <v>73.350000000002012</v>
      </c>
      <c r="N2447" s="1">
        <f t="shared" si="234"/>
        <v>-0.41581171326677724</v>
      </c>
      <c r="O2447" s="1">
        <f t="shared" si="235"/>
        <v>0.30575978815368904</v>
      </c>
      <c r="P2447" s="1">
        <f t="shared" si="236"/>
        <v>4.7473760169758741</v>
      </c>
      <c r="R2447" s="3">
        <f t="shared" si="231"/>
        <v>5.2469848697786828E-2</v>
      </c>
      <c r="S2447" s="3">
        <f t="shared" si="232"/>
        <v>-1.4990820240992924</v>
      </c>
    </row>
    <row r="2448" spans="6:19" x14ac:dyDescent="0.2">
      <c r="F2448" s="3"/>
      <c r="G2448" s="3"/>
      <c r="H2448" s="3"/>
      <c r="M2448" s="1">
        <f t="shared" si="233"/>
        <v>73.380000000002013</v>
      </c>
      <c r="N2448" s="1">
        <f t="shared" si="234"/>
        <v>-0.55221686791170033</v>
      </c>
      <c r="O2448" s="1">
        <f t="shared" si="235"/>
        <v>0.28919328211633805</v>
      </c>
      <c r="P2448" s="1">
        <f t="shared" si="236"/>
        <v>4.7560518154393643</v>
      </c>
      <c r="R2448" s="3">
        <f t="shared" si="231"/>
        <v>6.5473444387228963E-2</v>
      </c>
      <c r="S2448" s="3">
        <f t="shared" si="232"/>
        <v>-1.4985703947696525</v>
      </c>
    </row>
    <row r="2449" spans="6:19" x14ac:dyDescent="0.2">
      <c r="F2449" s="3"/>
      <c r="G2449" s="3"/>
      <c r="H2449" s="3"/>
      <c r="M2449" s="1">
        <f t="shared" si="233"/>
        <v>73.410000000002015</v>
      </c>
      <c r="N2449" s="1">
        <f t="shared" si="234"/>
        <v>-0.6807618392627599</v>
      </c>
      <c r="O2449" s="1">
        <f t="shared" si="235"/>
        <v>0.26877042693845526</v>
      </c>
      <c r="P2449" s="1">
        <f t="shared" si="236"/>
        <v>4.7641149282475181</v>
      </c>
      <c r="R2449" s="3">
        <f t="shared" si="231"/>
        <v>7.7554327276377275E-2</v>
      </c>
      <c r="S2449" s="3">
        <f t="shared" si="232"/>
        <v>-1.4979937671167756</v>
      </c>
    </row>
    <row r="2450" spans="6:19" x14ac:dyDescent="0.2">
      <c r="F2450" s="3"/>
      <c r="G2450" s="3"/>
      <c r="H2450" s="3"/>
      <c r="M2450" s="1">
        <f t="shared" si="233"/>
        <v>73.440000000002016</v>
      </c>
      <c r="N2450" s="1">
        <f t="shared" si="234"/>
        <v>-0.79973261118823369</v>
      </c>
      <c r="O2450" s="1">
        <f t="shared" si="235"/>
        <v>0.24477844860280826</v>
      </c>
      <c r="P2450" s="1">
        <f t="shared" si="236"/>
        <v>4.7714582817056028</v>
      </c>
      <c r="R2450" s="3">
        <f t="shared" si="231"/>
        <v>8.8552435078759137E-2</v>
      </c>
      <c r="S2450" s="3">
        <f t="shared" si="232"/>
        <v>-1.4973838740421983</v>
      </c>
    </row>
    <row r="2451" spans="6:19" x14ac:dyDescent="0.2">
      <c r="F2451" s="3"/>
      <c r="G2451" s="3"/>
      <c r="H2451" s="3"/>
      <c r="M2451" s="1">
        <f t="shared" si="233"/>
        <v>73.470000000002017</v>
      </c>
      <c r="N2451" s="1">
        <f t="shared" si="234"/>
        <v>-0.90755441116184399</v>
      </c>
      <c r="O2451" s="1">
        <f t="shared" si="235"/>
        <v>0.21755181626795295</v>
      </c>
      <c r="P2451" s="1">
        <f t="shared" si="236"/>
        <v>4.7779848361936414</v>
      </c>
      <c r="R2451" s="3">
        <f t="shared" si="231"/>
        <v>9.8323237163194743E-2</v>
      </c>
      <c r="S2451" s="3">
        <f t="shared" si="232"/>
        <v>-1.4967740447488225</v>
      </c>
    </row>
    <row r="2452" spans="6:19" x14ac:dyDescent="0.2">
      <c r="F2452" s="3"/>
      <c r="G2452" s="3"/>
      <c r="H2452" s="3"/>
      <c r="M2452" s="1">
        <f t="shared" si="233"/>
        <v>73.500000000002018</v>
      </c>
      <c r="N2452" s="1">
        <f t="shared" si="234"/>
        <v>-1.002812035096063</v>
      </c>
      <c r="O2452" s="1">
        <f t="shared" si="235"/>
        <v>0.18746745521507105</v>
      </c>
      <c r="P2452" s="1">
        <f t="shared" si="236"/>
        <v>4.7836088598500934</v>
      </c>
      <c r="R2452" s="3">
        <f t="shared" si="231"/>
        <v>0.10673953046317211</v>
      </c>
      <c r="S2452" s="3">
        <f t="shared" si="232"/>
        <v>-1.4961974043008166</v>
      </c>
    </row>
    <row r="2453" spans="6:19" x14ac:dyDescent="0.2">
      <c r="F2453" s="3"/>
      <c r="G2453" s="3"/>
      <c r="H2453" s="3"/>
      <c r="M2453" s="1">
        <f t="shared" si="233"/>
        <v>73.530000000002019</v>
      </c>
      <c r="N2453" s="1">
        <f t="shared" si="234"/>
        <v>-1.0842673756010774</v>
      </c>
      <c r="O2453" s="1">
        <f t="shared" si="235"/>
        <v>0.15493943394703874</v>
      </c>
      <c r="P2453" s="1">
        <f t="shared" si="236"/>
        <v>4.788257042868505</v>
      </c>
      <c r="R2453" s="3">
        <f t="shared" si="231"/>
        <v>0.11369295170299638</v>
      </c>
      <c r="S2453" s="3">
        <f t="shared" si="232"/>
        <v>-1.4956850981182703</v>
      </c>
    </row>
    <row r="2454" spans="6:19" x14ac:dyDescent="0.2">
      <c r="F2454" s="3"/>
      <c r="G2454" s="3"/>
      <c r="H2454" s="3"/>
      <c r="M2454" s="1">
        <f t="shared" si="233"/>
        <v>73.56000000000202</v>
      </c>
      <c r="N2454" s="1">
        <f t="shared" si="234"/>
        <v>-1.1508740660851973</v>
      </c>
      <c r="O2454" s="1">
        <f t="shared" si="235"/>
        <v>0.12041321196448282</v>
      </c>
      <c r="P2454" s="1">
        <f t="shared" si="236"/>
        <v>4.7918694392274395</v>
      </c>
      <c r="R2454" s="3">
        <f t="shared" si="231"/>
        <v>0.11909520554253254</v>
      </c>
      <c r="S2454" s="3">
        <f t="shared" si="232"/>
        <v>-1.4952646361152202</v>
      </c>
    </row>
    <row r="2455" spans="6:19" x14ac:dyDescent="0.2">
      <c r="F2455" s="3"/>
      <c r="G2455" s="3"/>
      <c r="H2455" s="3"/>
      <c r="M2455" s="1">
        <f t="shared" si="233"/>
        <v>73.590000000002021</v>
      </c>
      <c r="N2455" s="1">
        <f t="shared" si="234"/>
        <v>-1.201789244502129</v>
      </c>
      <c r="O2455" s="1">
        <f t="shared" si="235"/>
        <v>8.4359534629418947E-2</v>
      </c>
      <c r="P2455" s="1">
        <f t="shared" si="236"/>
        <v>4.7944002252663216</v>
      </c>
      <c r="R2455" s="3">
        <f t="shared" si="231"/>
        <v>0.12287901497357148</v>
      </c>
      <c r="S2455" s="3">
        <f t="shared" si="232"/>
        <v>-1.4949584434622674</v>
      </c>
    </row>
    <row r="2456" spans="6:19" x14ac:dyDescent="0.2">
      <c r="F2456" s="3"/>
      <c r="G2456" s="3"/>
      <c r="H2456" s="3"/>
      <c r="M2456" s="1">
        <f t="shared" si="233"/>
        <v>73.620000000002022</v>
      </c>
      <c r="N2456" s="1">
        <f t="shared" si="234"/>
        <v>-1.2363825078523625</v>
      </c>
      <c r="O2456" s="1">
        <f t="shared" si="235"/>
        <v>4.7268059393848073E-2</v>
      </c>
      <c r="P2456" s="1">
        <f t="shared" si="236"/>
        <v>4.7958182670481371</v>
      </c>
      <c r="R2456" s="3">
        <f t="shared" si="231"/>
        <v>0.12499880425285836</v>
      </c>
      <c r="S2456" s="3">
        <f t="shared" si="232"/>
        <v>-1.4947826928805925</v>
      </c>
    </row>
    <row r="2457" spans="6:19" x14ac:dyDescent="0.2">
      <c r="F2457" s="3"/>
      <c r="G2457" s="3"/>
      <c r="H2457" s="3"/>
      <c r="M2457" s="1">
        <f t="shared" si="233"/>
        <v>73.650000000002024</v>
      </c>
      <c r="N2457" s="1">
        <f t="shared" si="234"/>
        <v>-1.2542421678740299</v>
      </c>
      <c r="O2457" s="1">
        <f t="shared" si="235"/>
        <v>9.640794357627179E-3</v>
      </c>
      <c r="P2457" s="1">
        <f t="shared" si="236"/>
        <v>4.7961074908788657</v>
      </c>
      <c r="R2457" s="3">
        <f t="shared" si="231"/>
        <v>0.12543112579527127</v>
      </c>
      <c r="S2457" s="3">
        <f t="shared" si="232"/>
        <v>-1.4947464777284911</v>
      </c>
    </row>
    <row r="2458" spans="6:19" x14ac:dyDescent="0.2">
      <c r="F2458" s="3"/>
      <c r="G2458" s="3"/>
      <c r="H2458" s="3"/>
      <c r="M2458" s="1">
        <f t="shared" si="233"/>
        <v>73.680000000002025</v>
      </c>
      <c r="N2458" s="1">
        <f t="shared" si="234"/>
        <v>-1.2551789294448989</v>
      </c>
      <c r="O2458" s="1">
        <f t="shared" si="235"/>
        <v>-2.8014573525719788E-2</v>
      </c>
      <c r="P2458" s="1">
        <f t="shared" si="236"/>
        <v>4.7952670536730944</v>
      </c>
      <c r="R2458" s="3">
        <f t="shared" si="231"/>
        <v>0.12417484109190483</v>
      </c>
      <c r="S2458" s="3">
        <f t="shared" si="232"/>
        <v>-1.4948513668053423</v>
      </c>
    </row>
    <row r="2459" spans="6:19" x14ac:dyDescent="0.2">
      <c r="F2459" s="3"/>
      <c r="G2459" s="3"/>
      <c r="H2459" s="3"/>
      <c r="M2459" s="1">
        <f t="shared" si="233"/>
        <v>73.710000000002026</v>
      </c>
      <c r="N2459" s="1">
        <f t="shared" si="234"/>
        <v>-1.2392270993017334</v>
      </c>
      <c r="O2459" s="1">
        <f t="shared" si="235"/>
        <v>-6.5191386504771798E-2</v>
      </c>
      <c r="P2459" s="1">
        <f t="shared" si="236"/>
        <v>4.7933113120779511</v>
      </c>
      <c r="R2459" s="3">
        <f t="shared" si="231"/>
        <v>0.12125106247934581</v>
      </c>
      <c r="S2459" s="3">
        <f t="shared" si="232"/>
        <v>-1.4950913617059092</v>
      </c>
    </row>
    <row r="2460" spans="6:19" x14ac:dyDescent="0.2">
      <c r="F2460" s="3"/>
      <c r="G2460" s="3"/>
      <c r="H2460" s="3"/>
      <c r="M2460" s="1">
        <f t="shared" si="233"/>
        <v>73.740000000002027</v>
      </c>
      <c r="N2460" s="1">
        <f t="shared" si="234"/>
        <v>-1.2066434000080286</v>
      </c>
      <c r="O2460" s="1">
        <f t="shared" si="235"/>
        <v>-0.10139068850501265</v>
      </c>
      <c r="P2460" s="1">
        <f t="shared" si="236"/>
        <v>4.7902695914228008</v>
      </c>
      <c r="R2460" s="3">
        <f t="shared" si="231"/>
        <v>0.11670285830473499</v>
      </c>
      <c r="S2460" s="3">
        <f t="shared" si="232"/>
        <v>-1.4954532566628438</v>
      </c>
    </row>
    <row r="2461" spans="6:19" x14ac:dyDescent="0.2">
      <c r="F2461" s="3"/>
      <c r="G2461" s="3"/>
      <c r="H2461" s="3"/>
      <c r="M2461" s="1">
        <f t="shared" si="233"/>
        <v>73.770000000002028</v>
      </c>
      <c r="N2461" s="1">
        <f t="shared" si="234"/>
        <v>-1.1579034210818988</v>
      </c>
      <c r="O2461" s="1">
        <f t="shared" si="235"/>
        <v>-0.13612779113746962</v>
      </c>
      <c r="P2461" s="1">
        <f t="shared" si="236"/>
        <v>4.7861857576886768</v>
      </c>
      <c r="R2461" s="3">
        <f t="shared" si="231"/>
        <v>0.11059471965682069</v>
      </c>
      <c r="S2461" s="3">
        <f t="shared" si="232"/>
        <v>-1.4959173800661683</v>
      </c>
    </row>
    <row r="2462" spans="6:19" x14ac:dyDescent="0.2">
      <c r="F2462" s="3"/>
      <c r="G2462" s="3"/>
      <c r="H2462" s="3"/>
      <c r="M2462" s="1">
        <f t="shared" si="233"/>
        <v>73.800000000002029</v>
      </c>
      <c r="N2462" s="1">
        <f t="shared" si="234"/>
        <v>-1.0936956953658346</v>
      </c>
      <c r="O2462" s="1">
        <f t="shared" si="235"/>
        <v>-0.16893866199844465</v>
      </c>
      <c r="P2462" s="1">
        <f t="shared" si="236"/>
        <v>4.7811175978287235</v>
      </c>
      <c r="R2462" s="3">
        <f t="shared" si="231"/>
        <v>0.10301178331578163</v>
      </c>
      <c r="S2462" s="3">
        <f t="shared" si="232"/>
        <v>-1.4964586771769217</v>
      </c>
    </row>
    <row r="2463" spans="6:19" x14ac:dyDescent="0.2">
      <c r="F2463" s="3"/>
      <c r="G2463" s="3"/>
      <c r="H2463" s="3"/>
      <c r="M2463" s="1">
        <f t="shared" si="233"/>
        <v>73.83000000000203</v>
      </c>
      <c r="N2463" s="1">
        <f t="shared" si="234"/>
        <v>-1.0149133535779562</v>
      </c>
      <c r="O2463" s="1">
        <f t="shared" si="235"/>
        <v>-0.19938606260578334</v>
      </c>
      <c r="P2463" s="1">
        <f t="shared" si="236"/>
        <v>4.77513601595055</v>
      </c>
      <c r="R2463" s="3">
        <f t="shared" si="231"/>
        <v>9.405880374839197E-2</v>
      </c>
      <c r="S2463" s="3">
        <f t="shared" si="232"/>
        <v>-1.4970480758604321</v>
      </c>
    </row>
    <row r="2464" spans="6:19" x14ac:dyDescent="0.2">
      <c r="F2464" s="3"/>
      <c r="G2464" s="3"/>
      <c r="H2464" s="3"/>
      <c r="M2464" s="1">
        <f t="shared" si="233"/>
        <v>73.860000000002032</v>
      </c>
      <c r="N2464" s="1">
        <f t="shared" si="234"/>
        <v>-0.92264329184939919</v>
      </c>
      <c r="O2464" s="1">
        <f t="shared" si="235"/>
        <v>-0.22706536136126532</v>
      </c>
      <c r="P2464" s="1">
        <f t="shared" si="236"/>
        <v>4.7683240551097121</v>
      </c>
      <c r="R2464" s="3">
        <f t="shared" si="231"/>
        <v>8.385886745862943E-2</v>
      </c>
      <c r="S2464" s="3">
        <f t="shared" si="232"/>
        <v>-1.4976540623083008</v>
      </c>
    </row>
    <row r="2465" spans="6:19" x14ac:dyDescent="0.2">
      <c r="F2465" s="3"/>
      <c r="G2465" s="3"/>
      <c r="H2465" s="3"/>
      <c r="M2465" s="1">
        <f t="shared" si="233"/>
        <v>73.890000000002033</v>
      </c>
      <c r="N2465" s="1">
        <f t="shared" si="234"/>
        <v>-0.81815279206378044</v>
      </c>
      <c r="O2465" s="1">
        <f t="shared" si="235"/>
        <v>-0.25160994512317875</v>
      </c>
      <c r="P2465" s="1">
        <f t="shared" si="236"/>
        <v>4.7607757567560167</v>
      </c>
      <c r="R2465" s="3">
        <f t="shared" si="231"/>
        <v>7.2551846122773628E-2</v>
      </c>
      <c r="S2465" s="3">
        <f t="shared" si="232"/>
        <v>-1.4982443824770968</v>
      </c>
    </row>
    <row r="2466" spans="6:19" x14ac:dyDescent="0.2">
      <c r="F2466" s="3"/>
      <c r="G2466" s="3"/>
      <c r="H2466" s="3"/>
      <c r="M2466" s="1">
        <f t="shared" si="233"/>
        <v>73.920000000002034</v>
      </c>
      <c r="N2466" s="1">
        <f t="shared" si="234"/>
        <v>-0.7028735661666502</v>
      </c>
      <c r="O2466" s="1">
        <f t="shared" si="235"/>
        <v>-0.27269615210817827</v>
      </c>
      <c r="P2466" s="1">
        <f t="shared" si="236"/>
        <v>4.7525948721927715</v>
      </c>
      <c r="R2466" s="3">
        <f t="shared" si="231"/>
        <v>6.0292590681260749E-2</v>
      </c>
      <c r="S2466" s="3">
        <f t="shared" si="232"/>
        <v>-1.4987877780089287</v>
      </c>
    </row>
    <row r="2467" spans="6:19" x14ac:dyDescent="0.2">
      <c r="F2467" s="3"/>
      <c r="G2467" s="3"/>
      <c r="H2467" s="3"/>
      <c r="M2467" s="1">
        <f t="shared" si="233"/>
        <v>73.950000000002035</v>
      </c>
      <c r="N2467" s="1">
        <f t="shared" si="234"/>
        <v>-0.57838325312287142</v>
      </c>
      <c r="O2467" s="1">
        <f t="shared" si="235"/>
        <v>-0.29004764970186442</v>
      </c>
      <c r="P2467" s="1">
        <f t="shared" si="236"/>
        <v>4.7438934427017152</v>
      </c>
      <c r="R2467" s="3">
        <f t="shared" si="231"/>
        <v>4.724887657345303E-2</v>
      </c>
      <c r="S2467" s="3">
        <f t="shared" si="232"/>
        <v>-1.4992556632084291</v>
      </c>
    </row>
    <row r="2468" spans="6:19" x14ac:dyDescent="0.2">
      <c r="F2468" s="3"/>
      <c r="G2468" s="3"/>
      <c r="H2468" s="3"/>
      <c r="M2468" s="1">
        <f t="shared" si="233"/>
        <v>73.980000000002036</v>
      </c>
      <c r="N2468" s="1">
        <f t="shared" si="234"/>
        <v>-0.44638447726136254</v>
      </c>
      <c r="O2468" s="1">
        <f t="shared" si="235"/>
        <v>-0.30343918401970527</v>
      </c>
      <c r="P2468" s="1">
        <f t="shared" si="236"/>
        <v>4.7347902671811237</v>
      </c>
      <c r="R2468" s="3">
        <f t="shared" si="231"/>
        <v>3.3599119924888822E-2</v>
      </c>
      <c r="S2468" s="3">
        <f t="shared" si="232"/>
        <v>-1.4996236525009443</v>
      </c>
    </row>
    <row r="2469" spans="6:19" x14ac:dyDescent="0.2">
      <c r="F2469" s="3"/>
      <c r="G2469" s="3"/>
      <c r="H2469" s="3"/>
      <c r="M2469" s="1">
        <f t="shared" si="233"/>
        <v>74.010000000002037</v>
      </c>
      <c r="N2469" s="1">
        <f t="shared" si="234"/>
        <v>-0.30868167268711472</v>
      </c>
      <c r="O2469" s="1">
        <f t="shared" si="235"/>
        <v>-0.31269963420031871</v>
      </c>
      <c r="P2469" s="1">
        <f t="shared" si="236"/>
        <v>4.725409278155114</v>
      </c>
      <c r="R2469" s="3">
        <f t="shared" si="231"/>
        <v>1.9529894833552254E-2</v>
      </c>
      <c r="S2469" s="3">
        <f t="shared" si="232"/>
        <v>-1.4998728556807042</v>
      </c>
    </row>
    <row r="2470" spans="6:19" x14ac:dyDescent="0.2">
      <c r="F2470" s="3"/>
      <c r="G2470" s="3"/>
      <c r="H2470" s="3"/>
      <c r="M2470" s="1">
        <f t="shared" si="233"/>
        <v>74.040000000002038</v>
      </c>
      <c r="N2470" s="1">
        <f t="shared" si="234"/>
        <v>-0.16715598125749384</v>
      </c>
      <c r="O2470" s="1">
        <f t="shared" si="235"/>
        <v>-0.31771431363804353</v>
      </c>
      <c r="P2470" s="1">
        <f t="shared" si="236"/>
        <v>4.7158778487459729</v>
      </c>
      <c r="R2470" s="3">
        <f t="shared" si="231"/>
        <v>5.2332919251280776E-3</v>
      </c>
      <c r="S2470" s="3">
        <f t="shared" si="232"/>
        <v>-1.4999908708574283</v>
      </c>
    </row>
    <row r="2471" spans="6:19" x14ac:dyDescent="0.2">
      <c r="F2471" s="3"/>
      <c r="G2471" s="3"/>
      <c r="H2471" s="3"/>
      <c r="M2471" s="1">
        <f t="shared" si="233"/>
        <v>74.07000000000204</v>
      </c>
      <c r="N2471" s="1">
        <f t="shared" si="234"/>
        <v>-2.3738631023856864E-2</v>
      </c>
      <c r="O2471" s="1">
        <f t="shared" si="235"/>
        <v>-0.31842647256875922</v>
      </c>
      <c r="P2471" s="1">
        <f t="shared" si="236"/>
        <v>4.7063250545689099</v>
      </c>
      <c r="R2471" s="3">
        <f t="shared" si="231"/>
        <v>-9.095832979320758E-3</v>
      </c>
      <c r="S2471" s="3">
        <f t="shared" si="232"/>
        <v>-1.499972421687283</v>
      </c>
    </row>
    <row r="2472" spans="6:19" x14ac:dyDescent="0.2">
      <c r="F2472" s="3"/>
      <c r="G2472" s="3"/>
      <c r="H2472" s="3"/>
      <c r="M2472" s="1">
        <f t="shared" si="233"/>
        <v>74.100000000002041</v>
      </c>
      <c r="N2472" s="1">
        <f t="shared" si="234"/>
        <v>0.1196167123243959</v>
      </c>
      <c r="O2472" s="1">
        <f t="shared" si="235"/>
        <v>-0.31483797119902734</v>
      </c>
      <c r="P2472" s="1">
        <f t="shared" si="236"/>
        <v>4.6968799154329393</v>
      </c>
      <c r="R2472" s="3">
        <f t="shared" si="231"/>
        <v>-2.3262664835745395E-2</v>
      </c>
      <c r="S2472" s="3">
        <f t="shared" si="232"/>
        <v>-1.4998196052941632</v>
      </c>
    </row>
    <row r="2473" spans="6:19" x14ac:dyDescent="0.2">
      <c r="F2473" s="3"/>
      <c r="G2473" s="3"/>
      <c r="H2473" s="3"/>
      <c r="M2473" s="1">
        <f t="shared" si="233"/>
        <v>74.130000000002042</v>
      </c>
      <c r="N2473" s="1">
        <f t="shared" si="234"/>
        <v>0.2609620657653664</v>
      </c>
      <c r="O2473" s="1">
        <f t="shared" si="235"/>
        <v>-0.30700910922606633</v>
      </c>
      <c r="P2473" s="1">
        <f t="shared" si="236"/>
        <v>4.6876696421561572</v>
      </c>
      <c r="R2473" s="3">
        <f t="shared" si="231"/>
        <v>-3.7075231296943192E-2</v>
      </c>
      <c r="S2473" s="3">
        <f t="shared" si="232"/>
        <v>-1.4995417390737338</v>
      </c>
    </row>
    <row r="2474" spans="6:19" x14ac:dyDescent="0.2">
      <c r="F2474" s="3"/>
      <c r="G2474" s="3"/>
      <c r="H2474" s="3"/>
      <c r="M2474" s="1">
        <f t="shared" si="233"/>
        <v>74.160000000002043</v>
      </c>
      <c r="N2474" s="1">
        <f t="shared" si="234"/>
        <v>0.39838313279977788</v>
      </c>
      <c r="O2474" s="1">
        <f t="shared" si="235"/>
        <v>-0.29505761524207302</v>
      </c>
      <c r="P2474" s="1">
        <f t="shared" si="236"/>
        <v>4.6788179136988948</v>
      </c>
      <c r="R2474" s="3">
        <f t="shared" si="231"/>
        <v>-5.034714177501478E-2</v>
      </c>
      <c r="S2474" s="3">
        <f t="shared" si="232"/>
        <v>-1.4991548169935909</v>
      </c>
    </row>
    <row r="2475" spans="6:19" x14ac:dyDescent="0.2">
      <c r="F2475" s="3"/>
      <c r="G2475" s="3"/>
      <c r="H2475" s="3"/>
      <c r="M2475" s="1">
        <f t="shared" si="233"/>
        <v>74.190000000002044</v>
      </c>
      <c r="N2475" s="1">
        <f t="shared" si="234"/>
        <v>0.53002660312193439</v>
      </c>
      <c r="O2475" s="1">
        <f t="shared" si="235"/>
        <v>-0.279156817148415</v>
      </c>
      <c r="P2475" s="1">
        <f t="shared" si="236"/>
        <v>4.6704432091844419</v>
      </c>
      <c r="R2475" s="3">
        <f t="shared" si="231"/>
        <v>-6.2900208075532996E-2</v>
      </c>
      <c r="S2475" s="3">
        <f t="shared" si="232"/>
        <v>-1.4986806076759833</v>
      </c>
    </row>
    <row r="2476" spans="6:19" x14ac:dyDescent="0.2">
      <c r="F2476" s="3"/>
      <c r="G2476" s="3"/>
      <c r="H2476" s="3"/>
      <c r="M2476" s="1">
        <f t="shared" si="233"/>
        <v>74.220000000002045</v>
      </c>
      <c r="N2476" s="1">
        <f t="shared" si="234"/>
        <v>0.65412619429868724</v>
      </c>
      <c r="O2476" s="1">
        <f t="shared" si="235"/>
        <v>-0.25953303131945438</v>
      </c>
      <c r="P2476" s="1">
        <f t="shared" si="236"/>
        <v>4.662657218244858</v>
      </c>
      <c r="R2476" s="3">
        <f t="shared" si="231"/>
        <v>-7.4566897264741402E-2</v>
      </c>
      <c r="S2476" s="3">
        <f t="shared" si="232"/>
        <v>-1.4981454461541139</v>
      </c>
    </row>
    <row r="2477" spans="6:19" x14ac:dyDescent="0.2">
      <c r="F2477" s="3"/>
      <c r="G2477" s="3"/>
      <c r="H2477" s="3"/>
      <c r="M2477" s="1">
        <f t="shared" si="233"/>
        <v>74.250000000002046</v>
      </c>
      <c r="N2477" s="1">
        <f t="shared" si="234"/>
        <v>0.7690269454661649</v>
      </c>
      <c r="O2477" s="1">
        <f t="shared" si="235"/>
        <v>-0.23646222295546943</v>
      </c>
      <c r="P2477" s="1">
        <f t="shared" si="236"/>
        <v>4.6555633515561938</v>
      </c>
      <c r="R2477" s="3">
        <f t="shared" si="231"/>
        <v>-8.5192575999436429E-2</v>
      </c>
      <c r="S2477" s="3">
        <f t="shared" si="232"/>
        <v>-1.4975787875749911</v>
      </c>
    </row>
    <row r="2478" spans="6:19" x14ac:dyDescent="0.2">
      <c r="F2478" s="3"/>
      <c r="G2478" s="3"/>
      <c r="H2478" s="3"/>
      <c r="M2478" s="1">
        <f t="shared" si="233"/>
        <v>74.280000000002047</v>
      </c>
      <c r="N2478" s="1">
        <f t="shared" si="234"/>
        <v>0.87320736006035649</v>
      </c>
      <c r="O2478" s="1">
        <f t="shared" si="235"/>
        <v>-0.21026600215365873</v>
      </c>
      <c r="P2478" s="1">
        <f t="shared" si="236"/>
        <v>4.6492553714915843</v>
      </c>
      <c r="R2478" s="3">
        <f t="shared" si="231"/>
        <v>-9.4637515561686009E-2</v>
      </c>
      <c r="S2478" s="3">
        <f t="shared" si="232"/>
        <v>-1.4970116033779806</v>
      </c>
    </row>
    <row r="2479" spans="6:19" x14ac:dyDescent="0.2">
      <c r="F2479" s="3"/>
      <c r="G2479" s="3"/>
      <c r="H2479" s="3"/>
      <c r="M2479" s="1">
        <f t="shared" si="233"/>
        <v>74.310000000002049</v>
      </c>
      <c r="N2479" s="1">
        <f t="shared" si="234"/>
        <v>0.96529909581068929</v>
      </c>
      <c r="O2479" s="1">
        <f t="shared" si="235"/>
        <v>-0.18130702927933806</v>
      </c>
      <c r="P2479" s="1">
        <f t="shared" si="236"/>
        <v>4.6438161606132038</v>
      </c>
      <c r="R2479" s="3">
        <f t="shared" si="231"/>
        <v>-0.10277863728755894</v>
      </c>
      <c r="S2479" s="3">
        <f t="shared" si="232"/>
        <v>-1.4964747080112355</v>
      </c>
    </row>
    <row r="2480" spans="6:19" x14ac:dyDescent="0.2">
      <c r="F2480" s="3"/>
      <c r="G2480" s="3"/>
      <c r="H2480" s="3"/>
      <c r="M2480" s="1">
        <f t="shared" si="233"/>
        <v>74.34000000000205</v>
      </c>
      <c r="N2480" s="1">
        <f t="shared" si="234"/>
        <v>1.0441040055107298</v>
      </c>
      <c r="O2480" s="1">
        <f t="shared" si="235"/>
        <v>-0.14998390911401616</v>
      </c>
      <c r="P2480" s="1">
        <f t="shared" si="236"/>
        <v>4.6393166433397832</v>
      </c>
      <c r="R2480" s="3">
        <f t="shared" si="231"/>
        <v>-0.10951098795642297</v>
      </c>
      <c r="S2480" s="3">
        <f t="shared" si="232"/>
        <v>-1.4959971067875792</v>
      </c>
    </row>
    <row r="2481" spans="6:19" x14ac:dyDescent="0.2">
      <c r="F2481" s="3"/>
      <c r="G2481" s="3"/>
      <c r="H2481" s="3"/>
      <c r="M2481" s="1">
        <f t="shared" si="233"/>
        <v>74.370000000002051</v>
      </c>
      <c r="N2481" s="1">
        <f t="shared" si="234"/>
        <v>1.1086084313844913</v>
      </c>
      <c r="O2481" s="1">
        <f t="shared" si="235"/>
        <v>-0.11672565617248143</v>
      </c>
      <c r="P2481" s="1">
        <f t="shared" si="236"/>
        <v>4.635814873654609</v>
      </c>
      <c r="R2481" s="3">
        <f t="shared" si="231"/>
        <v>-0.11474894313513037</v>
      </c>
      <c r="S2481" s="3">
        <f t="shared" si="232"/>
        <v>-1.4956044530721919</v>
      </c>
    </row>
    <row r="2482" spans="6:19" x14ac:dyDescent="0.2">
      <c r="F2482" s="3"/>
      <c r="G2482" s="3"/>
      <c r="H2482" s="3"/>
      <c r="M2482" s="1">
        <f t="shared" si="233"/>
        <v>74.400000000002052</v>
      </c>
      <c r="N2482" s="1">
        <f t="shared" si="234"/>
        <v>1.1579947404068271</v>
      </c>
      <c r="O2482" s="1">
        <f t="shared" si="235"/>
        <v>-8.1985813960276613E-2</v>
      </c>
      <c r="P2482" s="1">
        <f t="shared" si="236"/>
        <v>4.6333552992358005</v>
      </c>
      <c r="R2482" s="3">
        <f t="shared" si="231"/>
        <v>-0.1184271427926081</v>
      </c>
      <c r="S2482" s="3">
        <f t="shared" si="232"/>
        <v>-1.4953176959596175</v>
      </c>
    </row>
    <row r="2483" spans="6:19" x14ac:dyDescent="0.2">
      <c r="F2483" s="3"/>
      <c r="G2483" s="3"/>
      <c r="H2483" s="3"/>
      <c r="M2483" s="1">
        <f t="shared" si="233"/>
        <v>74.430000000002053</v>
      </c>
      <c r="N2483" s="1">
        <f t="shared" si="234"/>
        <v>1.1916501511825059</v>
      </c>
      <c r="O2483" s="1">
        <f t="shared" si="235"/>
        <v>-4.6236309424801433E-2</v>
      </c>
      <c r="P2483" s="1">
        <f t="shared" si="236"/>
        <v>4.6319682099530564</v>
      </c>
      <c r="R2483" s="3">
        <f t="shared" si="231"/>
        <v>-0.12050116734997765</v>
      </c>
      <c r="S2483" s="3">
        <f t="shared" si="232"/>
        <v>-1.4951519884838773</v>
      </c>
    </row>
    <row r="2484" spans="6:19" x14ac:dyDescent="0.2">
      <c r="F2484" s="3"/>
      <c r="G2484" s="3"/>
      <c r="H2484" s="3"/>
      <c r="M2484" s="1">
        <f t="shared" si="233"/>
        <v>74.460000000002054</v>
      </c>
      <c r="N2484" s="1">
        <f t="shared" si="234"/>
        <v>1.2091729413480086</v>
      </c>
      <c r="O2484" s="1">
        <f t="shared" si="235"/>
        <v>-9.9611211843611755E-3</v>
      </c>
      <c r="P2484" s="1">
        <f t="shared" si="236"/>
        <v>4.6316693763175252</v>
      </c>
      <c r="R2484" s="3">
        <f t="shared" si="231"/>
        <v>-0.12094796366724797</v>
      </c>
      <c r="S2484" s="3">
        <f t="shared" si="232"/>
        <v>-1.4951159119228001</v>
      </c>
    </row>
    <row r="2485" spans="6:19" x14ac:dyDescent="0.2">
      <c r="F2485" s="3"/>
      <c r="G2485" s="3"/>
      <c r="H2485" s="3"/>
      <c r="M2485" s="1">
        <f t="shared" si="233"/>
        <v>74.490000000002055</v>
      </c>
      <c r="N2485" s="1">
        <f t="shared" si="234"/>
        <v>1.2103761375790723</v>
      </c>
      <c r="O2485" s="1">
        <f t="shared" si="235"/>
        <v>2.6350162943010992E-2</v>
      </c>
      <c r="P2485" s="1">
        <f t="shared" si="236"/>
        <v>4.6324598812058158</v>
      </c>
      <c r="R2485" s="3">
        <f t="shared" si="231"/>
        <v>-0.11976602956333907</v>
      </c>
      <c r="S2485" s="3">
        <f t="shared" si="232"/>
        <v>-1.4952110547219188</v>
      </c>
    </row>
    <row r="2486" spans="6:19" x14ac:dyDescent="0.2">
      <c r="F2486" s="3"/>
      <c r="G2486" s="3"/>
      <c r="H2486" s="3"/>
      <c r="M2486" s="1">
        <f t="shared" si="233"/>
        <v>74.520000000002057</v>
      </c>
      <c r="N2486" s="1">
        <f t="shared" si="234"/>
        <v>1.1952887809685195</v>
      </c>
      <c r="O2486" s="1">
        <f t="shared" si="235"/>
        <v>6.2208826372066574E-2</v>
      </c>
      <c r="P2486" s="1">
        <f t="shared" si="236"/>
        <v>4.6343261459969778</v>
      </c>
      <c r="R2486" s="3">
        <f t="shared" si="231"/>
        <v>-0.11697536286724827</v>
      </c>
      <c r="S2486" s="3">
        <f t="shared" si="232"/>
        <v>-1.4954319658486894</v>
      </c>
    </row>
    <row r="2487" spans="6:19" x14ac:dyDescent="0.2">
      <c r="F2487" s="3"/>
      <c r="G2487" s="3"/>
      <c r="H2487" s="3"/>
      <c r="M2487" s="1">
        <f t="shared" si="233"/>
        <v>74.550000000002058</v>
      </c>
      <c r="N2487" s="1">
        <f t="shared" si="234"/>
        <v>1.1641548342989967</v>
      </c>
      <c r="O2487" s="1">
        <f t="shared" si="235"/>
        <v>9.7133471401036481E-2</v>
      </c>
      <c r="P2487" s="1">
        <f t="shared" si="236"/>
        <v>4.637240150139009</v>
      </c>
      <c r="R2487" s="3">
        <f t="shared" si="231"/>
        <v>-0.11261717744868177</v>
      </c>
      <c r="S2487" s="3">
        <f t="shared" si="232"/>
        <v>-1.4957664828921298</v>
      </c>
    </row>
    <row r="2488" spans="6:19" x14ac:dyDescent="0.2">
      <c r="F2488" s="3"/>
      <c r="G2488" s="3"/>
      <c r="H2488" s="3"/>
      <c r="M2488" s="1">
        <f t="shared" si="233"/>
        <v>74.580000000002059</v>
      </c>
      <c r="N2488" s="1">
        <f t="shared" si="234"/>
        <v>1.1174297620607245</v>
      </c>
      <c r="O2488" s="1">
        <f t="shared" si="235"/>
        <v>0.1306563642628582</v>
      </c>
      <c r="P2488" s="1">
        <f t="shared" si="236"/>
        <v>4.6411598410668944</v>
      </c>
      <c r="R2488" s="3">
        <f t="shared" si="231"/>
        <v>-0.10675338502570869</v>
      </c>
      <c r="S2488" s="3">
        <f t="shared" si="232"/>
        <v>-1.4961964158443746</v>
      </c>
    </row>
    <row r="2489" spans="6:19" x14ac:dyDescent="0.2">
      <c r="F2489" s="3"/>
      <c r="G2489" s="3"/>
      <c r="H2489" s="3"/>
      <c r="M2489" s="1">
        <f t="shared" si="233"/>
        <v>74.61000000000206</v>
      </c>
      <c r="N2489" s="1">
        <f t="shared" si="234"/>
        <v>1.0557747774734298</v>
      </c>
      <c r="O2489" s="1">
        <f t="shared" si="235"/>
        <v>0.16232960758706111</v>
      </c>
      <c r="P2489" s="1">
        <f t="shared" si="236"/>
        <v>4.6460297292945061</v>
      </c>
      <c r="R2489" s="3">
        <f t="shared" si="231"/>
        <v>-9.946583864501371E-2</v>
      </c>
      <c r="S2489" s="3">
        <f t="shared" si="232"/>
        <v>-1.4966985491215805</v>
      </c>
    </row>
    <row r="2490" spans="6:19" x14ac:dyDescent="0.2">
      <c r="F2490" s="3"/>
      <c r="G2490" s="3"/>
      <c r="H2490" s="3"/>
      <c r="M2490" s="1">
        <f t="shared" si="233"/>
        <v>74.640000000002061</v>
      </c>
      <c r="N2490" s="1">
        <f t="shared" si="234"/>
        <v>0.98004872176730162</v>
      </c>
      <c r="O2490" s="1">
        <f t="shared" si="235"/>
        <v>0.19173106924008015</v>
      </c>
      <c r="P2490" s="1">
        <f t="shared" si="236"/>
        <v>4.6517816613717082</v>
      </c>
      <c r="R2490" s="3">
        <f t="shared" si="231"/>
        <v>-9.0855332325594132E-2</v>
      </c>
      <c r="S2490" s="3">
        <f t="shared" si="232"/>
        <v>-1.4972459078548206</v>
      </c>
    </row>
    <row r="2491" spans="6:19" x14ac:dyDescent="0.2">
      <c r="F2491" s="3"/>
      <c r="G2491" s="3"/>
      <c r="H2491" s="3"/>
      <c r="M2491" s="1">
        <f t="shared" si="233"/>
        <v>74.670000000002062</v>
      </c>
      <c r="N2491" s="1">
        <f t="shared" si="234"/>
        <v>0.89129752702433418</v>
      </c>
      <c r="O2491" s="1">
        <f t="shared" si="235"/>
        <v>0.21846999505081019</v>
      </c>
      <c r="P2491" s="1">
        <f t="shared" si="236"/>
        <v>4.6583357612232321</v>
      </c>
      <c r="R2491" s="3">
        <f t="shared" si="231"/>
        <v>-8.1040352004635732E-2</v>
      </c>
      <c r="S2491" s="3">
        <f t="shared" si="232"/>
        <v>-1.4978092206108775</v>
      </c>
    </row>
    <row r="2492" spans="6:19" x14ac:dyDescent="0.2">
      <c r="F2492" s="3"/>
      <c r="G2492" s="3"/>
      <c r="H2492" s="3"/>
      <c r="M2492" s="1">
        <f t="shared" si="233"/>
        <v>74.700000000002063</v>
      </c>
      <c r="N2492" s="1">
        <f t="shared" si="234"/>
        <v>0.79074122049178441</v>
      </c>
      <c r="O2492" s="1">
        <f t="shared" si="235"/>
        <v>0.24219223166556372</v>
      </c>
      <c r="P2492" s="1">
        <f t="shared" si="236"/>
        <v>4.6656015281731991</v>
      </c>
      <c r="R2492" s="3">
        <f t="shared" si="231"/>
        <v>-7.0155575918138854E-2</v>
      </c>
      <c r="S2492" s="3">
        <f t="shared" si="232"/>
        <v>-1.4983585002153506</v>
      </c>
    </row>
    <row r="2493" spans="6:19" x14ac:dyDescent="0.2">
      <c r="F2493" s="3"/>
      <c r="G2493" s="3"/>
      <c r="H2493" s="3"/>
      <c r="M2493" s="1">
        <f t="shared" si="233"/>
        <v>74.730000000002065</v>
      </c>
      <c r="N2493" s="1">
        <f t="shared" si="234"/>
        <v>0.67975845833148785</v>
      </c>
      <c r="O2493" s="1">
        <f t="shared" si="235"/>
        <v>0.26258498541550834</v>
      </c>
      <c r="P2493" s="1">
        <f t="shared" si="236"/>
        <v>4.6734790777356645</v>
      </c>
      <c r="R2493" s="3">
        <f t="shared" si="231"/>
        <v>-5.8350127879631328E-2</v>
      </c>
      <c r="S2493" s="3">
        <f t="shared" si="232"/>
        <v>-1.4988646578582174</v>
      </c>
    </row>
    <row r="2494" spans="6:19" x14ac:dyDescent="0.2">
      <c r="F2494" s="3"/>
      <c r="G2494" s="3"/>
      <c r="H2494" s="3"/>
      <c r="M2494" s="1">
        <f t="shared" si="233"/>
        <v>74.760000000002066</v>
      </c>
      <c r="N2494" s="1">
        <f t="shared" si="234"/>
        <v>0.55986863010891752</v>
      </c>
      <c r="O2494" s="1">
        <f t="shared" si="235"/>
        <v>0.27938104431877586</v>
      </c>
      <c r="P2494" s="1">
        <f t="shared" si="236"/>
        <v>4.6818605090652277</v>
      </c>
      <c r="R2494" s="3">
        <f t="shared" si="231"/>
        <v>-4.5785594271766823E-2</v>
      </c>
      <c r="S2494" s="3">
        <f t="shared" si="232"/>
        <v>-1.499301063615037</v>
      </c>
    </row>
    <row r="2495" spans="6:19" x14ac:dyDescent="0.2">
      <c r="F2495" s="3"/>
      <c r="G2495" s="3"/>
      <c r="H2495" s="3"/>
      <c r="M2495" s="1">
        <f t="shared" si="233"/>
        <v>74.790000000002067</v>
      </c>
      <c r="N2495" s="1">
        <f t="shared" si="234"/>
        <v>0.43271164872897838</v>
      </c>
      <c r="O2495" s="1">
        <f t="shared" si="235"/>
        <v>0.29236239378064521</v>
      </c>
      <c r="P2495" s="1">
        <f t="shared" si="236"/>
        <v>4.6906313808786466</v>
      </c>
      <c r="R2495" s="3">
        <f t="shared" si="231"/>
        <v>-3.2633824345445997E-2</v>
      </c>
      <c r="S2495" s="3">
        <f t="shared" si="232"/>
        <v>-1.4996449691538962</v>
      </c>
    </row>
    <row r="2496" spans="6:19" x14ac:dyDescent="0.2">
      <c r="F2496" s="3"/>
      <c r="G2496" s="3"/>
      <c r="H2496" s="3"/>
      <c r="M2496" s="1">
        <f t="shared" si="233"/>
        <v>74.820000000002068</v>
      </c>
      <c r="N2496" s="1">
        <f t="shared" si="234"/>
        <v>0.30002562801420185</v>
      </c>
      <c r="O2496" s="1">
        <f t="shared" si="235"/>
        <v>0.30136316262107127</v>
      </c>
      <c r="P2496" s="1">
        <f t="shared" si="236"/>
        <v>4.6996722757572789</v>
      </c>
      <c r="R2496" s="3">
        <f t="shared" si="231"/>
        <v>-1.9074542826147425E-2</v>
      </c>
      <c r="S2496" s="3">
        <f t="shared" si="232"/>
        <v>-1.4998787157020308</v>
      </c>
    </row>
    <row r="2497" spans="6:19" x14ac:dyDescent="0.2">
      <c r="F2497" s="3"/>
      <c r="G2497" s="3"/>
      <c r="H2497" s="3"/>
      <c r="M2497" s="1">
        <f t="shared" si="233"/>
        <v>74.850000000002069</v>
      </c>
      <c r="N2497" s="1">
        <f t="shared" si="234"/>
        <v>0.16362274362557783</v>
      </c>
      <c r="O2497" s="1">
        <f t="shared" si="235"/>
        <v>0.30627184492983861</v>
      </c>
      <c r="P2497" s="1">
        <f t="shared" si="236"/>
        <v>4.7088604311051743</v>
      </c>
      <c r="R2497" s="3">
        <f t="shared" si="231"/>
        <v>-5.2928129360883588E-3</v>
      </c>
      <c r="S2497" s="3">
        <f t="shared" si="232"/>
        <v>-1.4999906620146752</v>
      </c>
    </row>
    <row r="2498" spans="6:19" x14ac:dyDescent="0.2">
      <c r="F2498" s="3"/>
      <c r="G2498" s="3"/>
      <c r="H2498" s="3"/>
      <c r="M2498" s="1">
        <f t="shared" si="233"/>
        <v>74.88000000000207</v>
      </c>
      <c r="N2498" s="1">
        <f t="shared" si="234"/>
        <v>2.536366331719811E-2</v>
      </c>
      <c r="O2498" s="1">
        <f t="shared" si="235"/>
        <v>0.30703275482935455</v>
      </c>
      <c r="P2498" s="1">
        <f t="shared" si="236"/>
        <v>4.7180714137500548</v>
      </c>
      <c r="R2498" s="3">
        <f t="shared" ref="R2498:R2561" si="237">$B$3*COS(P2498)</f>
        <v>8.5236041766085721E-3</v>
      </c>
      <c r="S2498" s="3">
        <f t="shared" ref="S2498:S2561" si="238">$B$3*SIN(P2498)</f>
        <v>-1.4999757825284514</v>
      </c>
    </row>
    <row r="2499" spans="6:19" x14ac:dyDescent="0.2">
      <c r="F2499" s="3"/>
      <c r="G2499" s="3"/>
      <c r="H2499" s="3"/>
      <c r="M2499" s="1">
        <f t="shared" ref="M2499:M2562" si="239">M2498+B$13</f>
        <v>74.910000000002071</v>
      </c>
      <c r="N2499" s="1">
        <f t="shared" ref="N2499:N2562" si="240">-$B$12*$B$3*COS(P2498)-B$10*O2498</f>
        <v>-0.11286898970072763</v>
      </c>
      <c r="O2499" s="1">
        <f t="shared" ref="O2499:O2562" si="241">N2499*$B$13+O2498</f>
        <v>0.30364668513833271</v>
      </c>
      <c r="P2499" s="1">
        <f t="shared" ref="P2499:P2562" si="242">O2499*$B$13+P2498</f>
        <v>4.7271808143042051</v>
      </c>
      <c r="R2499" s="3">
        <f t="shared" si="237"/>
        <v>2.2186941780908041E-2</v>
      </c>
      <c r="S2499" s="3">
        <f t="shared" si="238"/>
        <v>-1.4998359042289962</v>
      </c>
    </row>
    <row r="2500" spans="6:19" x14ac:dyDescent="0.2">
      <c r="F2500" s="3"/>
      <c r="G2500" s="3"/>
      <c r="H2500" s="3"/>
      <c r="M2500" s="1">
        <f t="shared" si="239"/>
        <v>74.940000000002073</v>
      </c>
      <c r="N2500" s="1">
        <f t="shared" si="240"/>
        <v>-0.24919761947153038</v>
      </c>
      <c r="O2500" s="1">
        <f t="shared" si="241"/>
        <v>0.29617075655418679</v>
      </c>
      <c r="P2500" s="1">
        <f t="shared" si="242"/>
        <v>4.7360659370008307</v>
      </c>
      <c r="R2500" s="3">
        <f t="shared" si="237"/>
        <v>3.5512116701965357E-2</v>
      </c>
      <c r="S2500" s="3">
        <f t="shared" si="238"/>
        <v>-1.4995795709355826</v>
      </c>
    </row>
    <row r="2501" spans="6:19" x14ac:dyDescent="0.2">
      <c r="F2501" s="3"/>
      <c r="G2501" s="3"/>
      <c r="H2501" s="3"/>
      <c r="M2501" s="1">
        <f t="shared" si="239"/>
        <v>74.970000000002074</v>
      </c>
      <c r="N2501" s="1">
        <f t="shared" si="240"/>
        <v>-0.38177653510953036</v>
      </c>
      <c r="O2501" s="1">
        <f t="shared" si="241"/>
        <v>0.28471746050090085</v>
      </c>
      <c r="P2501" s="1">
        <f t="shared" si="242"/>
        <v>4.7446074608158577</v>
      </c>
      <c r="R2501" s="3">
        <f t="shared" si="237"/>
        <v>4.8319360139499529E-2</v>
      </c>
      <c r="S2501" s="3">
        <f t="shared" si="238"/>
        <v>-1.4992215444809047</v>
      </c>
    </row>
    <row r="2502" spans="6:19" x14ac:dyDescent="0.2">
      <c r="F2502" s="3"/>
      <c r="G2502" s="3"/>
      <c r="H2502" s="3"/>
      <c r="M2502" s="1">
        <f t="shared" si="239"/>
        <v>75.000000000002075</v>
      </c>
      <c r="N2502" s="1">
        <f t="shared" si="240"/>
        <v>-0.50881817284007635</v>
      </c>
      <c r="O2502" s="1">
        <f t="shared" si="241"/>
        <v>0.26945291531569854</v>
      </c>
      <c r="P2502" s="1">
        <f t="shared" si="242"/>
        <v>4.7526910482753291</v>
      </c>
      <c r="R2502" s="3">
        <f t="shared" si="237"/>
        <v>6.0436737939264136E-2</v>
      </c>
      <c r="S2502" s="3">
        <f t="shared" si="238"/>
        <v>-1.4987819723719862</v>
      </c>
    </row>
    <row r="2503" spans="6:19" x14ac:dyDescent="0.2">
      <c r="F2503" s="3"/>
      <c r="G2503" s="3"/>
      <c r="H2503" s="3"/>
      <c r="M2503" s="1">
        <f t="shared" si="239"/>
        <v>75.030000000002076</v>
      </c>
      <c r="N2503" s="1">
        <f t="shared" si="240"/>
        <v>-0.62861814177105424</v>
      </c>
      <c r="O2503" s="1">
        <f t="shared" si="241"/>
        <v>0.25059437106256693</v>
      </c>
      <c r="P2503" s="1">
        <f t="shared" si="242"/>
        <v>4.7602088794072062</v>
      </c>
      <c r="R2503" s="3">
        <f t="shared" si="237"/>
        <v>7.1702513707587928E-2</v>
      </c>
      <c r="S2503" s="3">
        <f t="shared" si="238"/>
        <v>-1.4982852697427194</v>
      </c>
    </row>
    <row r="2504" spans="6:19" x14ac:dyDescent="0.2">
      <c r="F2504" s="3"/>
      <c r="G2504" s="3"/>
      <c r="H2504" s="3"/>
      <c r="M2504" s="1">
        <f t="shared" si="239"/>
        <v>75.060000000002077</v>
      </c>
      <c r="N2504" s="1">
        <f t="shared" si="240"/>
        <v>-0.7395786304715104</v>
      </c>
      <c r="O2504" s="1">
        <f t="shared" si="241"/>
        <v>0.22840701214842163</v>
      </c>
      <c r="P2504" s="1">
        <f t="shared" si="242"/>
        <v>4.7670610897716585</v>
      </c>
      <c r="R2504" s="3">
        <f t="shared" si="237"/>
        <v>8.1967315911531474E-2</v>
      </c>
      <c r="S2504" s="3">
        <f t="shared" si="238"/>
        <v>-1.4977587786830893</v>
      </c>
    </row>
    <row r="2505" spans="6:19" x14ac:dyDescent="0.2">
      <c r="F2505" s="3"/>
      <c r="G2505" s="3"/>
      <c r="H2505" s="3"/>
      <c r="M2505" s="1">
        <f t="shared" si="239"/>
        <v>75.090000000002078</v>
      </c>
      <c r="N2505" s="1">
        <f t="shared" si="240"/>
        <v>-0.84022979020867272</v>
      </c>
      <c r="O2505" s="1">
        <f t="shared" si="241"/>
        <v>0.20320011844216146</v>
      </c>
      <c r="P2505" s="1">
        <f t="shared" si="242"/>
        <v>4.7731570933249232</v>
      </c>
      <c r="R2505" s="3">
        <f t="shared" si="237"/>
        <v>9.1096079199624203E-2</v>
      </c>
      <c r="S2505" s="3">
        <f t="shared" si="238"/>
        <v>-1.497231279513775</v>
      </c>
    </row>
    <row r="2506" spans="6:19" x14ac:dyDescent="0.2">
      <c r="F2506" s="3"/>
      <c r="G2506" s="3"/>
      <c r="H2506" s="3"/>
      <c r="M2506" s="1">
        <f t="shared" si="239"/>
        <v>75.120000000002079</v>
      </c>
      <c r="N2506" s="1">
        <f t="shared" si="240"/>
        <v>-0.92924880265603649</v>
      </c>
      <c r="O2506" s="1">
        <f t="shared" si="241"/>
        <v>0.17532265436248037</v>
      </c>
      <c r="P2506" s="1">
        <f t="shared" si="242"/>
        <v>4.778416772955798</v>
      </c>
      <c r="R2506" s="3">
        <f t="shared" si="237"/>
        <v>9.8969739705608462E-2</v>
      </c>
      <c r="S2506" s="3">
        <f t="shared" si="238"/>
        <v>-1.4967314357033477</v>
      </c>
    </row>
    <row r="2507" spans="6:19" x14ac:dyDescent="0.2">
      <c r="F2507" s="3"/>
      <c r="G2507" s="3"/>
      <c r="H2507" s="3"/>
      <c r="M2507" s="1">
        <f t="shared" si="239"/>
        <v>75.15000000000208</v>
      </c>
      <c r="N2507" s="1">
        <f t="shared" si="240"/>
        <v>-1.0054764359487078</v>
      </c>
      <c r="O2507" s="1">
        <f t="shared" si="241"/>
        <v>0.14515836128401916</v>
      </c>
      <c r="P2507" s="1">
        <f t="shared" si="242"/>
        <v>4.7827715237943185</v>
      </c>
      <c r="R2507" s="3">
        <f t="shared" si="237"/>
        <v>0.1054866731571623</v>
      </c>
      <c r="S2507" s="3">
        <f t="shared" si="238"/>
        <v>-1.496286256632144</v>
      </c>
    </row>
    <row r="2508" spans="6:19" x14ac:dyDescent="0.2">
      <c r="F2508" s="3"/>
      <c r="G2508" s="3"/>
      <c r="H2508" s="3"/>
      <c r="M2508" s="1">
        <f t="shared" si="239"/>
        <v>75.180000000002082</v>
      </c>
      <c r="N2508" s="1">
        <f t="shared" si="240"/>
        <v>-1.0679309840871847</v>
      </c>
      <c r="O2508" s="1">
        <f t="shared" si="241"/>
        <v>0.11312043176140361</v>
      </c>
      <c r="P2508" s="1">
        <f t="shared" si="242"/>
        <v>4.7861651367471607</v>
      </c>
      <c r="R2508" s="3">
        <f t="shared" si="237"/>
        <v>0.11056387240850186</v>
      </c>
      <c r="S2508" s="3">
        <f t="shared" si="238"/>
        <v>-1.4959196603153648</v>
      </c>
    </row>
    <row r="2509" spans="6:19" x14ac:dyDescent="0.2">
      <c r="F2509" s="3"/>
      <c r="G2509" s="3"/>
      <c r="H2509" s="3"/>
      <c r="M2509" s="1">
        <f t="shared" si="239"/>
        <v>75.210000000002083</v>
      </c>
      <c r="N2509" s="1">
        <f t="shared" si="240"/>
        <v>-1.115819562943545</v>
      </c>
      <c r="O2509" s="1">
        <f t="shared" si="241"/>
        <v>7.9645844873097268E-2</v>
      </c>
      <c r="P2509" s="1">
        <f t="shared" si="242"/>
        <v>4.7885545120933539</v>
      </c>
      <c r="R2509" s="3">
        <f t="shared" si="237"/>
        <v>0.1141378669529626</v>
      </c>
      <c r="S2509" s="3">
        <f t="shared" si="238"/>
        <v>-1.4956512117895093</v>
      </c>
    </row>
    <row r="2510" spans="6:19" x14ac:dyDescent="0.2">
      <c r="F2510" s="3"/>
      <c r="G2510" s="3"/>
      <c r="H2510" s="3"/>
      <c r="M2510" s="1">
        <f t="shared" si="239"/>
        <v>75.240000000002084</v>
      </c>
      <c r="N2510" s="1">
        <f t="shared" si="240"/>
        <v>-1.1485467955682047</v>
      </c>
      <c r="O2510" s="1">
        <f t="shared" si="241"/>
        <v>4.5189441006051129E-2</v>
      </c>
      <c r="P2510" s="1">
        <f t="shared" si="242"/>
        <v>4.789910195323535</v>
      </c>
      <c r="R2510" s="3">
        <f t="shared" si="237"/>
        <v>0.11616539071223149</v>
      </c>
      <c r="S2510" s="3">
        <f t="shared" si="238"/>
        <v>-1.495495102633464</v>
      </c>
    </row>
    <row r="2511" spans="6:19" x14ac:dyDescent="0.2">
      <c r="F2511" s="3"/>
      <c r="G2511" s="3"/>
      <c r="H2511" s="3"/>
      <c r="M2511" s="1">
        <f t="shared" si="239"/>
        <v>75.270000000002085</v>
      </c>
      <c r="N2511" s="1">
        <f t="shared" si="240"/>
        <v>-1.1657209568128595</v>
      </c>
      <c r="O2511" s="1">
        <f t="shared" si="241"/>
        <v>1.0217812301665345E-2</v>
      </c>
      <c r="P2511" s="1">
        <f t="shared" si="242"/>
        <v>4.7902167296925846</v>
      </c>
      <c r="R2511" s="3">
        <f t="shared" si="237"/>
        <v>0.11662380589511205</v>
      </c>
      <c r="S2511" s="3">
        <f t="shared" si="238"/>
        <v>-1.4954594236884327</v>
      </c>
    </row>
    <row r="2512" spans="6:19" x14ac:dyDescent="0.2">
      <c r="F2512" s="3"/>
      <c r="G2512" s="3"/>
      <c r="H2512" s="3"/>
      <c r="M2512" s="1">
        <f t="shared" si="239"/>
        <v>75.300000000002086</v>
      </c>
      <c r="N2512" s="1">
        <f t="shared" si="240"/>
        <v>-1.1671576620582704</v>
      </c>
      <c r="O2512" s="1">
        <f t="shared" si="241"/>
        <v>-2.4796917560082767E-2</v>
      </c>
      <c r="P2512" s="1">
        <f t="shared" si="242"/>
        <v>4.7894728221657825</v>
      </c>
      <c r="R2512" s="3">
        <f t="shared" si="237"/>
        <v>0.11551129020669809</v>
      </c>
      <c r="S2512" s="3">
        <f t="shared" si="238"/>
        <v>-1.4955457672150272</v>
      </c>
    </row>
    <row r="2513" spans="6:19" x14ac:dyDescent="0.2">
      <c r="F2513" s="3"/>
      <c r="G2513" s="3"/>
      <c r="H2513" s="3"/>
      <c r="M2513" s="1">
        <f t="shared" si="239"/>
        <v>75.330000000002087</v>
      </c>
      <c r="N2513" s="1">
        <f t="shared" si="240"/>
        <v>-1.1528811794865734</v>
      </c>
      <c r="O2513" s="1">
        <f t="shared" si="241"/>
        <v>-5.9383352944679967E-2</v>
      </c>
      <c r="P2513" s="1">
        <f t="shared" si="242"/>
        <v>4.7876913215774417</v>
      </c>
      <c r="R2513" s="3">
        <f t="shared" si="237"/>
        <v>0.11284679265021952</v>
      </c>
      <c r="S2513" s="3">
        <f t="shared" si="238"/>
        <v>-1.4957491772983058</v>
      </c>
    </row>
    <row r="2514" spans="6:19" x14ac:dyDescent="0.2">
      <c r="F2514" s="3"/>
      <c r="G2514" s="3"/>
      <c r="H2514" s="3"/>
      <c r="M2514" s="1">
        <f t="shared" si="239"/>
        <v>75.360000000002088</v>
      </c>
      <c r="N2514" s="1">
        <f t="shared" si="240"/>
        <v>-1.1231234247371742</v>
      </c>
      <c r="O2514" s="1">
        <f t="shared" si="241"/>
        <v>-9.3077055686795196E-2</v>
      </c>
      <c r="P2514" s="1">
        <f t="shared" si="242"/>
        <v>4.7848990099068383</v>
      </c>
      <c r="R2514" s="3">
        <f t="shared" si="237"/>
        <v>0.1086697602604566</v>
      </c>
      <c r="S2514" s="3">
        <f t="shared" si="238"/>
        <v>-1.4960584491272173</v>
      </c>
    </row>
    <row r="2515" spans="6:19" x14ac:dyDescent="0.2">
      <c r="F2515" s="3"/>
      <c r="G2515" s="3"/>
      <c r="H2515" s="3"/>
      <c r="M2515" s="1">
        <f t="shared" si="239"/>
        <v>75.39000000000209</v>
      </c>
      <c r="N2515" s="1">
        <f t="shared" si="240"/>
        <v>-1.0783206675927546</v>
      </c>
      <c r="O2515" s="1">
        <f t="shared" si="241"/>
        <v>-0.12542667571457783</v>
      </c>
      <c r="P2515" s="1">
        <f t="shared" si="242"/>
        <v>4.7811362096354006</v>
      </c>
      <c r="R2515" s="3">
        <f t="shared" si="237"/>
        <v>0.10303963509753841</v>
      </c>
      <c r="S2515" s="3">
        <f t="shared" si="238"/>
        <v>-1.496456759682339</v>
      </c>
    </row>
    <row r="2516" spans="6:19" x14ac:dyDescent="0.2">
      <c r="F2516" s="3"/>
      <c r="G2516" s="3"/>
      <c r="H2516" s="3"/>
      <c r="M2516" s="1">
        <f t="shared" si="239"/>
        <v>75.420000000002091</v>
      </c>
      <c r="N2516" s="1">
        <f t="shared" si="240"/>
        <v>-1.0191079501610723</v>
      </c>
      <c r="O2516" s="1">
        <f t="shared" si="241"/>
        <v>-0.15599991421941001</v>
      </c>
      <c r="P2516" s="1">
        <f t="shared" si="242"/>
        <v>4.7764562122088181</v>
      </c>
      <c r="R2516" s="3">
        <f t="shared" si="237"/>
        <v>9.603511847408723E-2</v>
      </c>
      <c r="S2516" s="3">
        <f t="shared" si="238"/>
        <v>-1.4969225951997878</v>
      </c>
    </row>
    <row r="2517" spans="6:19" x14ac:dyDescent="0.2">
      <c r="F2517" s="3"/>
      <c r="G2517" s="3"/>
      <c r="H2517" s="3"/>
      <c r="M2517" s="1">
        <f t="shared" si="239"/>
        <v>75.450000000002092</v>
      </c>
      <c r="N2517" s="1">
        <f t="shared" si="240"/>
        <v>-0.94631119246112538</v>
      </c>
      <c r="O2517" s="1">
        <f t="shared" si="241"/>
        <v>-0.18438924999324377</v>
      </c>
      <c r="P2517" s="1">
        <f t="shared" si="242"/>
        <v>4.770924534709021</v>
      </c>
      <c r="R2517" s="3">
        <f t="shared" si="237"/>
        <v>8.7753198357539156E-2</v>
      </c>
      <c r="S2517" s="3">
        <f t="shared" si="238"/>
        <v>-1.4974309253444789</v>
      </c>
    </row>
    <row r="2518" spans="6:19" x14ac:dyDescent="0.2">
      <c r="F2518" s="3"/>
      <c r="G2518" s="3"/>
      <c r="H2518" s="3"/>
      <c r="M2518" s="1">
        <f t="shared" si="239"/>
        <v>75.480000000002093</v>
      </c>
      <c r="N2518" s="1">
        <f t="shared" si="240"/>
        <v>-0.86093695107599955</v>
      </c>
      <c r="O2518" s="1">
        <f t="shared" si="241"/>
        <v>-0.21021735852552376</v>
      </c>
      <c r="P2518" s="1">
        <f t="shared" si="242"/>
        <v>4.764618013953255</v>
      </c>
      <c r="R2518" s="3">
        <f t="shared" si="237"/>
        <v>7.8307936681792242E-2</v>
      </c>
      <c r="S2518" s="3">
        <f t="shared" si="238"/>
        <v>-1.4979545610774181</v>
      </c>
    </row>
    <row r="2519" spans="6:19" x14ac:dyDescent="0.2">
      <c r="F2519" s="3"/>
      <c r="G2519" s="3"/>
      <c r="H2519" s="3"/>
      <c r="M2519" s="1">
        <f t="shared" si="239"/>
        <v>75.510000000002094</v>
      </c>
      <c r="N2519" s="1">
        <f t="shared" si="240"/>
        <v>-0.76415980455062515</v>
      </c>
      <c r="O2519" s="1">
        <f t="shared" si="241"/>
        <v>-0.23314215266204252</v>
      </c>
      <c r="P2519" s="1">
        <f t="shared" si="242"/>
        <v>4.7576237493733942</v>
      </c>
      <c r="R2519" s="3">
        <f t="shared" si="237"/>
        <v>6.782901618152487E-2</v>
      </c>
      <c r="S2519" s="3">
        <f t="shared" si="238"/>
        <v>-1.4984656234174498</v>
      </c>
    </row>
    <row r="2520" spans="6:19" x14ac:dyDescent="0.2">
      <c r="F2520" s="3"/>
      <c r="G2520" s="3"/>
      <c r="H2520" s="3"/>
      <c r="M2520" s="1">
        <f t="shared" si="239"/>
        <v>75.540000000002095</v>
      </c>
      <c r="N2520" s="1">
        <f t="shared" si="240"/>
        <v>-0.65730736807566492</v>
      </c>
      <c r="O2520" s="1">
        <f t="shared" si="241"/>
        <v>-0.2528613737043125</v>
      </c>
      <c r="P2520" s="1">
        <f t="shared" si="242"/>
        <v>4.7500379081622643</v>
      </c>
      <c r="R2520" s="3">
        <f t="shared" si="237"/>
        <v>5.6460051321215801E-2</v>
      </c>
      <c r="S2520" s="3">
        <f t="shared" si="238"/>
        <v>-1.4989370442432883</v>
      </c>
    </row>
    <row r="2521" spans="6:19" x14ac:dyDescent="0.2">
      <c r="F2521" s="3"/>
      <c r="G2521" s="3"/>
      <c r="H2521" s="3"/>
      <c r="M2521" s="1">
        <f t="shared" si="239"/>
        <v>75.570000000002096</v>
      </c>
      <c r="N2521" s="1">
        <f t="shared" si="240"/>
        <v>-0.54184298957876986</v>
      </c>
      <c r="O2521" s="1">
        <f t="shared" si="241"/>
        <v>-0.26911666339167561</v>
      </c>
      <c r="P2521" s="1">
        <f t="shared" si="242"/>
        <v>4.7419644082605137</v>
      </c>
      <c r="R2521" s="3">
        <f t="shared" si="237"/>
        <v>4.4356674646019549E-2</v>
      </c>
      <c r="S2521" s="3">
        <f t="shared" si="238"/>
        <v>-1.4993440183674815</v>
      </c>
    </row>
    <row r="2522" spans="6:19" x14ac:dyDescent="0.2">
      <c r="F2522" s="3"/>
      <c r="G2522" s="3"/>
      <c r="H2522" s="3"/>
      <c r="M2522" s="1">
        <f t="shared" si="239"/>
        <v>75.600000000002098</v>
      </c>
      <c r="N2522" s="1">
        <f t="shared" si="240"/>
        <v>-0.41934624675494464</v>
      </c>
      <c r="O2522" s="1">
        <f t="shared" si="241"/>
        <v>-0.28169705079432394</v>
      </c>
      <c r="P2522" s="1">
        <f t="shared" si="242"/>
        <v>4.7335134967366841</v>
      </c>
      <c r="R2522" s="3">
        <f t="shared" si="237"/>
        <v>3.1684417902114487E-2</v>
      </c>
      <c r="S2522" s="3">
        <f t="shared" si="238"/>
        <v>-1.4996653285524086</v>
      </c>
    </row>
    <row r="2523" spans="6:19" x14ac:dyDescent="0.2">
      <c r="F2523" s="3"/>
      <c r="G2523" s="3"/>
      <c r="H2523" s="3"/>
      <c r="M2523" s="1">
        <f t="shared" si="239"/>
        <v>75.630000000002099</v>
      </c>
      <c r="N2523" s="1">
        <f t="shared" si="240"/>
        <v>-0.29149144444965563</v>
      </c>
      <c r="O2523" s="1">
        <f t="shared" si="241"/>
        <v>-0.29044179412781362</v>
      </c>
      <c r="P2523" s="1">
        <f t="shared" si="242"/>
        <v>4.7248002429128499</v>
      </c>
      <c r="R2523" s="3">
        <f t="shared" si="237"/>
        <v>1.8616415839946564E-2</v>
      </c>
      <c r="S2523" s="3">
        <f t="shared" si="238"/>
        <v>-1.4998844719048445</v>
      </c>
    </row>
    <row r="2524" spans="6:19" x14ac:dyDescent="0.2">
      <c r="F2524" s="3"/>
      <c r="G2524" s="3"/>
      <c r="H2524" s="3"/>
      <c r="M2524" s="1">
        <f t="shared" si="239"/>
        <v>75.6600000000021</v>
      </c>
      <c r="N2524" s="1">
        <f t="shared" si="240"/>
        <v>-0.16002439692796239</v>
      </c>
      <c r="O2524" s="1">
        <f t="shared" si="241"/>
        <v>-0.29524252603565249</v>
      </c>
      <c r="P2524" s="1">
        <f t="shared" si="242"/>
        <v>4.7159429671317801</v>
      </c>
      <c r="R2524" s="3">
        <f t="shared" si="237"/>
        <v>5.3309688981990899E-3</v>
      </c>
      <c r="S2524" s="3">
        <f t="shared" si="238"/>
        <v>-1.4999905268936222</v>
      </c>
    </row>
    <row r="2525" spans="6:19" x14ac:dyDescent="0.2">
      <c r="F2525" s="3"/>
      <c r="G2525" s="3"/>
      <c r="H2525" s="3"/>
      <c r="M2525" s="1">
        <f t="shared" si="239"/>
        <v>75.690000000002101</v>
      </c>
      <c r="N2525" s="1">
        <f t="shared" si="240"/>
        <v>-2.6737861638782185E-2</v>
      </c>
      <c r="O2525" s="1">
        <f t="shared" si="241"/>
        <v>-0.29604466188481593</v>
      </c>
      <c r="P2525" s="1">
        <f t="shared" si="242"/>
        <v>4.7070616272752357</v>
      </c>
      <c r="R2525" s="3">
        <f t="shared" si="237"/>
        <v>-7.9909918657440678E-3</v>
      </c>
      <c r="S2525" s="3">
        <f t="shared" si="238"/>
        <v>-1.4999787145319767</v>
      </c>
    </row>
    <row r="2526" spans="6:19" x14ac:dyDescent="0.2">
      <c r="F2526" s="3"/>
      <c r="G2526" s="3"/>
      <c r="H2526" s="3"/>
      <c r="M2526" s="1">
        <f t="shared" si="239"/>
        <v>75.720000000002102</v>
      </c>
      <c r="N2526" s="1">
        <f t="shared" si="240"/>
        <v>0.10655393822707411</v>
      </c>
      <c r="O2526" s="1">
        <f t="shared" si="241"/>
        <v>-0.29284804373800372</v>
      </c>
      <c r="P2526" s="1">
        <f t="shared" si="242"/>
        <v>4.6982761859630955</v>
      </c>
      <c r="R2526" s="3">
        <f t="shared" si="237"/>
        <v>-2.1168488924663702E-2</v>
      </c>
      <c r="S2526" s="3">
        <f t="shared" si="238"/>
        <v>-1.4998506242545109</v>
      </c>
    </row>
    <row r="2527" spans="6:19" x14ac:dyDescent="0.2">
      <c r="F2527" s="3"/>
      <c r="G2527" s="3"/>
      <c r="H2527" s="3"/>
      <c r="M2527" s="1">
        <f t="shared" si="239"/>
        <v>75.750000000002103</v>
      </c>
      <c r="N2527" s="1">
        <f t="shared" si="240"/>
        <v>0.23804121318305738</v>
      </c>
      <c r="O2527" s="1">
        <f t="shared" si="241"/>
        <v>-0.28570680734251197</v>
      </c>
      <c r="P2527" s="1">
        <f t="shared" si="242"/>
        <v>4.6897049817428202</v>
      </c>
      <c r="R2527" s="3">
        <f t="shared" si="237"/>
        <v>-3.402307994677746E-2</v>
      </c>
      <c r="S2527" s="3">
        <f t="shared" si="238"/>
        <v>-1.4996140937024216</v>
      </c>
    </row>
    <row r="2528" spans="6:19" x14ac:dyDescent="0.2">
      <c r="F2528" s="3"/>
      <c r="G2528" s="3"/>
      <c r="H2528" s="3"/>
      <c r="M2528" s="1">
        <f t="shared" si="239"/>
        <v>75.780000000002104</v>
      </c>
      <c r="N2528" s="1">
        <f t="shared" si="240"/>
        <v>0.36594441212860063</v>
      </c>
      <c r="O2528" s="1">
        <f t="shared" si="241"/>
        <v>-0.27472847497865394</v>
      </c>
      <c r="P2528" s="1">
        <f t="shared" si="242"/>
        <v>4.6814631274934611</v>
      </c>
      <c r="R2528" s="3">
        <f t="shared" si="237"/>
        <v>-4.6381385254247051E-2</v>
      </c>
      <c r="S2528" s="3">
        <f t="shared" si="238"/>
        <v>-1.4992827508852014</v>
      </c>
    </row>
    <row r="2529" spans="6:19" x14ac:dyDescent="0.2">
      <c r="F2529" s="3"/>
      <c r="G2529" s="3"/>
      <c r="H2529" s="3"/>
      <c r="M2529" s="1">
        <f t="shared" si="239"/>
        <v>75.810000000002105</v>
      </c>
      <c r="N2529" s="1">
        <f t="shared" si="240"/>
        <v>0.48853941529054934</v>
      </c>
      <c r="O2529" s="1">
        <f t="shared" si="241"/>
        <v>-0.26007229251993746</v>
      </c>
      <c r="P2529" s="1">
        <f t="shared" si="242"/>
        <v>4.6736609587178632</v>
      </c>
      <c r="R2529" s="3">
        <f t="shared" si="237"/>
        <v>-5.8077511939848864E-2</v>
      </c>
      <c r="S2529" s="3">
        <f t="shared" si="238"/>
        <v>-1.4988752458449892</v>
      </c>
    </row>
    <row r="2530" spans="6:19" x14ac:dyDescent="0.2">
      <c r="F2530" s="3"/>
      <c r="G2530" s="3"/>
      <c r="H2530" s="3"/>
      <c r="M2530" s="1">
        <f t="shared" si="239"/>
        <v>75.840000000002107</v>
      </c>
      <c r="N2530" s="1">
        <f t="shared" si="240"/>
        <v>0.604181625725283</v>
      </c>
      <c r="O2530" s="1">
        <f t="shared" si="241"/>
        <v>-0.24194684374817899</v>
      </c>
      <c r="P2530" s="1">
        <f t="shared" si="242"/>
        <v>4.6664025534054181</v>
      </c>
      <c r="R2530" s="3">
        <f t="shared" si="237"/>
        <v>-6.8955330573548052E-2</v>
      </c>
      <c r="S2530" s="3">
        <f t="shared" si="238"/>
        <v>-1.498414215891418</v>
      </c>
    </row>
    <row r="2531" spans="6:19" x14ac:dyDescent="0.2">
      <c r="F2531" s="3"/>
      <c r="G2531" s="3"/>
      <c r="H2531" s="3"/>
      <c r="M2531" s="1">
        <f t="shared" si="239"/>
        <v>75.870000000002108</v>
      </c>
      <c r="N2531" s="1">
        <f t="shared" si="240"/>
        <v>0.71132852167281668</v>
      </c>
      <c r="O2531" s="1">
        <f t="shared" si="241"/>
        <v>-0.22060698809799448</v>
      </c>
      <c r="P2531" s="1">
        <f t="shared" si="242"/>
        <v>4.6597843437624782</v>
      </c>
      <c r="R2531" s="3">
        <f t="shared" si="237"/>
        <v>-7.8870567452177479E-2</v>
      </c>
      <c r="S2531" s="3">
        <f t="shared" si="238"/>
        <v>-1.4979250427140109</v>
      </c>
    </row>
    <row r="2532" spans="6:19" x14ac:dyDescent="0.2">
      <c r="F2532" s="3"/>
      <c r="G2532" s="3"/>
      <c r="H2532" s="3"/>
      <c r="M2532" s="1">
        <f t="shared" si="239"/>
        <v>75.900000000002109</v>
      </c>
      <c r="N2532" s="1">
        <f t="shared" si="240"/>
        <v>0.80856030345059426</v>
      </c>
      <c r="O2532" s="1">
        <f t="shared" si="241"/>
        <v>-0.19635017899447665</v>
      </c>
      <c r="P2532" s="1">
        <f t="shared" si="242"/>
        <v>4.6538938383926443</v>
      </c>
      <c r="R2532" s="3">
        <f t="shared" si="237"/>
        <v>-8.7692683609768604E-2</v>
      </c>
      <c r="S2532" s="3">
        <f t="shared" si="238"/>
        <v>-1.4974344704331195</v>
      </c>
    </row>
    <row r="2533" spans="6:19" x14ac:dyDescent="0.2">
      <c r="F2533" s="3"/>
      <c r="G2533" s="3"/>
      <c r="H2533" s="3"/>
      <c r="M2533" s="1">
        <f t="shared" si="239"/>
        <v>75.93000000000211</v>
      </c>
      <c r="N2533" s="1">
        <f t="shared" si="240"/>
        <v>0.89459835220718886</v>
      </c>
      <c r="O2533" s="1">
        <f t="shared" si="241"/>
        <v>-0.169512228428261</v>
      </c>
      <c r="P2533" s="1">
        <f t="shared" si="242"/>
        <v>4.6488084715397964</v>
      </c>
      <c r="R2533" s="3">
        <f t="shared" si="237"/>
        <v>-9.5306520502310726E-2</v>
      </c>
      <c r="S2533" s="3">
        <f t="shared" si="238"/>
        <v>-1.4969691603869943</v>
      </c>
    </row>
    <row r="2534" spans="6:19" x14ac:dyDescent="0.2">
      <c r="F2534" s="3"/>
      <c r="G2534" s="3"/>
      <c r="H2534" s="3"/>
      <c r="M2534" s="1">
        <f t="shared" si="239"/>
        <v>75.960000000002111</v>
      </c>
      <c r="N2534" s="1">
        <f t="shared" si="240"/>
        <v>0.96832130558165086</v>
      </c>
      <c r="O2534" s="1">
        <f t="shared" si="241"/>
        <v>-0.14046258926081148</v>
      </c>
      <c r="P2534" s="1">
        <f t="shared" si="242"/>
        <v>4.6445945938619717</v>
      </c>
      <c r="R2534" s="3">
        <f t="shared" si="237"/>
        <v>-0.10161370059676635</v>
      </c>
      <c r="S2534" s="3">
        <f t="shared" si="238"/>
        <v>-1.4965542609110538</v>
      </c>
    </row>
    <row r="2535" spans="6:19" x14ac:dyDescent="0.2">
      <c r="F2535" s="3"/>
      <c r="G2535" s="3"/>
      <c r="H2535" s="3"/>
      <c r="M2535" s="1">
        <f t="shared" si="239"/>
        <v>75.990000000002112</v>
      </c>
      <c r="N2535" s="1">
        <f t="shared" si="240"/>
        <v>1.0287786390011366</v>
      </c>
      <c r="O2535" s="1">
        <f t="shared" si="241"/>
        <v>-0.10959923009077738</v>
      </c>
      <c r="P2535" s="1">
        <f t="shared" si="242"/>
        <v>4.6413066169592483</v>
      </c>
      <c r="R2535" s="3">
        <f t="shared" si="237"/>
        <v>-0.10653377831252217</v>
      </c>
      <c r="S2535" s="3">
        <f t="shared" si="238"/>
        <v>-1.4962120685512661</v>
      </c>
    </row>
    <row r="2536" spans="6:19" x14ac:dyDescent="0.2">
      <c r="F2536" s="3"/>
      <c r="G2536" s="3"/>
      <c r="H2536" s="3"/>
      <c r="M2536" s="1">
        <f t="shared" si="239"/>
        <v>76.020000000002113</v>
      </c>
      <c r="N2536" s="1">
        <f t="shared" si="240"/>
        <v>1.0752017138333916</v>
      </c>
      <c r="O2536" s="1">
        <f t="shared" si="241"/>
        <v>-7.7343178675775628E-2</v>
      </c>
      <c r="P2536" s="1">
        <f t="shared" si="242"/>
        <v>4.6389863215989751</v>
      </c>
      <c r="R2536" s="3">
        <f t="shared" si="237"/>
        <v>-0.11000514234148834</v>
      </c>
      <c r="S2536" s="3">
        <f t="shared" si="238"/>
        <v>-1.4959608513121019</v>
      </c>
    </row>
    <row r="2537" spans="6:19" x14ac:dyDescent="0.2">
      <c r="F2537" s="3"/>
      <c r="G2537" s="3"/>
      <c r="H2537" s="3"/>
      <c r="M2537" s="1">
        <f t="shared" si="239"/>
        <v>76.050000000002115</v>
      </c>
      <c r="N2537" s="1">
        <f t="shared" si="240"/>
        <v>1.1070123094957032</v>
      </c>
      <c r="O2537" s="1">
        <f t="shared" si="241"/>
        <v>-4.4132809390904533E-2</v>
      </c>
      <c r="P2537" s="1">
        <f t="shared" si="242"/>
        <v>4.6376623373172476</v>
      </c>
      <c r="R2537" s="3">
        <f t="shared" si="237"/>
        <v>-0.11198567400016936</v>
      </c>
      <c r="S2537" s="3">
        <f t="shared" si="238"/>
        <v>-1.4958138951148729</v>
      </c>
    </row>
    <row r="2538" spans="6:19" x14ac:dyDescent="0.2">
      <c r="F2538" s="3"/>
      <c r="G2538" s="3"/>
      <c r="H2538" s="3"/>
      <c r="M2538" s="1">
        <f t="shared" si="239"/>
        <v>76.080000000002116</v>
      </c>
      <c r="N2538" s="1">
        <f t="shared" si="240"/>
        <v>1.123828692846875</v>
      </c>
      <c r="O2538" s="1">
        <f t="shared" si="241"/>
        <v>-1.041794860549828E-2</v>
      </c>
      <c r="P2538" s="1">
        <f t="shared" si="242"/>
        <v>4.6373497988590824</v>
      </c>
      <c r="R2538" s="3">
        <f t="shared" si="237"/>
        <v>-0.11245316789164342</v>
      </c>
      <c r="S2538" s="3">
        <f t="shared" si="238"/>
        <v>-1.4957788222297888</v>
      </c>
    </row>
    <row r="2539" spans="6:19" x14ac:dyDescent="0.2">
      <c r="F2539" s="3"/>
      <c r="G2539" s="3"/>
      <c r="H2539" s="3"/>
      <c r="M2539" s="1">
        <f t="shared" si="239"/>
        <v>76.110000000002117</v>
      </c>
      <c r="N2539" s="1">
        <f t="shared" si="240"/>
        <v>1.1254692942909292</v>
      </c>
      <c r="O2539" s="1">
        <f t="shared" si="241"/>
        <v>2.3346130223229594E-2</v>
      </c>
      <c r="P2539" s="1">
        <f t="shared" si="242"/>
        <v>4.6380501827657792</v>
      </c>
      <c r="R2539" s="3">
        <f t="shared" si="237"/>
        <v>-0.11140552098097189</v>
      </c>
      <c r="S2539" s="3">
        <f t="shared" si="238"/>
        <v>-1.4958572157445236</v>
      </c>
    </row>
    <row r="2540" spans="6:19" x14ac:dyDescent="0.2">
      <c r="F2540" s="3"/>
      <c r="G2540" s="3"/>
      <c r="H2540" s="3"/>
      <c r="M2540" s="1">
        <f t="shared" si="239"/>
        <v>76.140000000002118</v>
      </c>
      <c r="N2540" s="1">
        <f t="shared" si="240"/>
        <v>1.1119540580896283</v>
      </c>
      <c r="O2540" s="1">
        <f t="shared" si="241"/>
        <v>5.670475196591844E-2</v>
      </c>
      <c r="P2540" s="1">
        <f t="shared" si="242"/>
        <v>4.6397513253247569</v>
      </c>
      <c r="R2540" s="3">
        <f t="shared" si="237"/>
        <v>-0.10886069463904369</v>
      </c>
      <c r="S2540" s="3">
        <f t="shared" si="238"/>
        <v>-1.496044567906553</v>
      </c>
    </row>
    <row r="2541" spans="6:19" x14ac:dyDescent="0.2">
      <c r="F2541" s="3"/>
      <c r="G2541" s="3"/>
      <c r="H2541" s="3"/>
      <c r="M2541" s="1">
        <f t="shared" si="239"/>
        <v>76.170000000002119</v>
      </c>
      <c r="N2541" s="1">
        <f t="shared" si="240"/>
        <v>1.0835035187135043</v>
      </c>
      <c r="O2541" s="1">
        <f t="shared" si="241"/>
        <v>8.9209857527323563E-2</v>
      </c>
      <c r="P2541" s="1">
        <f t="shared" si="242"/>
        <v>4.6424276210505768</v>
      </c>
      <c r="R2541" s="3">
        <f t="shared" si="237"/>
        <v>-0.10485645187563074</v>
      </c>
      <c r="S2541" s="3">
        <f t="shared" si="238"/>
        <v>-1.4963305532201279</v>
      </c>
    </row>
    <row r="2542" spans="6:19" x14ac:dyDescent="0.2">
      <c r="F2542" s="3"/>
      <c r="G2542" s="3"/>
      <c r="H2542" s="3"/>
      <c r="M2542" s="1">
        <f t="shared" si="239"/>
        <v>76.20000000000212</v>
      </c>
      <c r="N2542" s="1">
        <f t="shared" si="240"/>
        <v>1.0405356315788481</v>
      </c>
      <c r="O2542" s="1">
        <f t="shared" si="241"/>
        <v>0.120425926474689</v>
      </c>
      <c r="P2542" s="1">
        <f t="shared" si="242"/>
        <v>4.6460403988448178</v>
      </c>
      <c r="R2542" s="3">
        <f t="shared" si="237"/>
        <v>-9.9449869538881158E-2</v>
      </c>
      <c r="S2542" s="3">
        <f t="shared" si="238"/>
        <v>-1.4966996102921586</v>
      </c>
    </row>
    <row r="2543" spans="6:19" x14ac:dyDescent="0.2">
      <c r="F2543" s="3"/>
      <c r="G2543" s="3"/>
      <c r="H2543" s="3"/>
      <c r="M2543" s="1">
        <f t="shared" si="239"/>
        <v>76.230000000002121</v>
      </c>
      <c r="N2543" s="1">
        <f t="shared" si="240"/>
        <v>0.98366036200608953</v>
      </c>
      <c r="O2543" s="1">
        <f t="shared" si="241"/>
        <v>0.1499357373348717</v>
      </c>
      <c r="P2543" s="1">
        <f t="shared" si="242"/>
        <v>4.6505384709648636</v>
      </c>
      <c r="R2543" s="3">
        <f t="shared" si="237"/>
        <v>-9.2716623385997898E-2</v>
      </c>
      <c r="S2543" s="3">
        <f t="shared" si="238"/>
        <v>-1.497131800392971</v>
      </c>
    </row>
    <row r="2544" spans="6:19" x14ac:dyDescent="0.2">
      <c r="F2544" s="3"/>
      <c r="G2544" s="3"/>
      <c r="H2544" s="3"/>
      <c r="M2544" s="1">
        <f t="shared" si="239"/>
        <v>76.260000000002123</v>
      </c>
      <c r="N2544" s="1">
        <f t="shared" si="240"/>
        <v>0.91367201749984062</v>
      </c>
      <c r="O2544" s="1">
        <f t="shared" si="241"/>
        <v>0.17734589785986693</v>
      </c>
      <c r="P2544" s="1">
        <f t="shared" si="242"/>
        <v>4.6558588479006593</v>
      </c>
      <c r="R2544" s="3">
        <f t="shared" si="237"/>
        <v>-8.4750043229172678E-2</v>
      </c>
      <c r="S2544" s="3">
        <f t="shared" si="238"/>
        <v>-1.4976038962865492</v>
      </c>
    </row>
    <row r="2545" spans="6:19" x14ac:dyDescent="0.2">
      <c r="F2545" s="3"/>
      <c r="G2545" s="3"/>
      <c r="H2545" s="3"/>
      <c r="M2545" s="1">
        <f t="shared" si="239"/>
        <v>76.290000000002124</v>
      </c>
      <c r="N2545" s="1">
        <f t="shared" si="240"/>
        <v>0.83153930148433863</v>
      </c>
      <c r="O2545" s="1">
        <f t="shared" si="241"/>
        <v>0.2022920769043971</v>
      </c>
      <c r="P2545" s="1">
        <f t="shared" si="242"/>
        <v>4.6619276102077913</v>
      </c>
      <c r="R2545" s="3">
        <f t="shared" si="237"/>
        <v>-7.5659936278954079E-2</v>
      </c>
      <c r="S2545" s="3">
        <f t="shared" si="238"/>
        <v>-1.4980906427991147</v>
      </c>
    </row>
    <row r="2546" spans="6:19" x14ac:dyDescent="0.2">
      <c r="F2546" s="3"/>
      <c r="G2546" s="3"/>
      <c r="H2546" s="3"/>
      <c r="M2546" s="1">
        <f t="shared" si="239"/>
        <v>76.320000000002125</v>
      </c>
      <c r="N2546" s="1">
        <f t="shared" si="240"/>
        <v>0.73839307586814507</v>
      </c>
      <c r="O2546" s="1">
        <f t="shared" si="241"/>
        <v>0.22444386918044146</v>
      </c>
      <c r="P2546" s="1">
        <f t="shared" si="242"/>
        <v>4.6686609262832048</v>
      </c>
      <c r="R2546" s="3">
        <f t="shared" si="237"/>
        <v>-6.5571179580638683E-2</v>
      </c>
      <c r="S2546" s="3">
        <f t="shared" si="238"/>
        <v>-1.4985661214669186</v>
      </c>
    </row>
    <row r="2547" spans="6:19" x14ac:dyDescent="0.2">
      <c r="F2547" s="3"/>
      <c r="G2547" s="3"/>
      <c r="H2547" s="3"/>
      <c r="M2547" s="1">
        <f t="shared" si="239"/>
        <v>76.350000000002126</v>
      </c>
      <c r="N2547" s="1">
        <f t="shared" si="240"/>
        <v>0.63551184758014712</v>
      </c>
      <c r="O2547" s="1">
        <f t="shared" si="241"/>
        <v>0.24350922460784588</v>
      </c>
      <c r="P2547" s="1">
        <f t="shared" si="242"/>
        <v>4.6759662030214404</v>
      </c>
      <c r="R2547" s="3">
        <f t="shared" si="237"/>
        <v>-5.4622087061624469E-2</v>
      </c>
      <c r="S2547" s="3">
        <f t="shared" si="238"/>
        <v>-1.4990051459568217</v>
      </c>
    </row>
    <row r="2548" spans="6:19" x14ac:dyDescent="0.2">
      <c r="F2548" s="3"/>
      <c r="G2548" s="3"/>
      <c r="H2548" s="3"/>
      <c r="M2548" s="1">
        <f t="shared" si="239"/>
        <v>76.380000000002127</v>
      </c>
      <c r="N2548" s="1">
        <f t="shared" si="240"/>
        <v>0.52430504040153858</v>
      </c>
      <c r="O2548" s="1">
        <f t="shared" si="241"/>
        <v>0.25923837581989206</v>
      </c>
      <c r="P2548" s="1">
        <f t="shared" si="242"/>
        <v>4.6837433542960367</v>
      </c>
      <c r="R2548" s="3">
        <f t="shared" si="237"/>
        <v>-4.2962562925163761E-2</v>
      </c>
      <c r="S2548" s="3">
        <f t="shared" si="238"/>
        <v>-1.4993846131619804</v>
      </c>
    </row>
    <row r="2549" spans="6:19" x14ac:dyDescent="0.2">
      <c r="F2549" s="3"/>
      <c r="G2549" s="3"/>
      <c r="H2549" s="3"/>
      <c r="M2549" s="1">
        <f t="shared" si="239"/>
        <v>76.410000000002128</v>
      </c>
      <c r="N2549" s="1">
        <f t="shared" si="240"/>
        <v>0.40629417542784735</v>
      </c>
      <c r="O2549" s="1">
        <f t="shared" si="241"/>
        <v>0.2714272010827275</v>
      </c>
      <c r="P2549" s="1">
        <f t="shared" si="242"/>
        <v>4.6918861703285186</v>
      </c>
      <c r="R2549" s="3">
        <f t="shared" si="237"/>
        <v>-3.0752060462477759E-2</v>
      </c>
      <c r="S2549" s="3">
        <f t="shared" si="238"/>
        <v>-1.4996847371288782</v>
      </c>
    </row>
    <row r="2550" spans="6:19" x14ac:dyDescent="0.2">
      <c r="F2550" s="3"/>
      <c r="G2550" s="3"/>
      <c r="H2550" s="3"/>
      <c r="M2550" s="1">
        <f t="shared" si="239"/>
        <v>76.440000000002129</v>
      </c>
      <c r="N2550" s="1">
        <f t="shared" si="240"/>
        <v>0.28309215652733211</v>
      </c>
      <c r="O2550" s="1">
        <f t="shared" si="241"/>
        <v>0.27991996577854744</v>
      </c>
      <c r="P2550" s="1">
        <f t="shared" si="242"/>
        <v>4.7002837693018753</v>
      </c>
      <c r="R2550" s="3">
        <f t="shared" si="237"/>
        <v>-1.8157373164758541E-2</v>
      </c>
      <c r="S2550" s="3">
        <f t="shared" si="238"/>
        <v>-1.4998900992405262</v>
      </c>
    </row>
    <row r="2551" spans="6:19" x14ac:dyDescent="0.2">
      <c r="F2551" s="3"/>
      <c r="G2551" s="3"/>
      <c r="H2551" s="3"/>
      <c r="M2551" s="1">
        <f t="shared" si="239"/>
        <v>76.47000000000213</v>
      </c>
      <c r="N2551" s="1">
        <f t="shared" si="240"/>
        <v>0.15638093472751616</v>
      </c>
      <c r="O2551" s="1">
        <f t="shared" si="241"/>
        <v>0.28461139382037293</v>
      </c>
      <c r="P2551" s="1">
        <f t="shared" si="242"/>
        <v>4.7088221111164863</v>
      </c>
      <c r="R2551" s="3">
        <f t="shared" si="237"/>
        <v>-5.3502925573887189E-3</v>
      </c>
      <c r="S2551" s="3">
        <f t="shared" si="238"/>
        <v>-1.499990458092834</v>
      </c>
    </row>
    <row r="2552" spans="6:19" x14ac:dyDescent="0.2">
      <c r="F2552" s="3"/>
      <c r="G2552" s="3"/>
      <c r="H2552" s="3"/>
      <c r="M2552" s="1">
        <f t="shared" si="239"/>
        <v>76.500000000002132</v>
      </c>
      <c r="N2552" s="1">
        <f t="shared" si="240"/>
        <v>2.7887900130053631E-2</v>
      </c>
      <c r="O2552" s="1">
        <f t="shared" si="241"/>
        <v>0.28544803082427456</v>
      </c>
      <c r="P2552" s="1">
        <f t="shared" si="242"/>
        <v>4.7173855520412147</v>
      </c>
      <c r="R2552" s="3">
        <f t="shared" si="237"/>
        <v>7.4948262990635374E-3</v>
      </c>
      <c r="S2552" s="3">
        <f t="shared" si="238"/>
        <v>-1.4999812757427162</v>
      </c>
    </row>
    <row r="2553" spans="6:19" x14ac:dyDescent="0.2">
      <c r="F2553" s="3"/>
      <c r="G2553" s="3"/>
      <c r="H2553" s="3"/>
      <c r="M2553" s="1">
        <f t="shared" si="239"/>
        <v>76.530000000002133</v>
      </c>
      <c r="N2553" s="1">
        <f t="shared" si="240"/>
        <v>-0.10063858576482007</v>
      </c>
      <c r="O2553" s="1">
        <f t="shared" si="241"/>
        <v>0.28242887325132998</v>
      </c>
      <c r="P2553" s="1">
        <f t="shared" si="242"/>
        <v>4.7258584182387544</v>
      </c>
      <c r="R2553" s="3">
        <f t="shared" si="237"/>
        <v>2.0203545860901943E-2</v>
      </c>
      <c r="S2553" s="3">
        <f t="shared" si="238"/>
        <v>-1.4998639327401158</v>
      </c>
    </row>
    <row r="2554" spans="6:19" x14ac:dyDescent="0.2">
      <c r="F2554" s="3"/>
      <c r="G2554" s="3"/>
      <c r="H2554" s="3"/>
      <c r="M2554" s="1">
        <f t="shared" si="239"/>
        <v>76.560000000002134</v>
      </c>
      <c r="N2554" s="1">
        <f t="shared" si="240"/>
        <v>-0.22745405720163914</v>
      </c>
      <c r="O2554" s="1">
        <f t="shared" si="241"/>
        <v>0.27560525153528082</v>
      </c>
      <c r="P2554" s="1">
        <f t="shared" si="242"/>
        <v>4.7341265757848126</v>
      </c>
      <c r="R2554" s="3">
        <f t="shared" si="237"/>
        <v>3.2603825282112378E-2</v>
      </c>
      <c r="S2554" s="3">
        <f t="shared" si="238"/>
        <v>-1.4996456216643228</v>
      </c>
    </row>
    <row r="2555" spans="6:19" x14ac:dyDescent="0.2">
      <c r="F2555" s="3"/>
      <c r="G2555" s="3"/>
      <c r="H2555" s="3"/>
      <c r="M2555" s="1">
        <f t="shared" si="239"/>
        <v>76.590000000002135</v>
      </c>
      <c r="N2555" s="1">
        <f t="shared" si="240"/>
        <v>-0.35084272545929907</v>
      </c>
      <c r="O2555" s="1">
        <f t="shared" si="241"/>
        <v>0.26507996977150183</v>
      </c>
      <c r="P2555" s="1">
        <f t="shared" si="242"/>
        <v>4.7420789748779573</v>
      </c>
      <c r="R2555" s="3">
        <f t="shared" si="237"/>
        <v>4.4528449127110417E-2</v>
      </c>
      <c r="S2555" s="3">
        <f t="shared" si="238"/>
        <v>-1.4993389267334902</v>
      </c>
    </row>
    <row r="2556" spans="6:19" x14ac:dyDescent="0.2">
      <c r="F2556" s="3"/>
      <c r="G2556" s="3"/>
      <c r="H2556" s="3"/>
      <c r="M2556" s="1">
        <f t="shared" si="239"/>
        <v>76.620000000002136</v>
      </c>
      <c r="N2556" s="1">
        <f t="shared" si="240"/>
        <v>-0.46914168855053928</v>
      </c>
      <c r="O2556" s="1">
        <f t="shared" si="241"/>
        <v>0.25100571911498565</v>
      </c>
      <c r="P2556" s="1">
        <f t="shared" si="242"/>
        <v>4.749609146451407</v>
      </c>
      <c r="R2556" s="3">
        <f t="shared" si="237"/>
        <v>5.581735933963812E-2</v>
      </c>
      <c r="S2556" s="3">
        <f t="shared" si="238"/>
        <v>-1.4989611143709998</v>
      </c>
    </row>
    <row r="2557" spans="6:19" x14ac:dyDescent="0.2">
      <c r="F2557" s="3"/>
      <c r="G2557" s="3"/>
      <c r="H2557" s="3"/>
      <c r="M2557" s="1">
        <f t="shared" si="239"/>
        <v>76.650000000002137</v>
      </c>
      <c r="N2557" s="1">
        <f t="shared" si="240"/>
        <v>-0.58076410811672985</v>
      </c>
      <c r="O2557" s="1">
        <f t="shared" si="241"/>
        <v>0.23358279587148376</v>
      </c>
      <c r="P2557" s="1">
        <f t="shared" si="242"/>
        <v>4.7566166303275512</v>
      </c>
      <c r="R2557" s="3">
        <f t="shared" si="237"/>
        <v>6.6319848768654502E-2</v>
      </c>
      <c r="S2557" s="3">
        <f t="shared" si="238"/>
        <v>-1.4985331753615942</v>
      </c>
    </row>
    <row r="2558" spans="6:19" x14ac:dyDescent="0.2">
      <c r="F2558" s="3"/>
      <c r="G2558" s="3"/>
      <c r="H2558" s="3"/>
      <c r="M2558" s="1">
        <f t="shared" si="239"/>
        <v>76.680000000002138</v>
      </c>
      <c r="N2558" s="1">
        <f t="shared" si="240"/>
        <v>-0.68422093931497852</v>
      </c>
      <c r="O2558" s="1">
        <f t="shared" si="241"/>
        <v>0.21305616769203439</v>
      </c>
      <c r="P2558" s="1">
        <f t="shared" si="242"/>
        <v>4.763008315358312</v>
      </c>
      <c r="R2558" s="3">
        <f t="shared" si="237"/>
        <v>7.589658091786676E-2</v>
      </c>
      <c r="S2558" s="3">
        <f t="shared" si="238"/>
        <v>-1.4980786725018742</v>
      </c>
    </row>
    <row r="2559" spans="6:19" x14ac:dyDescent="0.2">
      <c r="F2559" s="3"/>
      <c r="G2559" s="3"/>
      <c r="H2559" s="3"/>
      <c r="M2559" s="1">
        <f t="shared" si="239"/>
        <v>76.71000000000214</v>
      </c>
      <c r="N2559" s="1">
        <f t="shared" si="240"/>
        <v>-0.77814086427095075</v>
      </c>
      <c r="O2559" s="1">
        <f t="shared" si="241"/>
        <v>0.18971194176390588</v>
      </c>
      <c r="P2559" s="1">
        <f t="shared" si="242"/>
        <v>4.7686996736112288</v>
      </c>
      <c r="R2559" s="3">
        <f t="shared" si="237"/>
        <v>8.4421408104283183E-2</v>
      </c>
      <c r="S2559" s="3">
        <f t="shared" si="238"/>
        <v>-1.4976224577154584</v>
      </c>
    </row>
    <row r="2560" spans="6:19" x14ac:dyDescent="0.2">
      <c r="F2560" s="3"/>
      <c r="G2560" s="3"/>
      <c r="H2560" s="3"/>
      <c r="M2560" s="1">
        <f t="shared" si="239"/>
        <v>76.740000000002141</v>
      </c>
      <c r="N2560" s="1">
        <f t="shared" si="240"/>
        <v>-0.86128815580158335</v>
      </c>
      <c r="O2560" s="1">
        <f t="shared" si="241"/>
        <v>0.16387329708985837</v>
      </c>
      <c r="P2560" s="1">
        <f t="shared" si="242"/>
        <v>4.7736158725239246</v>
      </c>
      <c r="R2560" s="3">
        <f t="shared" si="237"/>
        <v>9.1782968155786931E-2</v>
      </c>
      <c r="S2560" s="3">
        <f t="shared" si="238"/>
        <v>-1.4971893289616092</v>
      </c>
    </row>
    <row r="2561" spans="6:19" x14ac:dyDescent="0.2">
      <c r="F2561" s="3"/>
      <c r="G2561" s="3"/>
      <c r="H2561" s="3"/>
      <c r="M2561" s="1">
        <f t="shared" si="239"/>
        <v>76.770000000002142</v>
      </c>
      <c r="N2561" s="1">
        <f t="shared" si="240"/>
        <v>-0.93257827829595663</v>
      </c>
      <c r="O2561" s="1">
        <f t="shared" si="241"/>
        <v>0.13589594874097968</v>
      </c>
      <c r="P2561" s="1">
        <f t="shared" si="242"/>
        <v>4.7776927509861542</v>
      </c>
      <c r="R2561" s="3">
        <f t="shared" si="237"/>
        <v>9.7886047417826166E-2</v>
      </c>
      <c r="S2561" s="3">
        <f t="shared" si="238"/>
        <v>-1.4968026996638253</v>
      </c>
    </row>
    <row r="2562" spans="6:19" x14ac:dyDescent="0.2">
      <c r="F2562" s="3"/>
      <c r="G2562" s="3"/>
      <c r="H2562" s="3"/>
      <c r="M2562" s="1">
        <f t="shared" si="239"/>
        <v>76.800000000002143</v>
      </c>
      <c r="N2562" s="1">
        <f t="shared" si="240"/>
        <v>-0.99109110956494972</v>
      </c>
      <c r="O2562" s="1">
        <f t="shared" si="241"/>
        <v>0.10616321545403119</v>
      </c>
      <c r="P2562" s="1">
        <f t="shared" si="242"/>
        <v>4.7808776474497749</v>
      </c>
      <c r="R2562" s="3">
        <f t="shared" ref="R2562:R2625" si="243">$B$3*COS(P2562)</f>
        <v>0.10265270452704521</v>
      </c>
      <c r="S2562" s="3">
        <f t="shared" ref="S2562:S2625" si="244">$B$3*SIN(P2562)</f>
        <v>-1.496483351812937</v>
      </c>
    </row>
    <row r="2563" spans="6:19" x14ac:dyDescent="0.2">
      <c r="F2563" s="3"/>
      <c r="G2563" s="3"/>
      <c r="H2563" s="3"/>
      <c r="M2563" s="1">
        <f t="shared" ref="M2563:M2626" si="245">M2562+B$13</f>
        <v>76.830000000002144</v>
      </c>
      <c r="N2563" s="1">
        <f t="shared" ref="N2563:N2626" si="246">-$B$12*$B$3*COS(P2562)-B$10*O2562</f>
        <v>-1.0360817346613149</v>
      </c>
      <c r="O2563" s="1">
        <f t="shared" ref="O2563:O2626" si="247">N2563*$B$13+O2562</f>
        <v>7.5080763414191745E-2</v>
      </c>
      <c r="P2563" s="1">
        <f t="shared" ref="P2563:P2626" si="248">O2563*$B$13+P2562</f>
        <v>4.7831300703522004</v>
      </c>
      <c r="R2563" s="3">
        <f t="shared" si="243"/>
        <v>0.10602315465213601</v>
      </c>
      <c r="S2563" s="3">
        <f t="shared" si="244"/>
        <v>-1.4962483385713781</v>
      </c>
    </row>
    <row r="2564" spans="6:19" x14ac:dyDescent="0.2">
      <c r="F2564" s="3"/>
      <c r="G2564" s="3"/>
      <c r="H2564" s="3"/>
      <c r="M2564" s="1">
        <f t="shared" si="245"/>
        <v>76.860000000002145</v>
      </c>
      <c r="N2564" s="1">
        <f t="shared" si="246"/>
        <v>-1.0669888152286373</v>
      </c>
      <c r="O2564" s="1">
        <f t="shared" si="247"/>
        <v>4.3071098957332625E-2</v>
      </c>
      <c r="P2564" s="1">
        <f t="shared" si="248"/>
        <v>4.7844222033209203</v>
      </c>
      <c r="R2564" s="3">
        <f t="shared" si="243"/>
        <v>0.10795641741328613</v>
      </c>
      <c r="S2564" s="3">
        <f t="shared" si="244"/>
        <v>-1.4961100935222944</v>
      </c>
    </row>
    <row r="2565" spans="6:19" x14ac:dyDescent="0.2">
      <c r="F2565" s="3"/>
      <c r="G2565" s="3"/>
      <c r="H2565" s="3"/>
      <c r="M2565" s="1">
        <f t="shared" si="245"/>
        <v>76.890000000002146</v>
      </c>
      <c r="N2565" s="1">
        <f t="shared" si="246"/>
        <v>-1.0834405730390211</v>
      </c>
      <c r="O2565" s="1">
        <f t="shared" si="247"/>
        <v>1.0567881766161996E-2</v>
      </c>
      <c r="P2565" s="1">
        <f t="shared" si="248"/>
        <v>4.7847392397739048</v>
      </c>
      <c r="R2565" s="3">
        <f t="shared" si="243"/>
        <v>0.10843073341720119</v>
      </c>
      <c r="S2565" s="3">
        <f t="shared" si="244"/>
        <v>-1.4960757922146217</v>
      </c>
    </row>
    <row r="2566" spans="6:19" x14ac:dyDescent="0.2">
      <c r="F2566" s="3"/>
      <c r="G2566" s="3"/>
      <c r="H2566" s="3"/>
      <c r="M2566" s="1">
        <f t="shared" si="245"/>
        <v>76.920000000002148</v>
      </c>
      <c r="N2566" s="1">
        <f t="shared" si="246"/>
        <v>-1.0852584435309665</v>
      </c>
      <c r="O2566" s="1">
        <f t="shared" si="247"/>
        <v>-2.1989871539766996E-2</v>
      </c>
      <c r="P2566" s="1">
        <f t="shared" si="248"/>
        <v>4.7840795436277119</v>
      </c>
      <c r="R2566" s="3">
        <f t="shared" si="243"/>
        <v>0.10744375445977895</v>
      </c>
      <c r="S2566" s="3">
        <f t="shared" si="244"/>
        <v>-1.4961469980010609</v>
      </c>
    </row>
    <row r="2567" spans="6:19" x14ac:dyDescent="0.2">
      <c r="F2567" s="3"/>
      <c r="G2567" s="3"/>
      <c r="H2567" s="3"/>
      <c r="M2567" s="1">
        <f t="shared" si="245"/>
        <v>76.950000000002149</v>
      </c>
      <c r="N2567" s="1">
        <f t="shared" si="246"/>
        <v>-1.0724584561592105</v>
      </c>
      <c r="O2567" s="1">
        <f t="shared" si="247"/>
        <v>-5.4163625224543314E-2</v>
      </c>
      <c r="P2567" s="1">
        <f t="shared" si="248"/>
        <v>4.7824546348709758</v>
      </c>
      <c r="R2567" s="3">
        <f t="shared" si="243"/>
        <v>0.10501251132780992</v>
      </c>
      <c r="S2567" s="3">
        <f t="shared" si="244"/>
        <v>-1.4963196090623909</v>
      </c>
    </row>
    <row r="2568" spans="6:19" x14ac:dyDescent="0.2">
      <c r="F2568" s="3"/>
      <c r="G2568" s="3"/>
      <c r="H2568" s="3"/>
      <c r="M2568" s="1">
        <f t="shared" si="245"/>
        <v>76.98000000000215</v>
      </c>
      <c r="N2568" s="1">
        <f t="shared" si="246"/>
        <v>-1.0452503870078904</v>
      </c>
      <c r="O2568" s="1">
        <f t="shared" si="247"/>
        <v>-8.552113683478002E-2</v>
      </c>
      <c r="P2568" s="1">
        <f t="shared" si="248"/>
        <v>4.779889000765932</v>
      </c>
      <c r="R2568" s="3">
        <f t="shared" si="243"/>
        <v>0.10117316129734875</v>
      </c>
      <c r="S2568" s="3">
        <f t="shared" si="244"/>
        <v>-1.4965841077043083</v>
      </c>
    </row>
    <row r="2569" spans="6:19" x14ac:dyDescent="0.2">
      <c r="F2569" s="3"/>
      <c r="G2569" s="3"/>
      <c r="H2569" s="3"/>
      <c r="M2569" s="1">
        <f t="shared" si="245"/>
        <v>77.010000000002151</v>
      </c>
      <c r="N2569" s="1">
        <f t="shared" si="246"/>
        <v>-1.0040347106583574</v>
      </c>
      <c r="O2569" s="1">
        <f t="shared" si="247"/>
        <v>-0.11564217815453073</v>
      </c>
      <c r="P2569" s="1">
        <f t="shared" si="248"/>
        <v>4.7764197354212961</v>
      </c>
      <c r="R2569" s="3">
        <f t="shared" si="243"/>
        <v>9.5980515482767217E-2</v>
      </c>
      <c r="S2569" s="3">
        <f t="shared" si="244"/>
        <v>-1.4969260972565286</v>
      </c>
    </row>
    <row r="2570" spans="6:19" x14ac:dyDescent="0.2">
      <c r="F2570" s="3"/>
      <c r="G2570" s="3"/>
      <c r="H2570" s="3"/>
      <c r="M2570" s="1">
        <f t="shared" si="245"/>
        <v>77.040000000002152</v>
      </c>
      <c r="N2570" s="1">
        <f t="shared" si="246"/>
        <v>-0.94939735879376441</v>
      </c>
      <c r="O2570" s="1">
        <f t="shared" si="247"/>
        <v>-0.14412409891834366</v>
      </c>
      <c r="P2570" s="1">
        <f t="shared" si="248"/>
        <v>4.7720960124537459</v>
      </c>
      <c r="R2570" s="3">
        <f t="shared" si="243"/>
        <v>8.9507344745121703E-2</v>
      </c>
      <c r="S2570" s="3">
        <f t="shared" si="244"/>
        <v>-1.4973270969419734</v>
      </c>
    </row>
    <row r="2571" spans="6:19" x14ac:dyDescent="0.2">
      <c r="F2571" s="3"/>
      <c r="G2571" s="3"/>
      <c r="H2571" s="3"/>
      <c r="M2571" s="1">
        <f t="shared" si="245"/>
        <v>77.070000000002153</v>
      </c>
      <c r="N2571" s="1">
        <f t="shared" si="246"/>
        <v>-0.88210227854856615</v>
      </c>
      <c r="O2571" s="1">
        <f t="shared" si="247"/>
        <v>-0.17058716727480064</v>
      </c>
      <c r="P2571" s="1">
        <f t="shared" si="248"/>
        <v>4.7669783974355022</v>
      </c>
      <c r="R2571" s="3">
        <f t="shared" si="243"/>
        <v>8.1843462459017524E-2</v>
      </c>
      <c r="S2571" s="3">
        <f t="shared" si="244"/>
        <v>-1.4977655516310686</v>
      </c>
    </row>
    <row r="2572" spans="6:19" x14ac:dyDescent="0.2">
      <c r="F2572" s="3"/>
      <c r="G2572" s="3"/>
      <c r="H2572" s="3"/>
      <c r="M2572" s="1">
        <f t="shared" si="245"/>
        <v>77.100000000002154</v>
      </c>
      <c r="N2572" s="1">
        <f t="shared" si="246"/>
        <v>-0.80308177953544302</v>
      </c>
      <c r="O2572" s="1">
        <f t="shared" si="247"/>
        <v>-0.19467962066086392</v>
      </c>
      <c r="P2572" s="1">
        <f t="shared" si="248"/>
        <v>4.7611380088156761</v>
      </c>
      <c r="R2572" s="3">
        <f t="shared" si="243"/>
        <v>7.3094583463964274E-2</v>
      </c>
      <c r="S2572" s="3">
        <f t="shared" si="244"/>
        <v>-1.4982180021172584</v>
      </c>
    </row>
    <row r="2573" spans="6:19" x14ac:dyDescent="0.2">
      <c r="F2573" s="3"/>
      <c r="G2573" s="3"/>
      <c r="H2573" s="3"/>
      <c r="M2573" s="1">
        <f t="shared" si="245"/>
        <v>77.130000000002156</v>
      </c>
      <c r="N2573" s="1">
        <f t="shared" si="246"/>
        <v>-0.71342466878016508</v>
      </c>
      <c r="O2573" s="1">
        <f t="shared" si="247"/>
        <v>-0.21608236072426887</v>
      </c>
      <c r="P2573" s="1">
        <f t="shared" si="248"/>
        <v>4.7546555379939477</v>
      </c>
      <c r="R2573" s="3">
        <f t="shared" si="243"/>
        <v>6.3380961201337849E-2</v>
      </c>
      <c r="S2573" s="3">
        <f t="shared" si="244"/>
        <v>-1.4986603530344007</v>
      </c>
    </row>
    <row r="2574" spans="6:19" x14ac:dyDescent="0.2">
      <c r="F2574" s="3"/>
      <c r="G2574" s="3"/>
      <c r="H2574" s="3"/>
      <c r="M2574" s="1">
        <f t="shared" si="245"/>
        <v>77.160000000002157</v>
      </c>
      <c r="N2574" s="1">
        <f t="shared" si="246"/>
        <v>-0.61436219954819415</v>
      </c>
      <c r="O2574" s="1">
        <f t="shared" si="247"/>
        <v>-0.2345132267107147</v>
      </c>
      <c r="P2574" s="1">
        <f t="shared" si="248"/>
        <v>4.747620141192626</v>
      </c>
      <c r="R2574" s="3">
        <f t="shared" si="243"/>
        <v>5.2835809355618754E-2</v>
      </c>
      <c r="S2574" s="3">
        <f t="shared" si="244"/>
        <v>-1.4990691702685828</v>
      </c>
    </row>
    <row r="2575" spans="6:19" x14ac:dyDescent="0.2">
      <c r="F2575" s="3"/>
      <c r="G2575" s="3"/>
      <c r="H2575" s="3"/>
      <c r="M2575" s="1">
        <f t="shared" si="245"/>
        <v>77.190000000002158</v>
      </c>
      <c r="N2575" s="1">
        <f t="shared" si="246"/>
        <v>-0.50725190315222324</v>
      </c>
      <c r="O2575" s="1">
        <f t="shared" si="247"/>
        <v>-0.24973078380528141</v>
      </c>
      <c r="P2575" s="1">
        <f t="shared" si="248"/>
        <v>4.7401282176784676</v>
      </c>
      <c r="R2575" s="3">
        <f t="shared" si="243"/>
        <v>4.160352005092291E-2</v>
      </c>
      <c r="S2575" s="3">
        <f t="shared" si="244"/>
        <v>-1.499422938039622</v>
      </c>
    </row>
    <row r="2576" spans="6:19" x14ac:dyDescent="0.2">
      <c r="F2576" s="3"/>
      <c r="G2576" s="3"/>
      <c r="H2576" s="3"/>
      <c r="M2576" s="1">
        <f t="shared" si="245"/>
        <v>77.220000000002159</v>
      </c>
      <c r="N2576" s="1">
        <f t="shared" si="246"/>
        <v>-0.39355942996675375</v>
      </c>
      <c r="O2576" s="1">
        <f t="shared" si="247"/>
        <v>-0.26153756670428402</v>
      </c>
      <c r="P2576" s="1">
        <f t="shared" si="248"/>
        <v>4.7322820906773391</v>
      </c>
      <c r="R2576" s="3">
        <f t="shared" si="243"/>
        <v>2.9837697373752296E-2</v>
      </c>
      <c r="S2576" s="3">
        <f t="shared" si="244"/>
        <v>-1.4997032079099626</v>
      </c>
    </row>
    <row r="2577" spans="6:19" x14ac:dyDescent="0.2">
      <c r="F2577" s="3"/>
      <c r="G2577" s="3"/>
      <c r="H2577" s="3"/>
      <c r="M2577" s="1">
        <f t="shared" si="245"/>
        <v>77.25000000000216</v>
      </c>
      <c r="N2577" s="1">
        <f t="shared" si="246"/>
        <v>-0.27483859273413741</v>
      </c>
      <c r="O2577" s="1">
        <f t="shared" si="247"/>
        <v>-0.26978272448630813</v>
      </c>
      <c r="P2577" s="1">
        <f t="shared" si="248"/>
        <v>4.7241886089427494</v>
      </c>
      <c r="R2577" s="3">
        <f t="shared" si="243"/>
        <v>1.7699032120736997E-2</v>
      </c>
      <c r="S2577" s="3">
        <f t="shared" si="244"/>
        <v>-1.4998955777859968</v>
      </c>
    </row>
    <row r="2578" spans="6:19" x14ac:dyDescent="0.2">
      <c r="F2578" s="3"/>
      <c r="G2578" s="3"/>
      <c r="H2578" s="3"/>
      <c r="M2578" s="1">
        <f t="shared" si="245"/>
        <v>77.280000000002161</v>
      </c>
      <c r="N2578" s="1">
        <f t="shared" si="246"/>
        <v>-0.15270987600360225</v>
      </c>
      <c r="O2578" s="1">
        <f t="shared" si="247"/>
        <v>-0.27436402076641619</v>
      </c>
      <c r="P2578" s="1">
        <f t="shared" si="248"/>
        <v>4.7159576883197571</v>
      </c>
      <c r="R2578" s="3">
        <f t="shared" si="243"/>
        <v>5.3530505401308773E-3</v>
      </c>
      <c r="S2578" s="3">
        <f t="shared" si="244"/>
        <v>-1.499990448252893</v>
      </c>
    </row>
    <row r="2579" spans="6:19" x14ac:dyDescent="0.2">
      <c r="F2579" s="3"/>
      <c r="G2579" s="3"/>
      <c r="H2579" s="3"/>
      <c r="M2579" s="1">
        <f t="shared" si="245"/>
        <v>77.310000000002162</v>
      </c>
      <c r="N2579" s="1">
        <f t="shared" si="246"/>
        <v>-2.883774353233132E-2</v>
      </c>
      <c r="O2579" s="1">
        <f t="shared" si="247"/>
        <v>-0.27522915307238616</v>
      </c>
      <c r="P2579" s="1">
        <f t="shared" si="248"/>
        <v>4.7077008137275858</v>
      </c>
      <c r="R2579" s="3">
        <f t="shared" si="243"/>
        <v>-7.0322242254901891E-3</v>
      </c>
      <c r="S2579" s="3">
        <f t="shared" si="244"/>
        <v>-1.4999835158502384</v>
      </c>
    </row>
    <row r="2580" spans="6:19" x14ac:dyDescent="0.2">
      <c r="F2580" s="3"/>
      <c r="G2580" s="3"/>
      <c r="H2580" s="3"/>
      <c r="M2580" s="1">
        <f t="shared" si="245"/>
        <v>77.340000000002163</v>
      </c>
      <c r="N2580" s="1">
        <f t="shared" si="246"/>
        <v>9.5092866031416645E-2</v>
      </c>
      <c r="O2580" s="1">
        <f t="shared" si="247"/>
        <v>-0.27237636709144364</v>
      </c>
      <c r="P2580" s="1">
        <f t="shared" si="248"/>
        <v>4.6995295227148421</v>
      </c>
      <c r="R2580" s="3">
        <f t="shared" si="243"/>
        <v>-1.9288654881018125E-2</v>
      </c>
      <c r="S2580" s="3">
        <f t="shared" si="244"/>
        <v>-1.4998759774704311</v>
      </c>
    </row>
    <row r="2581" spans="6:19" x14ac:dyDescent="0.2">
      <c r="F2581" s="3"/>
      <c r="G2581" s="3"/>
      <c r="H2581" s="3"/>
      <c r="M2581" s="1">
        <f t="shared" si="245"/>
        <v>77.370000000002165</v>
      </c>
      <c r="N2581" s="1">
        <f t="shared" si="246"/>
        <v>0.21740042184841121</v>
      </c>
      <c r="O2581" s="1">
        <f t="shared" si="247"/>
        <v>-0.26585435443599131</v>
      </c>
      <c r="P2581" s="1">
        <f t="shared" si="248"/>
        <v>4.6915538920817621</v>
      </c>
      <c r="R2581" s="3">
        <f t="shared" si="243"/>
        <v>-3.1250371370799231E-2</v>
      </c>
      <c r="S2581" s="3">
        <f t="shared" si="244"/>
        <v>-1.4996744360991112</v>
      </c>
    </row>
    <row r="2582" spans="6:19" x14ac:dyDescent="0.2">
      <c r="F2582" s="3"/>
      <c r="G2582" s="3"/>
      <c r="H2582" s="3"/>
      <c r="M2582" s="1">
        <f t="shared" si="245"/>
        <v>77.400000000002166</v>
      </c>
      <c r="N2582" s="1">
        <f t="shared" si="246"/>
        <v>0.33643060560723148</v>
      </c>
      <c r="O2582" s="1">
        <f t="shared" si="247"/>
        <v>-0.25576143626777437</v>
      </c>
      <c r="P2582" s="1">
        <f t="shared" si="248"/>
        <v>4.6838810489937286</v>
      </c>
      <c r="R2582" s="3">
        <f t="shared" si="243"/>
        <v>-4.2756105207501539E-2</v>
      </c>
      <c r="S2582" s="3">
        <f t="shared" si="244"/>
        <v>-1.4993905146650373</v>
      </c>
    </row>
    <row r="2583" spans="6:19" x14ac:dyDescent="0.2">
      <c r="F2583" s="3"/>
      <c r="G2583" s="3"/>
      <c r="H2583" s="3"/>
      <c r="M2583" s="1">
        <f t="shared" si="245"/>
        <v>77.430000000002167</v>
      </c>
      <c r="N2583" s="1">
        <f t="shared" si="246"/>
        <v>0.45057958133911513</v>
      </c>
      <c r="O2583" s="1">
        <f t="shared" si="247"/>
        <v>-0.24224404882760092</v>
      </c>
      <c r="P2583" s="1">
        <f t="shared" si="248"/>
        <v>4.6766137275289008</v>
      </c>
      <c r="R2583" s="3">
        <f t="shared" si="243"/>
        <v>-5.3651433109445854E-2</v>
      </c>
      <c r="S2583" s="3">
        <f t="shared" si="244"/>
        <v>-1.4990402008369563</v>
      </c>
    </row>
    <row r="2584" spans="6:19" x14ac:dyDescent="0.2">
      <c r="F2584" s="3"/>
      <c r="G2584" s="3"/>
      <c r="H2584" s="3"/>
      <c r="M2584" s="1">
        <f t="shared" si="245"/>
        <v>77.460000000002168</v>
      </c>
      <c r="N2584" s="1">
        <f t="shared" si="246"/>
        <v>0.55831629548894268</v>
      </c>
      <c r="O2584" s="1">
        <f t="shared" si="247"/>
        <v>-0.22549455996293263</v>
      </c>
      <c r="P2584" s="1">
        <f t="shared" si="248"/>
        <v>4.6698488907300124</v>
      </c>
      <c r="R2584" s="3">
        <f t="shared" si="243"/>
        <v>-6.3790890456906016E-2</v>
      </c>
      <c r="S2584" s="3">
        <f t="shared" si="244"/>
        <v>-1.4986429602459403</v>
      </c>
    </row>
    <row r="2585" spans="6:19" x14ac:dyDescent="0.2">
      <c r="F2585" s="3"/>
      <c r="G2585" s="3"/>
      <c r="H2585" s="3"/>
      <c r="M2585" s="1">
        <f t="shared" si="245"/>
        <v>77.490000000002169</v>
      </c>
      <c r="N2585" s="1">
        <f t="shared" si="246"/>
        <v>0.65820341496572421</v>
      </c>
      <c r="O2585" s="1">
        <f t="shared" si="247"/>
        <v>-0.2057484575139609</v>
      </c>
      <c r="P2585" s="1">
        <f t="shared" si="248"/>
        <v>4.663676437004594</v>
      </c>
      <c r="R2585" s="3">
        <f t="shared" si="243"/>
        <v>-7.3039920855274082E-2</v>
      </c>
      <c r="S2585" s="3">
        <f t="shared" si="244"/>
        <v>-1.4982206679796723</v>
      </c>
    </row>
    <row r="2586" spans="6:19" x14ac:dyDescent="0.2">
      <c r="F2586" s="3"/>
      <c r="G2586" s="3"/>
      <c r="H2586" s="3"/>
      <c r="M2586" s="1">
        <f t="shared" si="245"/>
        <v>77.52000000000217</v>
      </c>
      <c r="N2586" s="1">
        <f t="shared" si="246"/>
        <v>0.74891656972899723</v>
      </c>
      <c r="O2586" s="1">
        <f t="shared" si="247"/>
        <v>-0.18328096042209097</v>
      </c>
      <c r="P2586" s="1">
        <f t="shared" si="248"/>
        <v>4.6581780081919311</v>
      </c>
      <c r="R2586" s="3">
        <f t="shared" si="243"/>
        <v>-8.1276634940131876E-2</v>
      </c>
      <c r="S2586" s="3">
        <f t="shared" si="244"/>
        <v>-1.49779641761249</v>
      </c>
    </row>
    <row r="2587" spans="6:19" x14ac:dyDescent="0.2">
      <c r="F2587" s="3"/>
      <c r="G2587" s="3"/>
      <c r="H2587" s="3"/>
      <c r="M2587" s="1">
        <f t="shared" si="245"/>
        <v>77.550000000002171</v>
      </c>
      <c r="N2587" s="1">
        <f t="shared" si="246"/>
        <v>0.8292616358393069</v>
      </c>
      <c r="O2587" s="1">
        <f t="shared" si="247"/>
        <v>-0.15840311134691176</v>
      </c>
      <c r="P2587" s="1">
        <f t="shared" si="248"/>
        <v>4.6534259148515238</v>
      </c>
      <c r="R2587" s="3">
        <f t="shared" si="243"/>
        <v>-8.8393358823936702E-2</v>
      </c>
      <c r="S2587" s="3">
        <f t="shared" si="244"/>
        <v>-1.4973932730301089</v>
      </c>
    </row>
    <row r="2588" spans="6:19" x14ac:dyDescent="0.2">
      <c r="F2588" s="3"/>
      <c r="G2588" s="3"/>
      <c r="H2588" s="3"/>
      <c r="M2588" s="1">
        <f t="shared" si="245"/>
        <v>77.580000000002173</v>
      </c>
      <c r="N2588" s="1">
        <f t="shared" si="246"/>
        <v>0.89818986826058911</v>
      </c>
      <c r="O2588" s="1">
        <f t="shared" si="247"/>
        <v>-0.1314574152990941</v>
      </c>
      <c r="P2588" s="1">
        <f t="shared" si="248"/>
        <v>4.6494821923925507</v>
      </c>
      <c r="R2588" s="3">
        <f t="shared" si="243"/>
        <v>-9.4297959609520005E-2</v>
      </c>
      <c r="S2588" s="3">
        <f t="shared" si="244"/>
        <v>-1.4970330306354236</v>
      </c>
    </row>
    <row r="2589" spans="6:19" x14ac:dyDescent="0.2">
      <c r="F2589" s="3"/>
      <c r="G2589" s="3"/>
      <c r="H2589" s="3"/>
      <c r="M2589" s="1">
        <f t="shared" si="245"/>
        <v>77.610000000002174</v>
      </c>
      <c r="N2589" s="1">
        <f t="shared" si="246"/>
        <v>0.95481076347211857</v>
      </c>
      <c r="O2589" s="1">
        <f t="shared" si="247"/>
        <v>-0.10281309239493056</v>
      </c>
      <c r="P2589" s="1">
        <f t="shared" si="248"/>
        <v>4.6463977996207024</v>
      </c>
      <c r="R2589" s="3">
        <f t="shared" si="243"/>
        <v>-9.8914941596654454E-2</v>
      </c>
      <c r="S2589" s="3">
        <f t="shared" si="244"/>
        <v>-1.49673505816124</v>
      </c>
    </row>
    <row r="2590" spans="6:19" x14ac:dyDescent="0.2">
      <c r="F2590" s="3"/>
      <c r="G2590" s="3"/>
      <c r="H2590" s="3"/>
      <c r="M2590" s="1">
        <f t="shared" si="245"/>
        <v>77.640000000002175</v>
      </c>
      <c r="N2590" s="1">
        <f t="shared" si="246"/>
        <v>0.99840259428208833</v>
      </c>
      <c r="O2590" s="1">
        <f t="shared" si="247"/>
        <v>-7.2861014566467902E-2</v>
      </c>
      <c r="P2590" s="1">
        <f t="shared" si="248"/>
        <v>4.6442119691837087</v>
      </c>
      <c r="R2590" s="3">
        <f t="shared" si="243"/>
        <v>-0.10218631173717216</v>
      </c>
      <c r="S2590" s="3">
        <f t="shared" si="244"/>
        <v>-1.4965152714535035</v>
      </c>
    </row>
    <row r="2591" spans="6:19" x14ac:dyDescent="0.2">
      <c r="F2591" s="3"/>
      <c r="G2591" s="3"/>
      <c r="H2591" s="3"/>
      <c r="M2591" s="1">
        <f t="shared" si="245"/>
        <v>77.670000000002176</v>
      </c>
      <c r="N2591" s="1">
        <f t="shared" si="246"/>
        <v>1.0284206086827037</v>
      </c>
      <c r="O2591" s="1">
        <f t="shared" si="247"/>
        <v>-4.2008396305986795E-2</v>
      </c>
      <c r="P2591" s="1">
        <f t="shared" si="248"/>
        <v>4.6429517172945287</v>
      </c>
      <c r="R2591" s="3">
        <f t="shared" si="243"/>
        <v>-0.10407221628805803</v>
      </c>
      <c r="S2591" s="3">
        <f t="shared" si="244"/>
        <v>-1.4963853025865002</v>
      </c>
    </row>
    <row r="2592" spans="6:19" x14ac:dyDescent="0.2">
      <c r="F2592" s="3"/>
      <c r="G2592" s="3"/>
      <c r="H2592" s="3"/>
      <c r="M2592" s="1">
        <f t="shared" si="245"/>
        <v>77.700000000002177</v>
      </c>
      <c r="N2592" s="1">
        <f t="shared" si="246"/>
        <v>1.0445029185481192</v>
      </c>
      <c r="O2592" s="1">
        <f t="shared" si="247"/>
        <v>-1.0673308749543219E-2</v>
      </c>
      <c r="P2592" s="1">
        <f t="shared" si="248"/>
        <v>4.6426315180320428</v>
      </c>
      <c r="R2592" s="3">
        <f t="shared" si="243"/>
        <v>-0.10455135241501795</v>
      </c>
      <c r="S2592" s="3">
        <f t="shared" si="244"/>
        <v>-1.4963519020297968</v>
      </c>
    </row>
    <row r="2593" spans="6:19" x14ac:dyDescent="0.2">
      <c r="F2593" s="3"/>
      <c r="G2593" s="3"/>
      <c r="H2593" s="3"/>
      <c r="M2593" s="1">
        <f t="shared" si="245"/>
        <v>77.730000000002178</v>
      </c>
      <c r="N2593" s="1">
        <f t="shared" si="246"/>
        <v>1.0464741219376383</v>
      </c>
      <c r="O2593" s="1">
        <f t="shared" si="247"/>
        <v>2.0720914908585929E-2</v>
      </c>
      <c r="P2593" s="1">
        <f t="shared" si="248"/>
        <v>4.6432531454793002</v>
      </c>
      <c r="R2593" s="3">
        <f t="shared" si="243"/>
        <v>-0.10362115886146481</v>
      </c>
      <c r="S2593" s="3">
        <f t="shared" si="244"/>
        <v>-1.4964166049052674</v>
      </c>
    </row>
    <row r="2594" spans="6:19" x14ac:dyDescent="0.2">
      <c r="F2594" s="3"/>
      <c r="G2594" s="3"/>
      <c r="H2594" s="3"/>
      <c r="M2594" s="1">
        <f t="shared" si="245"/>
        <v>77.760000000002179</v>
      </c>
      <c r="N2594" s="1">
        <f t="shared" si="246"/>
        <v>1.0343467062728753</v>
      </c>
      <c r="O2594" s="1">
        <f t="shared" si="247"/>
        <v>5.1751316096772186E-2</v>
      </c>
      <c r="P2594" s="1">
        <f t="shared" si="248"/>
        <v>4.6448056849622033</v>
      </c>
      <c r="R2594" s="3">
        <f t="shared" si="243"/>
        <v>-0.10129778904969512</v>
      </c>
      <c r="S2594" s="3">
        <f t="shared" si="244"/>
        <v>-1.4965756773159329</v>
      </c>
    </row>
    <row r="2595" spans="6:19" x14ac:dyDescent="0.2">
      <c r="F2595" s="3"/>
      <c r="G2595" s="3"/>
      <c r="H2595" s="3"/>
      <c r="M2595" s="1">
        <f t="shared" si="245"/>
        <v>77.790000000002181</v>
      </c>
      <c r="N2595" s="1">
        <f t="shared" si="246"/>
        <v>1.0083202720482418</v>
      </c>
      <c r="O2595" s="1">
        <f t="shared" si="247"/>
        <v>8.2000924258219435E-2</v>
      </c>
      <c r="P2595" s="1">
        <f t="shared" si="248"/>
        <v>4.6472657126899497</v>
      </c>
      <c r="R2595" s="3">
        <f t="shared" si="243"/>
        <v>-9.7615868586584054E-2</v>
      </c>
      <c r="S2595" s="3">
        <f t="shared" si="244"/>
        <v>-1.4968203439959276</v>
      </c>
    </row>
    <row r="2596" spans="6:19" x14ac:dyDescent="0.2">
      <c r="F2596" s="3"/>
      <c r="G2596" s="3"/>
      <c r="H2596" s="3"/>
      <c r="M2596" s="1">
        <f t="shared" si="245"/>
        <v>77.820000000002182</v>
      </c>
      <c r="N2596" s="1">
        <f t="shared" si="246"/>
        <v>0.96877860268260085</v>
      </c>
      <c r="O2596" s="1">
        <f t="shared" si="247"/>
        <v>0.11106428233869746</v>
      </c>
      <c r="P2596" s="1">
        <f t="shared" si="248"/>
        <v>4.6505976411601102</v>
      </c>
      <c r="R2596" s="3">
        <f t="shared" si="243"/>
        <v>-9.262803764280482E-2</v>
      </c>
      <c r="S2596" s="3">
        <f t="shared" si="244"/>
        <v>-1.4971372838328632</v>
      </c>
    </row>
    <row r="2597" spans="6:19" x14ac:dyDescent="0.2">
      <c r="F2597" s="3"/>
      <c r="G2597" s="3"/>
      <c r="H2597" s="3"/>
      <c r="M2597" s="1">
        <f t="shared" si="245"/>
        <v>77.850000000002183</v>
      </c>
      <c r="N2597" s="1">
        <f t="shared" si="246"/>
        <v>0.91628459101756554</v>
      </c>
      <c r="O2597" s="1">
        <f t="shared" si="247"/>
        <v>0.13855282006922442</v>
      </c>
      <c r="P2597" s="1">
        <f t="shared" si="248"/>
        <v>4.6547542257621872</v>
      </c>
      <c r="R2597" s="3">
        <f t="shared" si="243"/>
        <v>-8.6404277605673582E-2</v>
      </c>
      <c r="S2597" s="3">
        <f t="shared" si="244"/>
        <v>-1.4975093658509926</v>
      </c>
    </row>
    <row r="2598" spans="6:19" x14ac:dyDescent="0.2">
      <c r="F2598" s="3"/>
      <c r="G2598" s="3"/>
      <c r="H2598" s="3"/>
      <c r="M2598" s="1">
        <f t="shared" si="245"/>
        <v>77.880000000002184</v>
      </c>
      <c r="N2598" s="1">
        <f t="shared" si="246"/>
        <v>0.85157302225050557</v>
      </c>
      <c r="O2598" s="1">
        <f t="shared" si="247"/>
        <v>0.16410001073673958</v>
      </c>
      <c r="P2598" s="1">
        <f t="shared" si="248"/>
        <v>4.6596772260842894</v>
      </c>
      <c r="R2598" s="3">
        <f t="shared" si="243"/>
        <v>-7.9031021252058853E-2</v>
      </c>
      <c r="S2598" s="3">
        <f t="shared" si="244"/>
        <v>-1.4979165856882206</v>
      </c>
    </row>
    <row r="2599" spans="6:19" x14ac:dyDescent="0.2">
      <c r="F2599" s="3"/>
      <c r="G2599" s="3"/>
      <c r="H2599" s="3"/>
      <c r="M2599" s="1">
        <f t="shared" si="245"/>
        <v>77.910000000002185</v>
      </c>
      <c r="N2599" s="1">
        <f t="shared" si="246"/>
        <v>0.77554121155428191</v>
      </c>
      <c r="O2599" s="1">
        <f t="shared" si="247"/>
        <v>0.18736624708336802</v>
      </c>
      <c r="P2599" s="1">
        <f t="shared" si="248"/>
        <v>4.66529821349679</v>
      </c>
      <c r="R2599" s="3">
        <f t="shared" si="243"/>
        <v>-7.06100468076587E-2</v>
      </c>
      <c r="S2599" s="3">
        <f t="shared" si="244"/>
        <v>-1.4983371520755335</v>
      </c>
    </row>
    <row r="2600" spans="6:19" x14ac:dyDescent="0.2">
      <c r="F2600" s="3"/>
      <c r="G2600" s="3"/>
      <c r="H2600" s="3"/>
      <c r="M2600" s="1">
        <f t="shared" si="245"/>
        <v>77.940000000002186</v>
      </c>
      <c r="N2600" s="1">
        <f t="shared" si="246"/>
        <v>0.68923750583908383</v>
      </c>
      <c r="O2600" s="1">
        <f t="shared" si="247"/>
        <v>0.20804337225854053</v>
      </c>
      <c r="P2600" s="1">
        <f t="shared" si="248"/>
        <v>4.6715395146645458</v>
      </c>
      <c r="R2600" s="3">
        <f t="shared" si="243"/>
        <v>-6.1257158842104434E-2</v>
      </c>
      <c r="S2600" s="3">
        <f t="shared" si="244"/>
        <v>-1.4987486648836734</v>
      </c>
    </row>
    <row r="2601" spans="6:19" x14ac:dyDescent="0.2">
      <c r="F2601" s="3"/>
      <c r="G2601" s="3"/>
      <c r="H2601" s="3"/>
      <c r="M2601" s="1">
        <f t="shared" si="245"/>
        <v>77.970000000002187</v>
      </c>
      <c r="N2601" s="1">
        <f t="shared" si="246"/>
        <v>0.59384768491777573</v>
      </c>
      <c r="O2601" s="1">
        <f t="shared" si="247"/>
        <v>0.22585880280607379</v>
      </c>
      <c r="P2601" s="1">
        <f t="shared" si="248"/>
        <v>4.6783152787487277</v>
      </c>
      <c r="R2601" s="3">
        <f t="shared" si="243"/>
        <v>-5.1100662990119901E-2</v>
      </c>
      <c r="S2601" s="3">
        <f t="shared" si="244"/>
        <v>-1.4991293213869077</v>
      </c>
    </row>
    <row r="2602" spans="6:19" x14ac:dyDescent="0.2">
      <c r="F2602" s="3"/>
      <c r="G2602" s="3"/>
      <c r="H2602" s="3"/>
      <c r="M2602" s="1">
        <f t="shared" si="245"/>
        <v>78.000000000002188</v>
      </c>
      <c r="N2602" s="1">
        <f t="shared" si="246"/>
        <v>0.4906793376486524</v>
      </c>
      <c r="O2602" s="1">
        <f t="shared" si="247"/>
        <v>0.24057918293553335</v>
      </c>
      <c r="P2602" s="1">
        <f t="shared" si="248"/>
        <v>4.6855326542367939</v>
      </c>
      <c r="R2602" s="3">
        <f t="shared" si="243"/>
        <v>-4.0279646782896701E-2</v>
      </c>
      <c r="S2602" s="3">
        <f t="shared" si="244"/>
        <v>-1.4994590858222991</v>
      </c>
    </row>
    <row r="2603" spans="6:19" x14ac:dyDescent="0.2">
      <c r="F2603" s="3"/>
      <c r="G2603" s="3"/>
      <c r="H2603" s="3"/>
      <c r="M2603" s="1">
        <f t="shared" si="245"/>
        <v>78.03000000000219</v>
      </c>
      <c r="N2603" s="1">
        <f t="shared" si="246"/>
        <v>0.38114434136476899</v>
      </c>
      <c r="O2603" s="1">
        <f t="shared" si="247"/>
        <v>0.25201351317647641</v>
      </c>
      <c r="P2603" s="1">
        <f t="shared" si="248"/>
        <v>4.6930930596320879</v>
      </c>
      <c r="R2603" s="3">
        <f t="shared" si="243"/>
        <v>-2.8942085037458733E-2</v>
      </c>
      <c r="S2603" s="3">
        <f t="shared" si="244"/>
        <v>-1.4997207592460953</v>
      </c>
    </row>
    <row r="2604" spans="6:19" x14ac:dyDescent="0.2">
      <c r="F2604" s="3"/>
      <c r="G2604" s="3"/>
      <c r="H2604" s="3"/>
      <c r="M2604" s="1">
        <f t="shared" si="245"/>
        <v>78.060000000002191</v>
      </c>
      <c r="N2604" s="1">
        <f t="shared" si="246"/>
        <v>0.26673963418870444</v>
      </c>
      <c r="O2604" s="1">
        <f t="shared" si="247"/>
        <v>0.26001570220213754</v>
      </c>
      <c r="P2604" s="1">
        <f t="shared" si="248"/>
        <v>4.7008935306981519</v>
      </c>
      <c r="R2604" s="3">
        <f t="shared" si="243"/>
        <v>-1.7242794764721875E-2</v>
      </c>
      <c r="S2604" s="3">
        <f t="shared" si="244"/>
        <v>-1.4999008920687733</v>
      </c>
    </row>
    <row r="2605" spans="6:19" x14ac:dyDescent="0.2">
      <c r="F2605" s="3"/>
      <c r="G2605" s="3"/>
      <c r="H2605" s="3"/>
      <c r="M2605" s="1">
        <f t="shared" si="245"/>
        <v>78.090000000002192</v>
      </c>
      <c r="N2605" s="1">
        <f t="shared" si="246"/>
        <v>0.14902653444902636</v>
      </c>
      <c r="O2605" s="1">
        <f t="shared" si="247"/>
        <v>0.26448649823560832</v>
      </c>
      <c r="P2605" s="1">
        <f t="shared" si="248"/>
        <v>4.70882812564522</v>
      </c>
      <c r="R2605" s="3">
        <f t="shared" si="243"/>
        <v>-5.3412708215814925E-3</v>
      </c>
      <c r="S2605" s="3">
        <f t="shared" si="244"/>
        <v>-1.4999904902451917</v>
      </c>
    </row>
    <row r="2606" spans="6:19" x14ac:dyDescent="0.2">
      <c r="F2606" s="3"/>
      <c r="G2606" s="3"/>
      <c r="H2606" s="3"/>
      <c r="M2606" s="1">
        <f t="shared" si="245"/>
        <v>78.120000000002193</v>
      </c>
      <c r="N2606" s="1">
        <f t="shared" si="246"/>
        <v>2.9608923374610182E-2</v>
      </c>
      <c r="O2606" s="1">
        <f t="shared" si="247"/>
        <v>0.26537476593684661</v>
      </c>
      <c r="P2606" s="1">
        <f t="shared" si="248"/>
        <v>4.7167893686233251</v>
      </c>
      <c r="R2606" s="3">
        <f t="shared" si="243"/>
        <v>6.6005610563357586E-3</v>
      </c>
      <c r="S2606" s="3">
        <f t="shared" si="244"/>
        <v>-1.4999854774609458</v>
      </c>
    </row>
    <row r="2607" spans="6:19" x14ac:dyDescent="0.2">
      <c r="F2607" s="3"/>
      <c r="G2607" s="3"/>
      <c r="H2607" s="3"/>
      <c r="M2607" s="1">
        <f t="shared" si="245"/>
        <v>78.150000000002194</v>
      </c>
      <c r="N2607" s="1">
        <f t="shared" si="246"/>
        <v>-8.9889339497673776E-2</v>
      </c>
      <c r="O2607" s="1">
        <f t="shared" si="247"/>
        <v>0.26267808575191642</v>
      </c>
      <c r="P2607" s="1">
        <f t="shared" si="248"/>
        <v>4.7246697111958822</v>
      </c>
      <c r="R2607" s="3">
        <f t="shared" si="243"/>
        <v>1.8420633186533357E-2</v>
      </c>
      <c r="S2607" s="3">
        <f t="shared" si="244"/>
        <v>-1.4998868891596482</v>
      </c>
    </row>
    <row r="2608" spans="6:19" x14ac:dyDescent="0.2">
      <c r="F2608" s="3"/>
      <c r="G2608" s="3"/>
      <c r="H2608" s="3"/>
      <c r="M2608" s="1">
        <f t="shared" si="245"/>
        <v>78.180000000002195</v>
      </c>
      <c r="N2608" s="1">
        <f t="shared" si="246"/>
        <v>-0.20784735958300604</v>
      </c>
      <c r="O2608" s="1">
        <f t="shared" si="247"/>
        <v>0.25644266496442625</v>
      </c>
      <c r="P2608" s="1">
        <f t="shared" si="248"/>
        <v>4.7323629911448153</v>
      </c>
      <c r="R2608" s="3">
        <f t="shared" si="243"/>
        <v>2.9959023966573295E-2</v>
      </c>
      <c r="S2608" s="3">
        <f t="shared" si="244"/>
        <v>-1.4997007891186063</v>
      </c>
    </row>
    <row r="2609" spans="6:19" x14ac:dyDescent="0.2">
      <c r="F2609" s="3"/>
      <c r="G2609" s="3"/>
      <c r="H2609" s="3"/>
      <c r="M2609" s="1">
        <f t="shared" si="245"/>
        <v>78.210000000002196</v>
      </c>
      <c r="N2609" s="1">
        <f t="shared" si="246"/>
        <v>-0.32267007951253129</v>
      </c>
      <c r="O2609" s="1">
        <f t="shared" si="247"/>
        <v>0.2467625625790503</v>
      </c>
      <c r="P2609" s="1">
        <f t="shared" si="248"/>
        <v>4.7397658680221868</v>
      </c>
      <c r="R2609" s="3">
        <f t="shared" si="243"/>
        <v>4.1060201945379682E-2</v>
      </c>
      <c r="S2609" s="3">
        <f t="shared" si="244"/>
        <v>-1.4994379146254122</v>
      </c>
    </row>
    <row r="2610" spans="6:19" x14ac:dyDescent="0.2">
      <c r="F2610" s="3"/>
      <c r="G2610" s="3"/>
      <c r="H2610" s="3"/>
      <c r="M2610" s="1">
        <f t="shared" si="245"/>
        <v>78.240000000002198</v>
      </c>
      <c r="N2610" s="1">
        <f t="shared" si="246"/>
        <v>-0.4328106500859113</v>
      </c>
      <c r="O2610" s="1">
        <f t="shared" si="247"/>
        <v>0.23377824307647296</v>
      </c>
      <c r="P2610" s="1">
        <f t="shared" si="248"/>
        <v>4.746779215314481</v>
      </c>
      <c r="R2610" s="3">
        <f t="shared" si="243"/>
        <v>5.1575184764197327E-2</v>
      </c>
      <c r="S2610" s="3">
        <f t="shared" si="244"/>
        <v>-1.4991130712246288</v>
      </c>
    </row>
    <row r="2611" spans="6:19" x14ac:dyDescent="0.2">
      <c r="F2611" s="3"/>
      <c r="G2611" s="3"/>
      <c r="H2611" s="3"/>
      <c r="M2611" s="1">
        <f t="shared" si="245"/>
        <v>78.270000000002199</v>
      </c>
      <c r="N2611" s="1">
        <f t="shared" si="246"/>
        <v>-0.53679188951885592</v>
      </c>
      <c r="O2611" s="1">
        <f t="shared" si="247"/>
        <v>0.21767448639090728</v>
      </c>
      <c r="P2611" s="1">
        <f t="shared" si="248"/>
        <v>4.7533094499062081</v>
      </c>
      <c r="R2611" s="3">
        <f t="shared" si="243"/>
        <v>6.1363575540110932E-2</v>
      </c>
      <c r="S2611" s="3">
        <f t="shared" si="244"/>
        <v>-1.4987443116145374</v>
      </c>
    </row>
    <row r="2612" spans="6:19" x14ac:dyDescent="0.2">
      <c r="F2612" s="3"/>
      <c r="G2612" s="3"/>
      <c r="H2612" s="3"/>
      <c r="M2612" s="1">
        <f t="shared" si="245"/>
        <v>78.3000000000022</v>
      </c>
      <c r="N2612" s="1">
        <f t="shared" si="246"/>
        <v>-0.63322645917629095</v>
      </c>
      <c r="O2612" s="1">
        <f t="shared" si="247"/>
        <v>0.19867769261561855</v>
      </c>
      <c r="P2612" s="1">
        <f t="shared" si="248"/>
        <v>4.7592697806846767</v>
      </c>
      <c r="R2612" s="3">
        <f t="shared" si="243"/>
        <v>7.029544451414943E-2</v>
      </c>
      <c r="S2612" s="3">
        <f t="shared" si="244"/>
        <v>-1.4983519447982032</v>
      </c>
    </row>
    <row r="2613" spans="6:19" x14ac:dyDescent="0.2">
      <c r="F2613" s="3"/>
      <c r="G2613" s="3"/>
      <c r="H2613" s="3"/>
      <c r="M2613" s="1">
        <f t="shared" si="245"/>
        <v>78.330000000002201</v>
      </c>
      <c r="N2613" s="1">
        <f t="shared" si="246"/>
        <v>-0.72083543747690004</v>
      </c>
      <c r="O2613" s="1">
        <f t="shared" si="247"/>
        <v>0.17705262949131154</v>
      </c>
      <c r="P2613" s="1">
        <f t="shared" si="248"/>
        <v>4.7645813595694158</v>
      </c>
      <c r="R2613" s="3">
        <f t="shared" si="243"/>
        <v>7.8253030027743947E-2</v>
      </c>
      <c r="S2613" s="3">
        <f t="shared" si="244"/>
        <v>-1.4979574304003025</v>
      </c>
    </row>
    <row r="2614" spans="6:19" x14ac:dyDescent="0.2">
      <c r="F2614" s="3"/>
      <c r="G2614" s="3"/>
      <c r="H2614" s="3"/>
      <c r="M2614" s="1">
        <f t="shared" si="245"/>
        <v>78.360000000002202</v>
      </c>
      <c r="N2614" s="1">
        <f t="shared" si="246"/>
        <v>-0.7984650369316576</v>
      </c>
      <c r="O2614" s="1">
        <f t="shared" si="247"/>
        <v>0.1530986783833618</v>
      </c>
      <c r="P2614" s="1">
        <f t="shared" si="248"/>
        <v>4.7691743199209169</v>
      </c>
      <c r="R2614" s="3">
        <f t="shared" si="243"/>
        <v>8.5132239540840857E-2</v>
      </c>
      <c r="S2614" s="3">
        <f t="shared" si="244"/>
        <v>-1.4975822187081285</v>
      </c>
    </row>
    <row r="2615" spans="6:19" x14ac:dyDescent="0.2">
      <c r="F2615" s="3"/>
      <c r="G2615" s="3"/>
      <c r="H2615" s="3"/>
      <c r="M2615" s="1">
        <f t="shared" si="245"/>
        <v>78.390000000002203</v>
      </c>
      <c r="N2615" s="1">
        <f t="shared" si="246"/>
        <v>-0.86510127646291102</v>
      </c>
      <c r="O2615" s="1">
        <f t="shared" si="247"/>
        <v>0.12714564008947449</v>
      </c>
      <c r="P2615" s="1">
        <f t="shared" si="248"/>
        <v>4.7729886891236015</v>
      </c>
      <c r="R2615" s="3">
        <f t="shared" si="243"/>
        <v>9.0843937871254346E-2</v>
      </c>
      <c r="S2615" s="3">
        <f t="shared" si="244"/>
        <v>-1.4972465992454429</v>
      </c>
    </row>
    <row r="2616" spans="6:19" x14ac:dyDescent="0.2">
      <c r="F2616" s="3"/>
      <c r="G2616" s="3"/>
      <c r="H2616" s="3"/>
      <c r="M2616" s="1">
        <f t="shared" si="245"/>
        <v>78.420000000002204</v>
      </c>
      <c r="N2616" s="1">
        <f t="shared" si="246"/>
        <v>-0.9198824863205961</v>
      </c>
      <c r="O2616" s="1">
        <f t="shared" si="247"/>
        <v>9.9549165499856609E-2</v>
      </c>
      <c r="P2616" s="1">
        <f t="shared" si="248"/>
        <v>4.7759751640885968</v>
      </c>
      <c r="R2616" s="3">
        <f t="shared" si="243"/>
        <v>9.5315015589708743E-2</v>
      </c>
      <c r="S2616" s="3">
        <f t="shared" si="244"/>
        <v>-1.4969686195118233</v>
      </c>
    </row>
    <row r="2617" spans="6:19" x14ac:dyDescent="0.2">
      <c r="F2617" s="3"/>
      <c r="G2617" s="3"/>
      <c r="H2617" s="3"/>
      <c r="M2617" s="1">
        <f t="shared" si="245"/>
        <v>78.450000000002206</v>
      </c>
      <c r="N2617" s="1">
        <f t="shared" si="246"/>
        <v>-0.96210958079207454</v>
      </c>
      <c r="O2617" s="1">
        <f t="shared" si="247"/>
        <v>7.0685878076094374E-2</v>
      </c>
      <c r="P2617" s="1">
        <f t="shared" si="248"/>
        <v>4.7780957404308797</v>
      </c>
      <c r="R2617" s="3">
        <f t="shared" si="243"/>
        <v>9.8489235141929726E-2</v>
      </c>
      <c r="S2617" s="3">
        <f t="shared" si="244"/>
        <v>-1.4967631310802514</v>
      </c>
    </row>
    <row r="2618" spans="6:19" x14ac:dyDescent="0.2">
      <c r="F2618" s="3"/>
      <c r="G2618" s="3"/>
      <c r="H2618" s="3"/>
      <c r="M2618" s="1">
        <f t="shared" si="245"/>
        <v>78.480000000002207</v>
      </c>
      <c r="N2618" s="1">
        <f t="shared" si="246"/>
        <v>-0.99125408044614571</v>
      </c>
      <c r="O2618" s="1">
        <f t="shared" si="247"/>
        <v>4.0948255662710001E-2</v>
      </c>
      <c r="P2618" s="1">
        <f t="shared" si="248"/>
        <v>4.7793241881007607</v>
      </c>
      <c r="R2618" s="3">
        <f t="shared" si="243"/>
        <v>0.10032785554597229</v>
      </c>
      <c r="S2618" s="3">
        <f t="shared" si="244"/>
        <v>-1.4966410128690002</v>
      </c>
    </row>
    <row r="2619" spans="6:19" x14ac:dyDescent="0.2">
      <c r="F2619" s="3"/>
      <c r="G2619" s="3"/>
      <c r="H2619" s="3"/>
      <c r="M2619" s="1">
        <f t="shared" si="245"/>
        <v>78.510000000002208</v>
      </c>
      <c r="N2619" s="1">
        <f t="shared" si="246"/>
        <v>-1.006963898469367</v>
      </c>
      <c r="O2619" s="1">
        <f t="shared" si="247"/>
        <v>1.0739338708628993E-2</v>
      </c>
      <c r="P2619" s="1">
        <f t="shared" si="248"/>
        <v>4.7796463682620196</v>
      </c>
      <c r="R2619" s="3">
        <f t="shared" si="243"/>
        <v>0.10081003837348484</v>
      </c>
      <c r="S2619" s="3">
        <f t="shared" si="244"/>
        <v>-1.4966086115491706</v>
      </c>
    </row>
    <row r="2620" spans="6:19" x14ac:dyDescent="0.2">
      <c r="F2620" s="3"/>
      <c r="G2620" s="3"/>
      <c r="H2620" s="3"/>
      <c r="M2620" s="1">
        <f t="shared" si="245"/>
        <v>78.540000000002209</v>
      </c>
      <c r="N2620" s="1">
        <f t="shared" si="246"/>
        <v>-1.0090669242186252</v>
      </c>
      <c r="O2620" s="1">
        <f t="shared" si="247"/>
        <v>-1.9532669017929761E-2</v>
      </c>
      <c r="P2620" s="1">
        <f t="shared" si="248"/>
        <v>4.7790603881914819</v>
      </c>
      <c r="R2620" s="3">
        <f t="shared" si="243"/>
        <v>9.993303829620645E-2</v>
      </c>
      <c r="S2620" s="3">
        <f t="shared" si="244"/>
        <v>-1.4966674272719671</v>
      </c>
    </row>
    <row r="2621" spans="6:19" x14ac:dyDescent="0.2">
      <c r="F2621" s="3"/>
      <c r="G2621" s="3"/>
      <c r="H2621" s="3"/>
      <c r="M2621" s="1">
        <f t="shared" si="245"/>
        <v>78.57000000000221</v>
      </c>
      <c r="N2621" s="1">
        <f t="shared" si="246"/>
        <v>-0.99757244275045087</v>
      </c>
      <c r="O2621" s="1">
        <f t="shared" si="247"/>
        <v>-4.9459842300443285E-2</v>
      </c>
      <c r="P2621" s="1">
        <f t="shared" si="248"/>
        <v>4.7775765929224683</v>
      </c>
      <c r="R2621" s="3">
        <f t="shared" si="243"/>
        <v>9.7712181054531028E-2</v>
      </c>
      <c r="S2621" s="3">
        <f t="shared" si="244"/>
        <v>-1.4968140598195778</v>
      </c>
    </row>
    <row r="2622" spans="6:19" x14ac:dyDescent="0.2">
      <c r="F2622" s="3"/>
      <c r="G2622" s="3"/>
      <c r="H2622" s="3"/>
      <c r="M2622" s="1">
        <f t="shared" si="245"/>
        <v>78.600000000002211</v>
      </c>
      <c r="N2622" s="1">
        <f t="shared" si="246"/>
        <v>-0.97267042473827048</v>
      </c>
      <c r="O2622" s="1">
        <f t="shared" si="247"/>
        <v>-7.86399550425914E-2</v>
      </c>
      <c r="P2622" s="1">
        <f t="shared" si="248"/>
        <v>4.7752173942711904</v>
      </c>
      <c r="R2622" s="3">
        <f t="shared" si="243"/>
        <v>9.4180630695139961E-2</v>
      </c>
      <c r="S2622" s="3">
        <f t="shared" si="244"/>
        <v>-1.497040416555901</v>
      </c>
    </row>
    <row r="2623" spans="6:19" x14ac:dyDescent="0.2">
      <c r="F2623" s="3"/>
      <c r="G2623" s="3"/>
      <c r="H2623" s="3"/>
      <c r="M2623" s="1">
        <f t="shared" si="245"/>
        <v>78.630000000002212</v>
      </c>
      <c r="N2623" s="1">
        <f t="shared" si="246"/>
        <v>-0.93472871099756638</v>
      </c>
      <c r="O2623" s="1">
        <f t="shared" si="247"/>
        <v>-0.10668181637251839</v>
      </c>
      <c r="P2623" s="1">
        <f t="shared" si="248"/>
        <v>4.7720169397800145</v>
      </c>
      <c r="R2623" s="3">
        <f t="shared" si="243"/>
        <v>8.9388946808417594E-2</v>
      </c>
      <c r="S2623" s="3">
        <f t="shared" si="244"/>
        <v>-1.4973341698460239</v>
      </c>
    </row>
    <row r="2624" spans="6:19" x14ac:dyDescent="0.2">
      <c r="F2624" s="3"/>
      <c r="G2624" s="3"/>
      <c r="H2624" s="3"/>
      <c r="M2624" s="1">
        <f t="shared" si="245"/>
        <v>78.660000000002213</v>
      </c>
      <c r="N2624" s="1">
        <f t="shared" si="246"/>
        <v>-0.88428810461064922</v>
      </c>
      <c r="O2624" s="1">
        <f t="shared" si="247"/>
        <v>-0.13321045951083788</v>
      </c>
      <c r="P2624" s="1">
        <f t="shared" si="248"/>
        <v>4.7680206259946898</v>
      </c>
      <c r="R2624" s="3">
        <f t="shared" si="243"/>
        <v>8.3404431758456243E-2</v>
      </c>
      <c r="S2624" s="3">
        <f t="shared" si="244"/>
        <v>-1.4976794385859242</v>
      </c>
    </row>
    <row r="2625" spans="6:19" x14ac:dyDescent="0.2">
      <c r="F2625" s="3"/>
      <c r="G2625" s="3"/>
      <c r="H2625" s="3"/>
      <c r="M2625" s="1">
        <f t="shared" si="245"/>
        <v>78.690000000002215</v>
      </c>
      <c r="N2625" s="1">
        <f t="shared" si="246"/>
        <v>-0.82205537622858704</v>
      </c>
      <c r="O2625" s="1">
        <f t="shared" si="247"/>
        <v>-0.1578721207976955</v>
      </c>
      <c r="P2625" s="1">
        <f t="shared" si="248"/>
        <v>4.7632844623707591</v>
      </c>
      <c r="R2625" s="3">
        <f t="shared" si="243"/>
        <v>7.6310267968601672E-2</v>
      </c>
      <c r="S2625" s="3">
        <f t="shared" si="244"/>
        <v>-1.4980576567684436</v>
      </c>
    </row>
    <row r="2626" spans="6:19" x14ac:dyDescent="0.2">
      <c r="F2626" s="3"/>
      <c r="G2626" s="3"/>
      <c r="H2626" s="3"/>
      <c r="M2626" s="1">
        <f t="shared" si="245"/>
        <v>78.720000000002216</v>
      </c>
      <c r="N2626" s="1">
        <f t="shared" si="246"/>
        <v>-0.7488941888142242</v>
      </c>
      <c r="O2626" s="1">
        <f t="shared" si="247"/>
        <v>-0.18033894646212223</v>
      </c>
      <c r="P2626" s="1">
        <f t="shared" si="248"/>
        <v>4.7578742939768954</v>
      </c>
      <c r="R2626" s="3">
        <f t="shared" ref="R2626:R2689" si="249">$B$3*COS(P2626)</f>
        <v>6.8204446524174678E-2</v>
      </c>
      <c r="S2626" s="3">
        <f t="shared" ref="S2626:S2689" si="250">$B$3*SIN(P2626)</f>
        <v>-1.4984485821923723</v>
      </c>
    </row>
    <row r="2627" spans="6:19" x14ac:dyDescent="0.2">
      <c r="F2627" s="3"/>
      <c r="G2627" s="3"/>
      <c r="H2627" s="3"/>
      <c r="M2627" s="1">
        <f t="shared" ref="M2627:M2690" si="251">M2626+B$13</f>
        <v>78.750000000002217</v>
      </c>
      <c r="N2627" s="1">
        <f t="shared" ref="N2627:N2690" si="252">-$B$12*$B$3*COS(P2626)-B$10*O2626</f>
        <v>-0.66581396006015581</v>
      </c>
      <c r="O2627" s="1">
        <f t="shared" ref="O2627:O2690" si="253">N2627*$B$13+O2626</f>
        <v>-0.2003133652639269</v>
      </c>
      <c r="P2627" s="1">
        <f t="shared" ref="P2627:P2690" si="254">O2627*$B$13+P2626</f>
        <v>4.7518648930189773</v>
      </c>
      <c r="R2627" s="3">
        <f t="shared" si="249"/>
        <v>5.919849085050076E-2</v>
      </c>
      <c r="S2627" s="3">
        <f t="shared" si="250"/>
        <v>-1.4988313910113515</v>
      </c>
    </row>
    <row r="2628" spans="6:19" x14ac:dyDescent="0.2">
      <c r="F2628" s="3"/>
      <c r="G2628" s="3"/>
      <c r="H2628" s="3"/>
      <c r="M2628" s="1">
        <f t="shared" si="251"/>
        <v>78.780000000002218</v>
      </c>
      <c r="N2628" s="1">
        <f t="shared" si="252"/>
        <v>-0.57395670563125423</v>
      </c>
      <c r="O2628" s="1">
        <f t="shared" si="253"/>
        <v>-0.21753206643286452</v>
      </c>
      <c r="P2628" s="1">
        <f t="shared" si="254"/>
        <v>4.7453389310259917</v>
      </c>
      <c r="R2628" s="3">
        <f t="shared" si="249"/>
        <v>4.9415983013282025E-2</v>
      </c>
      <c r="S2628" s="3">
        <f t="shared" si="250"/>
        <v>-1.4991857992333142</v>
      </c>
    </row>
    <row r="2629" spans="6:19" x14ac:dyDescent="0.2">
      <c r="F2629" s="3"/>
      <c r="G2629" s="3"/>
      <c r="H2629" s="3"/>
      <c r="M2629" s="1">
        <f t="shared" si="251"/>
        <v>78.810000000002219</v>
      </c>
      <c r="N2629" s="1">
        <f t="shared" si="252"/>
        <v>-0.4745819441538624</v>
      </c>
      <c r="O2629" s="1">
        <f t="shared" si="253"/>
        <v>-0.23176952475748039</v>
      </c>
      <c r="P2629" s="1">
        <f t="shared" si="254"/>
        <v>4.7383858452832675</v>
      </c>
      <c r="R2629" s="3">
        <f t="shared" si="249"/>
        <v>3.8990905085596446E-2</v>
      </c>
      <c r="S2629" s="3">
        <f t="shared" si="250"/>
        <v>-1.4994931508081675</v>
      </c>
    </row>
    <row r="2630" spans="6:19" x14ac:dyDescent="0.2">
      <c r="F2630" s="3"/>
      <c r="G2630" s="3"/>
      <c r="H2630" s="3"/>
      <c r="M2630" s="1">
        <f t="shared" si="251"/>
        <v>78.84000000000222</v>
      </c>
      <c r="N2630" s="1">
        <f t="shared" si="252"/>
        <v>-0.36904979362779122</v>
      </c>
      <c r="O2630" s="1">
        <f t="shared" si="253"/>
        <v>-0.24284101856631413</v>
      </c>
      <c r="P2630" s="1">
        <f t="shared" si="254"/>
        <v>4.7311006147262784</v>
      </c>
      <c r="R2630" s="3">
        <f t="shared" si="249"/>
        <v>2.8065813687096819E-2</v>
      </c>
      <c r="S2630" s="3">
        <f t="shared" si="250"/>
        <v>-1.4997374137168418</v>
      </c>
    </row>
    <row r="2631" spans="6:19" x14ac:dyDescent="0.2">
      <c r="F2631" s="3"/>
      <c r="G2631" s="3"/>
      <c r="H2631" s="3"/>
      <c r="M2631" s="1">
        <f t="shared" si="251"/>
        <v>78.870000000002221</v>
      </c>
      <c r="N2631" s="1">
        <f t="shared" si="252"/>
        <v>-0.2588024451999999</v>
      </c>
      <c r="O2631" s="1">
        <f t="shared" si="253"/>
        <v>-0.25060509192231412</v>
      </c>
      <c r="P2631" s="1">
        <f t="shared" si="254"/>
        <v>4.7235824619686086</v>
      </c>
      <c r="R2631" s="3">
        <f t="shared" si="249"/>
        <v>1.6789871758970443E-2</v>
      </c>
      <c r="S2631" s="3">
        <f t="shared" si="250"/>
        <v>-1.4999060304586809</v>
      </c>
    </row>
    <row r="2632" spans="6:19" x14ac:dyDescent="0.2">
      <c r="F2632" s="3"/>
      <c r="G2632" s="3"/>
      <c r="H2632" s="3"/>
      <c r="M2632" s="1">
        <f t="shared" si="251"/>
        <v>78.900000000002223</v>
      </c>
      <c r="N2632" s="1">
        <f t="shared" si="252"/>
        <v>-0.14534425931669614</v>
      </c>
      <c r="O2632" s="1">
        <f t="shared" si="253"/>
        <v>-0.25496541970181502</v>
      </c>
      <c r="P2632" s="1">
        <f t="shared" si="254"/>
        <v>4.7159334993775541</v>
      </c>
      <c r="R2632" s="3">
        <f t="shared" si="249"/>
        <v>5.3167673563104985E-3</v>
      </c>
      <c r="S2632" s="3">
        <f t="shared" si="250"/>
        <v>-1.4999905772986972</v>
      </c>
    </row>
    <row r="2633" spans="6:19" x14ac:dyDescent="0.2">
      <c r="F2633" s="3"/>
      <c r="G2633" s="3"/>
      <c r="H2633" s="3"/>
      <c r="M2633" s="1">
        <f t="shared" si="251"/>
        <v>78.930000000002224</v>
      </c>
      <c r="N2633" s="1">
        <f t="shared" si="252"/>
        <v>-3.0220785789941633E-2</v>
      </c>
      <c r="O2633" s="1">
        <f t="shared" si="253"/>
        <v>-0.25587204327551327</v>
      </c>
      <c r="P2633" s="1">
        <f t="shared" si="254"/>
        <v>4.7082573380792887</v>
      </c>
      <c r="R2633" s="3">
        <f t="shared" si="249"/>
        <v>-6.1974458258496996E-3</v>
      </c>
      <c r="S2633" s="3">
        <f t="shared" si="250"/>
        <v>-1.4999871971671077</v>
      </c>
    </row>
    <row r="2634" spans="6:19" x14ac:dyDescent="0.2">
      <c r="F2634" s="3"/>
      <c r="G2634" s="3"/>
      <c r="H2634" s="3"/>
      <c r="M2634" s="1">
        <f t="shared" si="251"/>
        <v>78.960000000002225</v>
      </c>
      <c r="N2634" s="1">
        <f t="shared" si="252"/>
        <v>8.5002942153293196E-2</v>
      </c>
      <c r="O2634" s="1">
        <f t="shared" si="253"/>
        <v>-0.25332195501091448</v>
      </c>
      <c r="P2634" s="1">
        <f t="shared" si="254"/>
        <v>4.7006576794289616</v>
      </c>
      <c r="R2634" s="3">
        <f t="shared" si="249"/>
        <v>-1.7596547810923919E-2</v>
      </c>
      <c r="S2634" s="3">
        <f t="shared" si="250"/>
        <v>-1.4998967836171722</v>
      </c>
    </row>
    <row r="2635" spans="6:19" x14ac:dyDescent="0.2">
      <c r="F2635" s="3"/>
      <c r="G2635" s="3"/>
      <c r="H2635" s="3"/>
      <c r="M2635" s="1">
        <f t="shared" si="251"/>
        <v>78.990000000002226</v>
      </c>
      <c r="N2635" s="1">
        <f t="shared" si="252"/>
        <v>0.19876445406022147</v>
      </c>
      <c r="O2635" s="1">
        <f t="shared" si="253"/>
        <v>-0.24735902138910784</v>
      </c>
      <c r="P2635" s="1">
        <f t="shared" si="254"/>
        <v>4.6932369087872887</v>
      </c>
      <c r="R2635" s="3">
        <f t="shared" si="249"/>
        <v>-2.8726351174504859E-2</v>
      </c>
      <c r="S2635" s="3">
        <f t="shared" si="250"/>
        <v>-1.4997249070240177</v>
      </c>
    </row>
    <row r="2636" spans="6:19" x14ac:dyDescent="0.2">
      <c r="F2636" s="3"/>
      <c r="G2636" s="3"/>
      <c r="H2636" s="3"/>
      <c r="M2636" s="1">
        <f t="shared" si="251"/>
        <v>79.020000000002227</v>
      </c>
      <c r="N2636" s="1">
        <f t="shared" si="252"/>
        <v>0.30952582367006831</v>
      </c>
      <c r="O2636" s="1">
        <f t="shared" si="253"/>
        <v>-0.23807324667900578</v>
      </c>
      <c r="P2636" s="1">
        <f t="shared" si="254"/>
        <v>4.6860947113869189</v>
      </c>
      <c r="R2636" s="3">
        <f t="shared" si="249"/>
        <v>-3.9436858764427957E-2</v>
      </c>
      <c r="S2636" s="3">
        <f t="shared" si="250"/>
        <v>-1.4994814884388519</v>
      </c>
    </row>
    <row r="2637" spans="6:19" x14ac:dyDescent="0.2">
      <c r="F2637" s="3"/>
      <c r="G2637" s="3"/>
      <c r="H2637" s="3"/>
      <c r="M2637" s="1">
        <f t="shared" si="251"/>
        <v>79.050000000002228</v>
      </c>
      <c r="N2637" s="1">
        <f t="shared" si="252"/>
        <v>0.41579517984539011</v>
      </c>
      <c r="O2637" s="1">
        <f t="shared" si="253"/>
        <v>-0.22559939128364409</v>
      </c>
      <c r="P2637" s="1">
        <f t="shared" si="254"/>
        <v>4.6793267296484098</v>
      </c>
      <c r="R2637" s="3">
        <f t="shared" si="249"/>
        <v>-4.9584341408971902E-2</v>
      </c>
      <c r="S2637" s="3">
        <f t="shared" si="250"/>
        <v>-1.4991802403603907</v>
      </c>
    </row>
    <row r="2638" spans="6:19" x14ac:dyDescent="0.2">
      <c r="F2638" s="3"/>
      <c r="G2638" s="3"/>
      <c r="H2638" s="3"/>
      <c r="M2638" s="1">
        <f t="shared" si="251"/>
        <v>79.080000000002229</v>
      </c>
      <c r="N2638" s="1">
        <f t="shared" si="252"/>
        <v>0.51614735930524691</v>
      </c>
      <c r="O2638" s="1">
        <f t="shared" si="253"/>
        <v>-0.21011497050448669</v>
      </c>
      <c r="P2638" s="1">
        <f t="shared" si="254"/>
        <v>4.6730232805332754</v>
      </c>
      <c r="R2638" s="3">
        <f t="shared" si="249"/>
        <v>-5.9033300112636584E-2</v>
      </c>
      <c r="S2638" s="3">
        <f t="shared" si="250"/>
        <v>-1.4988379063387112</v>
      </c>
    </row>
    <row r="2639" spans="6:19" x14ac:dyDescent="0.2">
      <c r="F2639" s="3"/>
      <c r="G2639" s="3"/>
      <c r="H2639" s="3"/>
      <c r="M2639" s="1">
        <f t="shared" si="251"/>
        <v>79.110000000002231</v>
      </c>
      <c r="N2639" s="1">
        <f t="shared" si="252"/>
        <v>0.60924334847176964</v>
      </c>
      <c r="O2639" s="1">
        <f t="shared" si="253"/>
        <v>-0.19183767005033359</v>
      </c>
      <c r="P2639" s="1">
        <f t="shared" si="254"/>
        <v>4.6672681504317657</v>
      </c>
      <c r="R2639" s="3">
        <f t="shared" si="249"/>
        <v>-6.7658282013330753E-2</v>
      </c>
      <c r="S2639" s="3">
        <f t="shared" si="250"/>
        <v>-1.4984733420635166</v>
      </c>
    </row>
    <row r="2640" spans="6:19" x14ac:dyDescent="0.2">
      <c r="F2640" s="3"/>
      <c r="G2640" s="3"/>
      <c r="H2640" s="3"/>
      <c r="M2640" s="1">
        <f t="shared" si="251"/>
        <v>79.140000000002232</v>
      </c>
      <c r="N2640" s="1">
        <f t="shared" si="252"/>
        <v>0.69384821043783762</v>
      </c>
      <c r="O2640" s="1">
        <f t="shared" si="253"/>
        <v>-0.17102222373719847</v>
      </c>
      <c r="P2640" s="1">
        <f t="shared" si="254"/>
        <v>4.6621374837196496</v>
      </c>
      <c r="R2640" s="3">
        <f t="shared" si="249"/>
        <v>-7.5345525070683414E-2</v>
      </c>
      <c r="S2640" s="3">
        <f t="shared" si="250"/>
        <v>-1.4981064888224145</v>
      </c>
    </row>
    <row r="2641" spans="6:19" x14ac:dyDescent="0.2">
      <c r="F2641" s="3"/>
      <c r="G2641" s="3"/>
      <c r="H2641" s="3"/>
      <c r="M2641" s="1">
        <f t="shared" si="251"/>
        <v>79.170000000002233</v>
      </c>
      <c r="N2641" s="1">
        <f t="shared" si="252"/>
        <v>0.76884725084318206</v>
      </c>
      <c r="O2641" s="1">
        <f t="shared" si="253"/>
        <v>-0.14795680621190302</v>
      </c>
      <c r="P2641" s="1">
        <f t="shared" si="254"/>
        <v>4.6576987795332929</v>
      </c>
      <c r="R2641" s="3">
        <f t="shared" si="249"/>
        <v>-8.1994412547782655E-2</v>
      </c>
      <c r="S2641" s="3">
        <f t="shared" si="250"/>
        <v>-1.4977572955292002</v>
      </c>
    </row>
    <row r="2642" spans="6:19" x14ac:dyDescent="0.2">
      <c r="F2642" s="3"/>
      <c r="G2642" s="3"/>
      <c r="H2642" s="3"/>
      <c r="M2642" s="1">
        <f t="shared" si="251"/>
        <v>79.200000000002234</v>
      </c>
      <c r="N2642" s="1">
        <f t="shared" si="252"/>
        <v>0.83326023803689775</v>
      </c>
      <c r="O2642" s="1">
        <f t="shared" si="253"/>
        <v>-0.12295899907079609</v>
      </c>
      <c r="P2642" s="1">
        <f t="shared" si="254"/>
        <v>4.6540100095611692</v>
      </c>
      <c r="R2642" s="3">
        <f t="shared" si="249"/>
        <v>-8.7518724306201334E-2</v>
      </c>
      <c r="S2642" s="3">
        <f t="shared" si="250"/>
        <v>-1.4974446476901291</v>
      </c>
    </row>
    <row r="2643" spans="6:19" x14ac:dyDescent="0.2">
      <c r="F2643" s="3"/>
      <c r="G2643" s="3"/>
      <c r="H2643" s="3"/>
      <c r="M2643" s="1">
        <f t="shared" si="251"/>
        <v>79.230000000002235</v>
      </c>
      <c r="N2643" s="1">
        <f t="shared" si="252"/>
        <v>0.88625355297838504</v>
      </c>
      <c r="O2643" s="1">
        <f t="shared" si="253"/>
        <v>-9.6371392481444537E-2</v>
      </c>
      <c r="P2643" s="1">
        <f t="shared" si="254"/>
        <v>4.6511188677867255</v>
      </c>
      <c r="R2643" s="3">
        <f t="shared" si="249"/>
        <v>-9.1847677279643991E-2</v>
      </c>
      <c r="S2643" s="3">
        <f t="shared" si="250"/>
        <v>-1.4971853606612424</v>
      </c>
    </row>
    <row r="2644" spans="6:19" x14ac:dyDescent="0.2">
      <c r="F2644" s="3"/>
      <c r="G2644" s="3"/>
      <c r="H2644" s="3"/>
      <c r="M2644" s="1">
        <f t="shared" si="251"/>
        <v>79.260000000002236</v>
      </c>
      <c r="N2644" s="1">
        <f t="shared" si="252"/>
        <v>0.92715019811976995</v>
      </c>
      <c r="O2644" s="1">
        <f t="shared" si="253"/>
        <v>-6.8556886537851441E-2</v>
      </c>
      <c r="P2644" s="1">
        <f t="shared" si="254"/>
        <v>4.6490621611905896</v>
      </c>
      <c r="R2644" s="3">
        <f t="shared" si="249"/>
        <v>-9.4926751855948066E-2</v>
      </c>
      <c r="S2644" s="3">
        <f t="shared" si="250"/>
        <v>-1.4969932904933405</v>
      </c>
    </row>
    <row r="2645" spans="6:19" x14ac:dyDescent="0.2">
      <c r="F2645" s="3"/>
      <c r="G2645" s="3"/>
      <c r="H2645" s="3"/>
      <c r="M2645" s="1">
        <f t="shared" si="251"/>
        <v>79.290000000002237</v>
      </c>
      <c r="N2645" s="1">
        <f t="shared" si="252"/>
        <v>0.95543763834788742</v>
      </c>
      <c r="O2645" s="1">
        <f t="shared" si="253"/>
        <v>-3.9893757387414824E-2</v>
      </c>
      <c r="P2645" s="1">
        <f t="shared" si="254"/>
        <v>4.6478653484689669</v>
      </c>
      <c r="R2645" s="3">
        <f t="shared" si="249"/>
        <v>-9.6718304057820642E-2</v>
      </c>
      <c r="S2645" s="3">
        <f t="shared" si="250"/>
        <v>-1.496878608859175</v>
      </c>
    </row>
    <row r="2646" spans="6:19" x14ac:dyDescent="0.2">
      <c r="F2646" s="3"/>
      <c r="G2646" s="3"/>
      <c r="H2646" s="3"/>
      <c r="M2646" s="1">
        <f t="shared" si="251"/>
        <v>79.320000000002238</v>
      </c>
      <c r="N2646" s="1">
        <f t="shared" si="252"/>
        <v>0.97077347874307374</v>
      </c>
      <c r="O2646" s="1">
        <f t="shared" si="253"/>
        <v>-1.0770553025122614E-2</v>
      </c>
      <c r="P2646" s="1">
        <f t="shared" si="254"/>
        <v>4.6475422318782131</v>
      </c>
      <c r="R2646" s="3">
        <f t="shared" si="249"/>
        <v>-9.7201965313366473E-2</v>
      </c>
      <c r="S2646" s="3">
        <f t="shared" si="250"/>
        <v>-1.4968472794307437</v>
      </c>
    </row>
    <row r="2647" spans="6:19" x14ac:dyDescent="0.2">
      <c r="F2647" s="3"/>
      <c r="G2647" s="3"/>
      <c r="H2647" s="3"/>
      <c r="M2647" s="1">
        <f t="shared" si="251"/>
        <v>79.35000000000224</v>
      </c>
      <c r="N2647" s="1">
        <f t="shared" si="252"/>
        <v>0.97298900290592583</v>
      </c>
      <c r="O2647" s="1">
        <f t="shared" si="253"/>
        <v>1.8419117062055158E-2</v>
      </c>
      <c r="P2647" s="1">
        <f t="shared" si="254"/>
        <v>4.648094805390075</v>
      </c>
      <c r="R2647" s="3">
        <f t="shared" si="249"/>
        <v>-9.6374832357840723E-2</v>
      </c>
      <c r="S2647" s="3">
        <f t="shared" si="250"/>
        <v>-1.4969007621375567</v>
      </c>
    </row>
    <row r="2648" spans="6:19" x14ac:dyDescent="0.2">
      <c r="F2648" s="3"/>
      <c r="G2648" s="3"/>
      <c r="H2648" s="3"/>
      <c r="M2648" s="1">
        <f t="shared" si="251"/>
        <v>79.380000000002241</v>
      </c>
      <c r="N2648" s="1">
        <f t="shared" si="252"/>
        <v>0.96209060304282223</v>
      </c>
      <c r="O2648" s="1">
        <f t="shared" si="253"/>
        <v>4.7281835153339821E-2</v>
      </c>
      <c r="P2648" s="1">
        <f t="shared" si="254"/>
        <v>4.6495132604446754</v>
      </c>
      <c r="R2648" s="3">
        <f t="shared" si="249"/>
        <v>-9.4251449663789982E-2</v>
      </c>
      <c r="S2648" s="3">
        <f t="shared" si="250"/>
        <v>-1.4970359595668614</v>
      </c>
    </row>
    <row r="2649" spans="6:19" x14ac:dyDescent="0.2">
      <c r="F2649" s="3"/>
      <c r="G2649" s="3"/>
      <c r="H2649" s="3"/>
      <c r="M2649" s="1">
        <f t="shared" si="251"/>
        <v>79.410000000002242</v>
      </c>
      <c r="N2649" s="1">
        <f t="shared" si="252"/>
        <v>0.93825913147409923</v>
      </c>
      <c r="O2649" s="1">
        <f t="shared" si="253"/>
        <v>7.54296090975628E-2</v>
      </c>
      <c r="P2649" s="1">
        <f t="shared" si="254"/>
        <v>4.6517761487176026</v>
      </c>
      <c r="R2649" s="3">
        <f t="shared" si="249"/>
        <v>-9.0863586123014664E-2</v>
      </c>
      <c r="S2649" s="3">
        <f t="shared" si="250"/>
        <v>-1.4972454069780496</v>
      </c>
    </row>
    <row r="2650" spans="6:19" x14ac:dyDescent="0.2">
      <c r="F2650" s="3"/>
      <c r="G2650" s="3"/>
      <c r="H2650" s="3"/>
      <c r="M2650" s="1">
        <f t="shared" si="251"/>
        <v>79.440000000002243</v>
      </c>
      <c r="N2650" s="1">
        <f t="shared" si="252"/>
        <v>0.90184719641136613</v>
      </c>
      <c r="O2650" s="1">
        <f t="shared" si="253"/>
        <v>0.10248502498990378</v>
      </c>
      <c r="P2650" s="1">
        <f t="shared" si="254"/>
        <v>4.6548506994672998</v>
      </c>
      <c r="R2650" s="3">
        <f t="shared" si="249"/>
        <v>-8.6259806926843374E-2</v>
      </c>
      <c r="S2650" s="3">
        <f t="shared" si="250"/>
        <v>-1.4975176946229862</v>
      </c>
    </row>
    <row r="2651" spans="6:19" x14ac:dyDescent="0.2">
      <c r="F2651" s="3"/>
      <c r="G2651" s="3"/>
      <c r="H2651" s="3"/>
      <c r="M2651" s="1">
        <f t="shared" si="251"/>
        <v>79.470000000002244</v>
      </c>
      <c r="N2651" s="1">
        <f t="shared" si="252"/>
        <v>0.85337441701934225</v>
      </c>
      <c r="O2651" s="1">
        <f t="shared" si="253"/>
        <v>0.12808625750048405</v>
      </c>
      <c r="P2651" s="1">
        <f t="shared" si="254"/>
        <v>4.6586932871923139</v>
      </c>
      <c r="R2651" s="3">
        <f t="shared" si="249"/>
        <v>-8.0504841143461597E-2</v>
      </c>
      <c r="S2651" s="3">
        <f t="shared" si="250"/>
        <v>-1.4978380989120506</v>
      </c>
    </row>
    <row r="2652" spans="6:19" x14ac:dyDescent="0.2">
      <c r="F2652" s="3"/>
      <c r="G2652" s="3"/>
      <c r="H2652" s="3"/>
      <c r="M2652" s="1">
        <f t="shared" si="251"/>
        <v>79.500000000002245</v>
      </c>
      <c r="N2652" s="1">
        <f t="shared" si="252"/>
        <v>0.79352064825957236</v>
      </c>
      <c r="O2652" s="1">
        <f t="shared" si="253"/>
        <v>0.15189187694827122</v>
      </c>
      <c r="P2652" s="1">
        <f t="shared" si="254"/>
        <v>4.6632500435007618</v>
      </c>
      <c r="R2652" s="3">
        <f t="shared" si="249"/>
        <v>-7.3678745756304204E-2</v>
      </c>
      <c r="S2652" s="3">
        <f t="shared" si="250"/>
        <v>-1.4981893880360313</v>
      </c>
    </row>
    <row r="2653" spans="6:19" x14ac:dyDescent="0.2">
      <c r="F2653" s="3"/>
      <c r="G2653" s="3"/>
      <c r="H2653" s="3"/>
      <c r="M2653" s="1">
        <f t="shared" si="251"/>
        <v>79.530000000002246</v>
      </c>
      <c r="N2653" s="1">
        <f t="shared" si="252"/>
        <v>0.72311718863769769</v>
      </c>
      <c r="O2653" s="1">
        <f t="shared" si="253"/>
        <v>0.17358539260740216</v>
      </c>
      <c r="P2653" s="1">
        <f t="shared" si="254"/>
        <v>4.6684576052789835</v>
      </c>
      <c r="R2653" s="3">
        <f t="shared" si="249"/>
        <v>-6.5875868191910575E-2</v>
      </c>
      <c r="S2653" s="3">
        <f t="shared" si="250"/>
        <v>-1.4985527584939951</v>
      </c>
    </row>
    <row r="2654" spans="6:19" x14ac:dyDescent="0.2">
      <c r="F2654" s="3"/>
      <c r="G2654" s="3"/>
      <c r="H2654" s="3"/>
      <c r="M2654" s="1">
        <f t="shared" si="251"/>
        <v>79.560000000002248</v>
      </c>
      <c r="N2654" s="1">
        <f t="shared" si="252"/>
        <v>0.64313599658443965</v>
      </c>
      <c r="O2654" s="1">
        <f t="shared" si="253"/>
        <v>0.19287947250493534</v>
      </c>
      <c r="P2654" s="1">
        <f t="shared" si="254"/>
        <v>4.6742439894541317</v>
      </c>
      <c r="R2654" s="3">
        <f t="shared" si="249"/>
        <v>-5.7203611780204673E-2</v>
      </c>
      <c r="S2654" s="3">
        <f t="shared" si="250"/>
        <v>-1.4989088520651612</v>
      </c>
    </row>
    <row r="2655" spans="6:19" x14ac:dyDescent="0.2">
      <c r="F2655" s="3"/>
      <c r="G2655" s="3"/>
      <c r="H2655" s="3"/>
      <c r="M2655" s="1">
        <f t="shared" si="251"/>
        <v>79.590000000002249</v>
      </c>
      <c r="N2655" s="1">
        <f t="shared" si="252"/>
        <v>0.5546769652766026</v>
      </c>
      <c r="O2655" s="1">
        <f t="shared" si="253"/>
        <v>0.20951978146323341</v>
      </c>
      <c r="P2655" s="1">
        <f t="shared" si="254"/>
        <v>4.6805295828980285</v>
      </c>
      <c r="R2655" s="3">
        <f t="shared" si="249"/>
        <v>-4.7781012149246224E-2</v>
      </c>
      <c r="S2655" s="3">
        <f t="shared" si="250"/>
        <v>-1.499238798483415</v>
      </c>
    </row>
    <row r="2656" spans="6:19" x14ac:dyDescent="0.2">
      <c r="F2656" s="3"/>
      <c r="G2656" s="3"/>
      <c r="H2656" s="3"/>
      <c r="M2656" s="1">
        <f t="shared" si="251"/>
        <v>79.62000000000225</v>
      </c>
      <c r="N2656" s="1">
        <f t="shared" si="252"/>
        <v>0.45895334116077124</v>
      </c>
      <c r="O2656" s="1">
        <f t="shared" si="253"/>
        <v>0.22328838169805654</v>
      </c>
      <c r="P2656" s="1">
        <f t="shared" si="254"/>
        <v>4.6872282343489697</v>
      </c>
      <c r="R2656" s="3">
        <f t="shared" si="249"/>
        <v>-3.7737137094394572E-2</v>
      </c>
      <c r="S2656" s="3">
        <f t="shared" si="250"/>
        <v>-1.4995252276917248</v>
      </c>
    </row>
    <row r="2657" spans="6:19" x14ac:dyDescent="0.2">
      <c r="F2657" s="3"/>
      <c r="G2657" s="3"/>
      <c r="H2657" s="3"/>
      <c r="M2657" s="1">
        <f t="shared" si="251"/>
        <v>79.650000000002251</v>
      </c>
      <c r="N2657" s="1">
        <f t="shared" si="252"/>
        <v>0.35727541659112061</v>
      </c>
      <c r="O2657" s="1">
        <f t="shared" si="253"/>
        <v>0.23400664419579015</v>
      </c>
      <c r="P2657" s="1">
        <f t="shared" si="254"/>
        <v>4.6942484336748436</v>
      </c>
      <c r="R2657" s="3">
        <f t="shared" si="249"/>
        <v>-2.7209327669110325E-2</v>
      </c>
      <c r="S2657" s="3">
        <f t="shared" si="250"/>
        <v>-1.4997531971920564</v>
      </c>
    </row>
    <row r="2658" spans="6:19" x14ac:dyDescent="0.2">
      <c r="F2658" s="3"/>
      <c r="G2658" s="3"/>
      <c r="H2658" s="3"/>
      <c r="M2658" s="1">
        <f t="shared" si="251"/>
        <v>79.680000000002252</v>
      </c>
      <c r="N2658" s="1">
        <f t="shared" si="252"/>
        <v>0.25103267871348212</v>
      </c>
      <c r="O2658" s="1">
        <f t="shared" si="253"/>
        <v>0.2415376245571946</v>
      </c>
      <c r="P2658" s="1">
        <f t="shared" si="254"/>
        <v>4.7014945624115594</v>
      </c>
      <c r="R2658" s="3">
        <f t="shared" si="249"/>
        <v>-1.6341303701509841E-2</v>
      </c>
      <c r="S2658" s="3">
        <f t="shared" si="250"/>
        <v>-1.4999109846231993</v>
      </c>
    </row>
    <row r="2659" spans="6:19" x14ac:dyDescent="0.2">
      <c r="F2659" s="3"/>
      <c r="G2659" s="3"/>
      <c r="H2659" s="3"/>
      <c r="M2659" s="1">
        <f t="shared" si="251"/>
        <v>79.710000000002253</v>
      </c>
      <c r="N2659" s="1">
        <f t="shared" si="252"/>
        <v>0.1416746508049509</v>
      </c>
      <c r="O2659" s="1">
        <f t="shared" si="253"/>
        <v>0.24578786408134312</v>
      </c>
      <c r="P2659" s="1">
        <f t="shared" si="254"/>
        <v>4.7088681983339997</v>
      </c>
      <c r="R2659" s="3">
        <f t="shared" si="249"/>
        <v>-5.2811621652209114E-3</v>
      </c>
      <c r="S2659" s="3">
        <f t="shared" si="250"/>
        <v>-1.4999907030799173</v>
      </c>
    </row>
    <row r="2660" spans="6:19" x14ac:dyDescent="0.2">
      <c r="F2660" s="3"/>
      <c r="G2660" s="3"/>
      <c r="H2660" s="3"/>
      <c r="M2660" s="1">
        <f t="shared" si="251"/>
        <v>79.740000000002254</v>
      </c>
      <c r="N2660" s="1">
        <f t="shared" si="252"/>
        <v>3.069071388488823E-2</v>
      </c>
      <c r="O2660" s="1">
        <f t="shared" si="253"/>
        <v>0.24670858549788977</v>
      </c>
      <c r="P2660" s="1">
        <f t="shared" si="254"/>
        <v>4.716269455898936</v>
      </c>
      <c r="R2660" s="3">
        <f t="shared" si="249"/>
        <v>5.8206986632425885E-3</v>
      </c>
      <c r="S2660" s="3">
        <f t="shared" si="250"/>
        <v>-1.4999887064465092</v>
      </c>
    </row>
    <row r="2661" spans="6:19" x14ac:dyDescent="0.2">
      <c r="F2661" s="3"/>
      <c r="G2661" s="3"/>
      <c r="H2661" s="3"/>
      <c r="M2661" s="1">
        <f t="shared" si="251"/>
        <v>79.770000000002256</v>
      </c>
      <c r="N2661" s="1">
        <f t="shared" si="252"/>
        <v>-8.0410759327235959E-2</v>
      </c>
      <c r="O2661" s="1">
        <f t="shared" si="253"/>
        <v>0.2442962627180727</v>
      </c>
      <c r="P2661" s="1">
        <f t="shared" si="254"/>
        <v>4.7235983437804778</v>
      </c>
      <c r="R2661" s="3">
        <f t="shared" si="249"/>
        <v>1.6813692982249162E-2</v>
      </c>
      <c r="S2661" s="3">
        <f t="shared" si="250"/>
        <v>-1.4999057636159341</v>
      </c>
    </row>
    <row r="2662" spans="6:19" x14ac:dyDescent="0.2">
      <c r="F2662" s="3"/>
      <c r="G2662" s="3"/>
      <c r="H2662" s="3"/>
      <c r="M2662" s="1">
        <f t="shared" si="251"/>
        <v>79.800000000002257</v>
      </c>
      <c r="N2662" s="1">
        <f t="shared" si="252"/>
        <v>-0.19012359346711813</v>
      </c>
      <c r="O2662" s="1">
        <f t="shared" si="253"/>
        <v>0.23859255491405915</v>
      </c>
      <c r="P2662" s="1">
        <f t="shared" si="254"/>
        <v>4.7307561204278992</v>
      </c>
      <c r="R2662" s="3">
        <f t="shared" si="249"/>
        <v>2.7549161043850631E-2</v>
      </c>
      <c r="S2662" s="3">
        <f t="shared" si="250"/>
        <v>-1.4997469932377863</v>
      </c>
    </row>
    <row r="2663" spans="6:19" x14ac:dyDescent="0.2">
      <c r="F2663" s="3"/>
      <c r="G2663" s="3"/>
      <c r="H2663" s="3"/>
      <c r="M2663" s="1">
        <f t="shared" si="251"/>
        <v>79.830000000002258</v>
      </c>
      <c r="N2663" s="1">
        <f t="shared" si="252"/>
        <v>-0.29696494038077159</v>
      </c>
      <c r="O2663" s="1">
        <f t="shared" si="253"/>
        <v>0.22968360670263599</v>
      </c>
      <c r="P2663" s="1">
        <f t="shared" si="254"/>
        <v>4.737646628628978</v>
      </c>
      <c r="R2663" s="3">
        <f t="shared" si="249"/>
        <v>3.7882444223357389E-2</v>
      </c>
      <c r="S2663" s="3">
        <f t="shared" si="250"/>
        <v>-1.4995215638395016</v>
      </c>
    </row>
    <row r="2664" spans="6:19" x14ac:dyDescent="0.2">
      <c r="F2664" s="3"/>
      <c r="G2664" s="3"/>
      <c r="H2664" s="3"/>
      <c r="M2664" s="1">
        <f t="shared" si="251"/>
        <v>79.860000000002259</v>
      </c>
      <c r="N2664" s="1">
        <f t="shared" si="252"/>
        <v>-0.3994959668368111</v>
      </c>
      <c r="O2664" s="1">
        <f t="shared" si="253"/>
        <v>0.21769872769753165</v>
      </c>
      <c r="P2664" s="1">
        <f t="shared" si="254"/>
        <v>4.7441775904599037</v>
      </c>
      <c r="R2664" s="3">
        <f t="shared" si="249"/>
        <v>4.7674884795936567E-2</v>
      </c>
      <c r="S2664" s="3">
        <f t="shared" si="250"/>
        <v>-1.4992421770213424</v>
      </c>
    </row>
    <row r="2665" spans="6:19" x14ac:dyDescent="0.2">
      <c r="F2665" s="3"/>
      <c r="G2665" s="3"/>
      <c r="H2665" s="3"/>
      <c r="M2665" s="1">
        <f t="shared" si="251"/>
        <v>79.89000000000226</v>
      </c>
      <c r="N2665" s="1">
        <f t="shared" si="252"/>
        <v>-0.49634173345214355</v>
      </c>
      <c r="O2665" s="1">
        <f t="shared" si="253"/>
        <v>0.20280847569396734</v>
      </c>
      <c r="P2665" s="1">
        <f t="shared" si="254"/>
        <v>4.7502618447307228</v>
      </c>
      <c r="R2665" s="3">
        <f t="shared" si="249"/>
        <v>5.6795716720765714E-2</v>
      </c>
      <c r="S2665" s="3">
        <f t="shared" si="250"/>
        <v>-1.4989243631892086</v>
      </c>
    </row>
    <row r="2666" spans="6:19" x14ac:dyDescent="0.2">
      <c r="F2666" s="3"/>
      <c r="G2666" s="3"/>
      <c r="H2666" s="3"/>
      <c r="M2666" s="1">
        <f t="shared" si="251"/>
        <v>79.920000000002261</v>
      </c>
      <c r="N2666" s="1">
        <f t="shared" si="252"/>
        <v>-0.58620993002011412</v>
      </c>
      <c r="O2666" s="1">
        <f t="shared" si="253"/>
        <v>0.18522217779336392</v>
      </c>
      <c r="P2666" s="1">
        <f t="shared" si="254"/>
        <v>4.7558185100645236</v>
      </c>
      <c r="R2666" s="3">
        <f t="shared" si="249"/>
        <v>6.5123818080818296E-2</v>
      </c>
      <c r="S2666" s="3">
        <f t="shared" si="250"/>
        <v>-1.4985856292913584</v>
      </c>
    </row>
    <row r="2667" spans="6:19" x14ac:dyDescent="0.2">
      <c r="F2667" s="3"/>
      <c r="G2667" s="3"/>
      <c r="H2667" s="3"/>
      <c r="M2667" s="1">
        <f t="shared" si="251"/>
        <v>79.950000000002262</v>
      </c>
      <c r="N2667" s="1">
        <f t="shared" si="252"/>
        <v>-0.6679081768095857</v>
      </c>
      <c r="O2667" s="1">
        <f t="shared" si="253"/>
        <v>0.16518493248907634</v>
      </c>
      <c r="P2667" s="1">
        <f t="shared" si="254"/>
        <v>4.7607740580391962</v>
      </c>
      <c r="R2667" s="3">
        <f t="shared" si="249"/>
        <v>7.2549301029735155E-2</v>
      </c>
      <c r="S2667" s="3">
        <f t="shared" si="250"/>
        <v>-1.4982445057199767</v>
      </c>
    </row>
    <row r="2668" spans="6:19" x14ac:dyDescent="0.2">
      <c r="F2668" s="3"/>
      <c r="G2668" s="3"/>
      <c r="H2668" s="3"/>
      <c r="M2668" s="1">
        <f t="shared" si="251"/>
        <v>79.980000000002264</v>
      </c>
      <c r="N2668" s="1">
        <f t="shared" si="252"/>
        <v>-0.7403596542213684</v>
      </c>
      <c r="O2668" s="1">
        <f t="shared" si="253"/>
        <v>0.14297414286243529</v>
      </c>
      <c r="P2668" s="1">
        <f t="shared" si="254"/>
        <v>4.7650632823250696</v>
      </c>
      <c r="R2668" s="3">
        <f t="shared" si="249"/>
        <v>7.8974920685396105E-2</v>
      </c>
      <c r="S2668" s="3">
        <f t="shared" si="250"/>
        <v>-1.4979195445359323</v>
      </c>
    </row>
    <row r="2669" spans="6:19" x14ac:dyDescent="0.2">
      <c r="F2669" s="3"/>
      <c r="G2669" s="3"/>
      <c r="H2669" s="3"/>
      <c r="M2669" s="1">
        <f t="shared" si="251"/>
        <v>80.010000000002265</v>
      </c>
      <c r="N2669" s="1">
        <f t="shared" si="252"/>
        <v>-0.80261687971158013</v>
      </c>
      <c r="O2669" s="1">
        <f t="shared" si="253"/>
        <v>0.11889563647108789</v>
      </c>
      <c r="P2669" s="1">
        <f t="shared" si="254"/>
        <v>4.7686301514192024</v>
      </c>
      <c r="R2669" s="3">
        <f t="shared" si="249"/>
        <v>8.431728990426024E-2</v>
      </c>
      <c r="S2669" s="3">
        <f t="shared" si="250"/>
        <v>-1.4976283232575434</v>
      </c>
    </row>
    <row r="2670" spans="6:19" x14ac:dyDescent="0.2">
      <c r="F2670" s="3"/>
      <c r="G2670" s="3"/>
      <c r="H2670" s="3"/>
      <c r="M2670" s="1">
        <f t="shared" si="251"/>
        <v>80.040000000002266</v>
      </c>
      <c r="N2670" s="1">
        <f t="shared" si="252"/>
        <v>-0.85387350632500036</v>
      </c>
      <c r="O2670" s="1">
        <f t="shared" si="253"/>
        <v>9.327943128133788E-2</v>
      </c>
      <c r="P2670" s="1">
        <f t="shared" si="254"/>
        <v>4.7714285343576428</v>
      </c>
      <c r="R2670" s="3">
        <f t="shared" si="249"/>
        <v>8.8507891840454614E-2</v>
      </c>
      <c r="S2670" s="3">
        <f t="shared" si="250"/>
        <v>-1.4973865075797759</v>
      </c>
    </row>
    <row r="2671" spans="6:19" x14ac:dyDescent="0.2">
      <c r="F2671" s="3"/>
      <c r="G2671" s="3"/>
      <c r="H2671" s="3"/>
      <c r="M2671" s="1">
        <f t="shared" si="251"/>
        <v>80.070000000002267</v>
      </c>
      <c r="N2671" s="1">
        <f t="shared" si="252"/>
        <v>-0.89347406721986666</v>
      </c>
      <c r="O2671" s="1">
        <f t="shared" si="253"/>
        <v>6.6475209264741875E-2</v>
      </c>
      <c r="P2671" s="1">
        <f t="shared" si="254"/>
        <v>4.7734227906355855</v>
      </c>
      <c r="R2671" s="3">
        <f t="shared" si="249"/>
        <v>9.1493886303883276E-2</v>
      </c>
      <c r="S2671" s="3">
        <f t="shared" si="250"/>
        <v>-1.4972070226822383</v>
      </c>
    </row>
    <row r="2672" spans="6:19" x14ac:dyDescent="0.2">
      <c r="F2672" s="3"/>
      <c r="G2672" s="3"/>
      <c r="H2672" s="3"/>
      <c r="M2672" s="1">
        <f t="shared" si="251"/>
        <v>80.100000000002268</v>
      </c>
      <c r="N2672" s="1">
        <f t="shared" si="252"/>
        <v>-0.92092163187265952</v>
      </c>
      <c r="O2672" s="1">
        <f t="shared" si="253"/>
        <v>3.8847560308562089E-2</v>
      </c>
      <c r="P2672" s="1">
        <f t="shared" si="254"/>
        <v>4.7745882174448422</v>
      </c>
      <c r="R2672" s="3">
        <f t="shared" si="249"/>
        <v>9.3238708977745027E-2</v>
      </c>
      <c r="S2672" s="3">
        <f t="shared" si="250"/>
        <v>-1.4970993765105121</v>
      </c>
    </row>
    <row r="2673" spans="6:19" x14ac:dyDescent="0.2">
      <c r="F2673" s="3"/>
      <c r="G2673" s="3"/>
      <c r="H2673" s="3"/>
      <c r="M2673" s="1">
        <f t="shared" si="251"/>
        <v>80.130000000002269</v>
      </c>
      <c r="N2673" s="1">
        <f t="shared" si="252"/>
        <v>-0.93588337020522083</v>
      </c>
      <c r="O2673" s="1">
        <f t="shared" si="253"/>
        <v>1.0771059202405463E-2</v>
      </c>
      <c r="P2673" s="1">
        <f t="shared" si="254"/>
        <v>4.7749113492209148</v>
      </c>
      <c r="R2673" s="3">
        <f t="shared" si="249"/>
        <v>9.3722464482095452E-2</v>
      </c>
      <c r="S2673" s="3">
        <f t="shared" si="250"/>
        <v>-1.4970691699622307</v>
      </c>
    </row>
    <row r="2674" spans="6:19" x14ac:dyDescent="0.2">
      <c r="F2674" s="3"/>
      <c r="G2674" s="3"/>
      <c r="H2674" s="3"/>
      <c r="M2674" s="1">
        <f t="shared" si="251"/>
        <v>80.16000000000227</v>
      </c>
      <c r="N2674" s="1">
        <f t="shared" si="252"/>
        <v>-0.93819404014917096</v>
      </c>
      <c r="O2674" s="1">
        <f t="shared" si="253"/>
        <v>-1.7374762002069666E-2</v>
      </c>
      <c r="P2674" s="1">
        <f t="shared" si="254"/>
        <v>4.7743901063608529</v>
      </c>
      <c r="R2674" s="3">
        <f t="shared" si="249"/>
        <v>9.2942115169648495E-2</v>
      </c>
      <c r="S2674" s="3">
        <f t="shared" si="250"/>
        <v>-1.4971178187530172</v>
      </c>
    </row>
    <row r="2675" spans="6:19" x14ac:dyDescent="0.2">
      <c r="F2675" s="3"/>
      <c r="G2675" s="3"/>
      <c r="H2675" s="3"/>
      <c r="M2675" s="1">
        <f t="shared" si="251"/>
        <v>80.190000000002271</v>
      </c>
      <c r="N2675" s="1">
        <f t="shared" si="252"/>
        <v>-0.92785742311629871</v>
      </c>
      <c r="O2675" s="1">
        <f t="shared" si="253"/>
        <v>-4.5210484695558627E-2</v>
      </c>
      <c r="P2675" s="1">
        <f t="shared" si="254"/>
        <v>4.7730337918199863</v>
      </c>
      <c r="R2675" s="3">
        <f t="shared" si="249"/>
        <v>9.0911467637610599E-2</v>
      </c>
      <c r="S2675" s="3">
        <f t="shared" si="250"/>
        <v>-1.4972425004160066</v>
      </c>
    </row>
    <row r="2676" spans="6:19" x14ac:dyDescent="0.2">
      <c r="F2676" s="3"/>
      <c r="G2676" s="3"/>
      <c r="H2676" s="3"/>
      <c r="M2676" s="1">
        <f t="shared" si="251"/>
        <v>80.220000000002273</v>
      </c>
      <c r="N2676" s="1">
        <f t="shared" si="252"/>
        <v>-0.90504573275350575</v>
      </c>
      <c r="O2676" s="1">
        <f t="shared" si="253"/>
        <v>-7.2361856678163805E-2</v>
      </c>
      <c r="P2676" s="1">
        <f t="shared" si="254"/>
        <v>4.7708629361196415</v>
      </c>
      <c r="R2676" s="3">
        <f t="shared" si="249"/>
        <v>8.7660958558418281E-2</v>
      </c>
      <c r="S2676" s="3">
        <f t="shared" si="250"/>
        <v>-1.4974363279767922</v>
      </c>
    </row>
    <row r="2677" spans="6:19" x14ac:dyDescent="0.2">
      <c r="F2677" s="3"/>
      <c r="G2677" s="3"/>
      <c r="H2677" s="3"/>
      <c r="M2677" s="1">
        <f t="shared" si="251"/>
        <v>80.250000000002274</v>
      </c>
      <c r="N2677" s="1">
        <f t="shared" si="252"/>
        <v>-0.87009701848314813</v>
      </c>
      <c r="O2677" s="1">
        <f t="shared" si="253"/>
        <v>-9.8464767232658248E-2</v>
      </c>
      <c r="P2677" s="1">
        <f t="shared" si="254"/>
        <v>4.7679089931026617</v>
      </c>
      <c r="R2677" s="3">
        <f t="shared" si="249"/>
        <v>8.3237240952054176E-2</v>
      </c>
      <c r="S2677" s="3">
        <f t="shared" si="250"/>
        <v>-1.4976887399318624</v>
      </c>
    </row>
    <row r="2678" spans="6:19" x14ac:dyDescent="0.2">
      <c r="F2678" s="3"/>
      <c r="G2678" s="3"/>
      <c r="H2678" s="3"/>
      <c r="M2678" s="1">
        <f t="shared" si="251"/>
        <v>80.280000000002275</v>
      </c>
      <c r="N2678" s="1">
        <f t="shared" si="252"/>
        <v>-0.82351058046960257</v>
      </c>
      <c r="O2678" s="1">
        <f t="shared" si="253"/>
        <v>-0.12317008464674632</v>
      </c>
      <c r="P2678" s="1">
        <f t="shared" si="254"/>
        <v>4.7642138905632594</v>
      </c>
      <c r="R2678" s="3">
        <f t="shared" si="249"/>
        <v>7.7702571828529438E-2</v>
      </c>
      <c r="S2678" s="3">
        <f t="shared" si="250"/>
        <v>-1.4979860848256343</v>
      </c>
    </row>
    <row r="2679" spans="6:19" x14ac:dyDescent="0.2">
      <c r="F2679" s="3"/>
      <c r="G2679" s="3"/>
      <c r="H2679" s="3"/>
      <c r="M2679" s="1">
        <f t="shared" si="251"/>
        <v>80.310000000002276</v>
      </c>
      <c r="N2679" s="1">
        <f t="shared" si="252"/>
        <v>-0.76594041066708718</v>
      </c>
      <c r="O2679" s="1">
        <f t="shared" si="253"/>
        <v>-0.14614829696675893</v>
      </c>
      <c r="P2679" s="1">
        <f t="shared" si="254"/>
        <v>4.759829441654257</v>
      </c>
      <c r="R2679" s="3">
        <f t="shared" si="249"/>
        <v>7.1134002563588317E-2</v>
      </c>
      <c r="S2679" s="3">
        <f t="shared" si="250"/>
        <v>-1.498312368526431</v>
      </c>
    </row>
    <row r="2680" spans="6:19" x14ac:dyDescent="0.2">
      <c r="F2680" s="3"/>
      <c r="G2680" s="3"/>
      <c r="H2680" s="3"/>
      <c r="M2680" s="1">
        <f t="shared" si="251"/>
        <v>80.340000000002277</v>
      </c>
      <c r="N2680" s="1">
        <f t="shared" si="252"/>
        <v>-0.69818667890887487</v>
      </c>
      <c r="O2680" s="1">
        <f t="shared" si="253"/>
        <v>-0.16709389733402519</v>
      </c>
      <c r="P2680" s="1">
        <f t="shared" si="254"/>
        <v>4.7548166247342367</v>
      </c>
      <c r="R2680" s="3">
        <f t="shared" si="249"/>
        <v>6.3622374689030176E-2</v>
      </c>
      <c r="S2680" s="3">
        <f t="shared" si="250"/>
        <v>-1.4986501237576864</v>
      </c>
    </row>
    <row r="2681" spans="6:19" x14ac:dyDescent="0.2">
      <c r="F2681" s="3"/>
      <c r="G2681" s="3"/>
      <c r="H2681" s="3"/>
      <c r="M2681" s="1">
        <f t="shared" si="251"/>
        <v>80.370000000002278</v>
      </c>
      <c r="N2681" s="1">
        <f t="shared" si="252"/>
        <v>-0.62118529613023954</v>
      </c>
      <c r="O2681" s="1">
        <f t="shared" si="253"/>
        <v>-0.18572945621793238</v>
      </c>
      <c r="P2681" s="1">
        <f t="shared" si="254"/>
        <v>4.7492447410476988</v>
      </c>
      <c r="R2681" s="3">
        <f t="shared" si="249"/>
        <v>5.5271126115672198E-2</v>
      </c>
      <c r="S2681" s="3">
        <f t="shared" si="250"/>
        <v>-1.4989813549934186</v>
      </c>
    </row>
    <row r="2682" spans="6:19" x14ac:dyDescent="0.2">
      <c r="F2682" s="3"/>
      <c r="G2682" s="3"/>
      <c r="H2682" s="3"/>
      <c r="M2682" s="1">
        <f t="shared" si="251"/>
        <v>80.400000000002279</v>
      </c>
      <c r="N2682" s="1">
        <f t="shared" si="252"/>
        <v>-0.53599561009710806</v>
      </c>
      <c r="O2682" s="1">
        <f t="shared" si="253"/>
        <v>-0.20180932452084563</v>
      </c>
      <c r="P2682" s="1">
        <f t="shared" si="254"/>
        <v>4.7431904613120732</v>
      </c>
      <c r="R2682" s="3">
        <f t="shared" si="249"/>
        <v>4.6194916155918017E-2</v>
      </c>
      <c r="S2682" s="3">
        <f t="shared" si="250"/>
        <v>-1.4992885078334148</v>
      </c>
    </row>
    <row r="2683" spans="6:19" x14ac:dyDescent="0.2">
      <c r="F2683" s="3"/>
      <c r="G2683" s="3"/>
      <c r="H2683" s="3"/>
      <c r="M2683" s="1">
        <f t="shared" si="251"/>
        <v>80.430000000002281</v>
      </c>
      <c r="N2683" s="1">
        <f t="shared" si="252"/>
        <v>-0.44378632235230409</v>
      </c>
      <c r="O2683" s="1">
        <f t="shared" si="253"/>
        <v>-0.21512291419141474</v>
      </c>
      <c r="P2683" s="1">
        <f t="shared" si="254"/>
        <v>4.7367367738863306</v>
      </c>
      <c r="R2683" s="3">
        <f t="shared" si="249"/>
        <v>3.6518081924820603E-2</v>
      </c>
      <c r="S2683" s="3">
        <f t="shared" si="250"/>
        <v>-1.4995554106776221</v>
      </c>
    </row>
    <row r="2684" spans="6:19" x14ac:dyDescent="0.2">
      <c r="F2684" s="3"/>
      <c r="G2684" s="3"/>
      <c r="H2684" s="3"/>
      <c r="M2684" s="1">
        <f t="shared" si="251"/>
        <v>80.460000000002282</v>
      </c>
      <c r="N2684" s="1">
        <f t="shared" si="252"/>
        <v>-0.34581975697097866</v>
      </c>
      <c r="O2684" s="1">
        <f t="shared" si="253"/>
        <v>-0.2254975069005441</v>
      </c>
      <c r="P2684" s="1">
        <f t="shared" si="254"/>
        <v>4.7299718486793143</v>
      </c>
      <c r="R2684" s="3">
        <f t="shared" si="249"/>
        <v>2.6372943495108166E-2</v>
      </c>
      <c r="S2684" s="3">
        <f t="shared" si="250"/>
        <v>-1.4997681380304768</v>
      </c>
    </row>
    <row r="2685" spans="6:19" x14ac:dyDescent="0.2">
      <c r="F2685" s="3"/>
      <c r="G2685" s="3"/>
      <c r="H2685" s="3"/>
      <c r="M2685" s="1">
        <f t="shared" si="251"/>
        <v>80.490000000002283</v>
      </c>
      <c r="N2685" s="1">
        <f t="shared" si="252"/>
        <v>-0.24343465933003272</v>
      </c>
      <c r="O2685" s="1">
        <f t="shared" si="253"/>
        <v>-0.23280054668044509</v>
      </c>
      <c r="P2685" s="1">
        <f t="shared" si="254"/>
        <v>4.7229878322789007</v>
      </c>
      <c r="R2685" s="3">
        <f t="shared" si="249"/>
        <v>1.5897980185728581E-2</v>
      </c>
      <c r="S2685" s="3">
        <f t="shared" si="250"/>
        <v>-1.4999157490425967</v>
      </c>
    </row>
    <row r="2686" spans="6:19" x14ac:dyDescent="0.2">
      <c r="F2686" s="3"/>
      <c r="G2686" s="3"/>
      <c r="H2686" s="3"/>
      <c r="M2686" s="1">
        <f t="shared" si="251"/>
        <v>80.520000000002284</v>
      </c>
      <c r="N2686" s="1">
        <f t="shared" si="252"/>
        <v>-0.13802775265604575</v>
      </c>
      <c r="O2686" s="1">
        <f t="shared" si="253"/>
        <v>-0.23694137926012646</v>
      </c>
      <c r="P2686" s="1">
        <f t="shared" si="254"/>
        <v>4.7158795909010971</v>
      </c>
      <c r="R2686" s="3">
        <f t="shared" si="249"/>
        <v>5.2359051419019961E-3</v>
      </c>
      <c r="S2686" s="3">
        <f t="shared" si="250"/>
        <v>-1.4999908617379458</v>
      </c>
    </row>
    <row r="2687" spans="6:19" x14ac:dyDescent="0.2">
      <c r="F2687" s="3"/>
      <c r="G2687" s="3"/>
      <c r="H2687" s="3"/>
      <c r="M2687" s="1">
        <f t="shared" si="251"/>
        <v>80.550000000002285</v>
      </c>
      <c r="N2687" s="1">
        <f t="shared" si="252"/>
        <v>-3.1034327285608582E-2</v>
      </c>
      <c r="O2687" s="1">
        <f t="shared" si="253"/>
        <v>-0.23787240907869472</v>
      </c>
      <c r="P2687" s="1">
        <f t="shared" si="254"/>
        <v>4.7087434186287362</v>
      </c>
      <c r="R2687" s="3">
        <f t="shared" si="249"/>
        <v>-5.4683305214496981E-3</v>
      </c>
      <c r="S2687" s="3">
        <f t="shared" si="250"/>
        <v>-1.4999900324206519</v>
      </c>
    </row>
    <row r="2688" spans="6:19" x14ac:dyDescent="0.2">
      <c r="F2688" s="3"/>
      <c r="G2688" s="3"/>
      <c r="H2688" s="3"/>
      <c r="M2688" s="1">
        <f t="shared" si="251"/>
        <v>80.580000000002286</v>
      </c>
      <c r="N2688" s="1">
        <f t="shared" si="252"/>
        <v>7.6091822031579506E-2</v>
      </c>
      <c r="O2688" s="1">
        <f t="shared" si="253"/>
        <v>-0.23558965441774735</v>
      </c>
      <c r="P2688" s="1">
        <f t="shared" si="254"/>
        <v>4.7016757289962037</v>
      </c>
      <c r="R2688" s="3">
        <f t="shared" si="249"/>
        <v>-1.6069569684469976E-2</v>
      </c>
      <c r="S2688" s="3">
        <f t="shared" si="250"/>
        <v>-1.4999139205068257</v>
      </c>
    </row>
    <row r="2689" spans="6:19" x14ac:dyDescent="0.2">
      <c r="F2689" s="3"/>
      <c r="G2689" s="3"/>
      <c r="H2689" s="3"/>
      <c r="M2689" s="1">
        <f t="shared" si="251"/>
        <v>80.610000000002287</v>
      </c>
      <c r="N2689" s="1">
        <f t="shared" si="252"/>
        <v>0.18189876574229702</v>
      </c>
      <c r="O2689" s="1">
        <f t="shared" si="253"/>
        <v>-0.23013269144547843</v>
      </c>
      <c r="P2689" s="1">
        <f t="shared" si="254"/>
        <v>4.6947717482528395</v>
      </c>
      <c r="R2689" s="3">
        <f t="shared" si="249"/>
        <v>-2.6424481267698363E-2</v>
      </c>
      <c r="S2689" s="3">
        <f t="shared" si="250"/>
        <v>-1.4997672308694217</v>
      </c>
    </row>
    <row r="2690" spans="6:19" x14ac:dyDescent="0.2">
      <c r="F2690" s="3"/>
      <c r="G2690" s="3"/>
      <c r="H2690" s="3"/>
      <c r="M2690" s="1">
        <f t="shared" si="251"/>
        <v>80.640000000002289</v>
      </c>
      <c r="N2690" s="1">
        <f t="shared" si="252"/>
        <v>0.28495675490707667</v>
      </c>
      <c r="O2690" s="1">
        <f t="shared" si="253"/>
        <v>-0.22158398879826613</v>
      </c>
      <c r="P2690" s="1">
        <f t="shared" si="254"/>
        <v>4.6881242285888911</v>
      </c>
      <c r="R2690" s="3">
        <f t="shared" ref="R2690:R2753" si="255">$B$3*COS(P2690)</f>
        <v>-3.6393556159743441E-2</v>
      </c>
      <c r="S2690" s="3">
        <f t="shared" ref="S2690:S2753" si="256">$B$3*SIN(P2690)</f>
        <v>-1.4995584380310252</v>
      </c>
    </row>
    <row r="2691" spans="6:19" x14ac:dyDescent="0.2">
      <c r="F2691" s="3"/>
      <c r="G2691" s="3"/>
      <c r="H2691" s="3"/>
      <c r="M2691" s="1">
        <f t="shared" ref="M2691:M2754" si="257">M2690+B$13</f>
        <v>80.67000000000229</v>
      </c>
      <c r="N2691" s="1">
        <f t="shared" ref="N2691:N2754" si="258">-$B$12*$B$3*COS(P2690)-B$10*O2690</f>
        <v>0.38387812058927834</v>
      </c>
      <c r="O2691" s="1">
        <f t="shared" ref="O2691:O2754" si="259">N2691*$B$13+O2690</f>
        <v>-0.21006764518058779</v>
      </c>
      <c r="P2691" s="1">
        <f t="shared" ref="P2691:P2754" si="260">O2691*$B$13+P2690</f>
        <v>4.6818221992334736</v>
      </c>
      <c r="R2691" s="3">
        <f t="shared" si="255"/>
        <v>-4.5843032209650018E-2</v>
      </c>
      <c r="S2691" s="3">
        <f t="shared" si="256"/>
        <v>-1.4992993084764046</v>
      </c>
    </row>
    <row r="2692" spans="6:19" x14ac:dyDescent="0.2">
      <c r="F2692" s="3"/>
      <c r="G2692" s="3"/>
      <c r="H2692" s="3"/>
      <c r="M2692" s="1">
        <f t="shared" si="257"/>
        <v>80.700000000002291</v>
      </c>
      <c r="N2692" s="1">
        <f t="shared" si="258"/>
        <v>0.47733641016275308</v>
      </c>
      <c r="O2692" s="1">
        <f t="shared" si="259"/>
        <v>-0.19574755287570519</v>
      </c>
      <c r="P2692" s="1">
        <f t="shared" si="260"/>
        <v>4.6759497726472024</v>
      </c>
      <c r="R2692" s="3">
        <f t="shared" si="255"/>
        <v>-5.4646716269783374E-2</v>
      </c>
      <c r="S2692" s="3">
        <f t="shared" si="256"/>
        <v>-1.499004248293156</v>
      </c>
    </row>
    <row r="2693" spans="6:19" x14ac:dyDescent="0.2">
      <c r="F2693" s="3"/>
      <c r="G2693" s="3"/>
      <c r="H2693" s="3"/>
      <c r="M2693" s="1">
        <f t="shared" si="257"/>
        <v>80.730000000002292</v>
      </c>
      <c r="N2693" s="1">
        <f t="shared" si="258"/>
        <v>0.56408444245664713</v>
      </c>
      <c r="O2693" s="1">
        <f t="shared" si="259"/>
        <v>-0.17882501960200578</v>
      </c>
      <c r="P2693" s="1">
        <f t="shared" si="260"/>
        <v>4.6705850220591421</v>
      </c>
      <c r="R2693" s="3">
        <f t="shared" si="255"/>
        <v>-6.2687675238523824E-2</v>
      </c>
      <c r="S2693" s="3">
        <f t="shared" si="256"/>
        <v>-1.4986895126653783</v>
      </c>
    </row>
    <row r="2694" spans="6:19" x14ac:dyDescent="0.2">
      <c r="F2694" s="3"/>
      <c r="G2694" s="3"/>
      <c r="H2694" s="3"/>
      <c r="M2694" s="1">
        <f t="shared" si="257"/>
        <v>80.760000000002293</v>
      </c>
      <c r="N2694" s="1">
        <f t="shared" si="258"/>
        <v>0.64297100414941877</v>
      </c>
      <c r="O2694" s="1">
        <f t="shared" si="259"/>
        <v>-0.15953588947752323</v>
      </c>
      <c r="P2694" s="1">
        <f t="shared" si="260"/>
        <v>4.6657989453748163</v>
      </c>
      <c r="R2694" s="3">
        <f t="shared" si="255"/>
        <v>-6.9859772810822354E-2</v>
      </c>
      <c r="S2694" s="3">
        <f t="shared" si="256"/>
        <v>-1.4983723209345601</v>
      </c>
    </row>
    <row r="2695" spans="6:19" x14ac:dyDescent="0.2">
      <c r="F2695" s="3"/>
      <c r="G2695" s="3"/>
      <c r="H2695" s="3"/>
      <c r="M2695" s="1">
        <f t="shared" si="257"/>
        <v>80.790000000002294</v>
      </c>
      <c r="N2695" s="1">
        <f t="shared" si="258"/>
        <v>0.71295595816120061</v>
      </c>
      <c r="O2695" s="1">
        <f t="shared" si="259"/>
        <v>-0.13814721073268721</v>
      </c>
      <c r="P2695" s="1">
        <f t="shared" si="260"/>
        <v>4.6616545290528357</v>
      </c>
      <c r="R2695" s="3">
        <f t="shared" si="255"/>
        <v>-7.6069033775727005E-2</v>
      </c>
      <c r="S2695" s="3">
        <f t="shared" si="256"/>
        <v>-1.4980699256377945</v>
      </c>
    </row>
    <row r="2696" spans="6:19" x14ac:dyDescent="0.2">
      <c r="F2696" s="3"/>
      <c r="G2696" s="3"/>
      <c r="H2696" s="3"/>
      <c r="M2696" s="1">
        <f t="shared" si="257"/>
        <v>80.820000000002295</v>
      </c>
      <c r="N2696" s="1">
        <f t="shared" si="258"/>
        <v>0.77312358672321191</v>
      </c>
      <c r="O2696" s="1">
        <f t="shared" si="259"/>
        <v>-0.11495350313099086</v>
      </c>
      <c r="P2696" s="1">
        <f t="shared" si="260"/>
        <v>4.6582059239589064</v>
      </c>
      <c r="R2696" s="3">
        <f t="shared" si="255"/>
        <v>-8.1234822772697668E-2</v>
      </c>
      <c r="S2696" s="3">
        <f t="shared" si="256"/>
        <v>-1.4977986859284824</v>
      </c>
    </row>
    <row r="2697" spans="6:19" x14ac:dyDescent="0.2">
      <c r="F2697" s="3"/>
      <c r="G2697" s="3"/>
      <c r="H2697" s="3"/>
      <c r="M2697" s="1">
        <f t="shared" si="257"/>
        <v>80.850000000002296</v>
      </c>
      <c r="N2697" s="1">
        <f t="shared" si="258"/>
        <v>0.82269404300876581</v>
      </c>
      <c r="O2697" s="1">
        <f t="shared" si="259"/>
        <v>-9.0272681840727884E-2</v>
      </c>
      <c r="P2697" s="1">
        <f t="shared" si="260"/>
        <v>4.6554977435036848</v>
      </c>
      <c r="R2697" s="3">
        <f t="shared" si="255"/>
        <v>-8.5290829043745353E-2</v>
      </c>
      <c r="S2697" s="3">
        <f t="shared" si="256"/>
        <v>-1.4975731950328941</v>
      </c>
    </row>
    <row r="2698" spans="6:19" x14ac:dyDescent="0.2">
      <c r="F2698" s="3"/>
      <c r="G2698" s="3"/>
      <c r="H2698" s="3"/>
      <c r="M2698" s="1">
        <f t="shared" si="257"/>
        <v>80.880000000002298</v>
      </c>
      <c r="N2698" s="1">
        <f t="shared" si="258"/>
        <v>0.86103283180311907</v>
      </c>
      <c r="O2698" s="1">
        <f t="shared" si="259"/>
        <v>-6.4441696886634314E-2</v>
      </c>
      <c r="P2698" s="1">
        <f t="shared" si="260"/>
        <v>4.653564492597086</v>
      </c>
      <c r="R2698" s="3">
        <f t="shared" si="255"/>
        <v>-8.8185852591860431E-2</v>
      </c>
      <c r="S2698" s="3">
        <f t="shared" si="256"/>
        <v>-1.4974055080046442</v>
      </c>
    </row>
    <row r="2699" spans="6:19" x14ac:dyDescent="0.2">
      <c r="F2699" s="3"/>
      <c r="G2699" s="3"/>
      <c r="H2699" s="3"/>
      <c r="M2699" s="1">
        <f t="shared" si="257"/>
        <v>80.910000000002299</v>
      </c>
      <c r="N2699" s="1">
        <f t="shared" si="258"/>
        <v>0.88765827863840141</v>
      </c>
      <c r="O2699" s="1">
        <f t="shared" si="259"/>
        <v>-3.7811948527482278E-2</v>
      </c>
      <c r="P2699" s="1">
        <f t="shared" si="260"/>
        <v>4.6524301341412615</v>
      </c>
      <c r="R2699" s="3">
        <f t="shared" si="255"/>
        <v>-8.9884390089971317E-2</v>
      </c>
      <c r="S2699" s="3">
        <f t="shared" si="256"/>
        <v>-1.4973045102510558</v>
      </c>
    </row>
    <row r="2700" spans="6:19" x14ac:dyDescent="0.2">
      <c r="F2700" s="3"/>
      <c r="G2700" s="3"/>
      <c r="H2700" s="3"/>
      <c r="M2700" s="1">
        <f t="shared" si="257"/>
        <v>80.9400000000023</v>
      </c>
      <c r="N2700" s="1">
        <f t="shared" si="258"/>
        <v>0.90224697626718664</v>
      </c>
      <c r="O2700" s="1">
        <f t="shared" si="259"/>
        <v>-1.074453923946668E-2</v>
      </c>
      <c r="P2700" s="1">
        <f t="shared" si="260"/>
        <v>4.6521077979640779</v>
      </c>
      <c r="R2700" s="3">
        <f t="shared" si="255"/>
        <v>-9.0367020824006217E-2</v>
      </c>
      <c r="S2700" s="3">
        <f t="shared" si="256"/>
        <v>-1.4972754594754412</v>
      </c>
    </row>
    <row r="2701" spans="6:19" x14ac:dyDescent="0.2">
      <c r="F2701" s="3"/>
      <c r="G2701" s="3"/>
      <c r="H2701" s="3"/>
      <c r="M2701" s="1">
        <f t="shared" si="257"/>
        <v>80.970000000002301</v>
      </c>
      <c r="N2701" s="1">
        <f t="shared" si="258"/>
        <v>0.90463721677161402</v>
      </c>
      <c r="O2701" s="1">
        <f t="shared" si="259"/>
        <v>1.639457726368174E-2</v>
      </c>
      <c r="P2701" s="1">
        <f t="shared" si="260"/>
        <v>4.6525996352819883</v>
      </c>
      <c r="R2701" s="3">
        <f t="shared" si="255"/>
        <v>-8.9630593977465825E-2</v>
      </c>
      <c r="S2701" s="3">
        <f t="shared" si="256"/>
        <v>-1.4973197242483807</v>
      </c>
    </row>
    <row r="2702" spans="6:19" x14ac:dyDescent="0.2">
      <c r="F2702" s="3"/>
      <c r="G2702" s="3"/>
      <c r="H2702" s="3"/>
      <c r="M2702" s="1">
        <f t="shared" si="257"/>
        <v>81.000000000002302</v>
      </c>
      <c r="N2702" s="1">
        <f t="shared" si="258"/>
        <v>0.89483042782092692</v>
      </c>
      <c r="O2702" s="1">
        <f t="shared" si="259"/>
        <v>4.3239490098309546E-2</v>
      </c>
      <c r="P2702" s="1">
        <f t="shared" si="260"/>
        <v>4.6538968199849373</v>
      </c>
      <c r="R2702" s="3">
        <f t="shared" si="255"/>
        <v>-8.7688218870302412E-2</v>
      </c>
      <c r="S2702" s="3">
        <f t="shared" si="256"/>
        <v>-1.497434731890293</v>
      </c>
    </row>
    <row r="2703" spans="6:19" x14ac:dyDescent="0.2">
      <c r="F2703" s="3"/>
      <c r="G2703" s="3"/>
      <c r="H2703" s="3"/>
      <c r="M2703" s="1">
        <f t="shared" si="257"/>
        <v>81.030000000002303</v>
      </c>
      <c r="N2703" s="1">
        <f t="shared" si="258"/>
        <v>0.87299063459417625</v>
      </c>
      <c r="O2703" s="1">
        <f t="shared" si="259"/>
        <v>6.9429209136134831E-2</v>
      </c>
      <c r="P2703" s="1">
        <f t="shared" si="260"/>
        <v>4.6559796962590214</v>
      </c>
      <c r="R2703" s="3">
        <f t="shared" si="255"/>
        <v>-8.4569059638411617E-2</v>
      </c>
      <c r="S2703" s="3">
        <f t="shared" si="256"/>
        <v>-1.4976141272543722</v>
      </c>
    </row>
    <row r="2704" spans="6:19" x14ac:dyDescent="0.2">
      <c r="F2704" s="3"/>
      <c r="G2704" s="3"/>
      <c r="H2704" s="3"/>
      <c r="M2704" s="1">
        <f t="shared" si="257"/>
        <v>81.060000000002304</v>
      </c>
      <c r="N2704" s="1">
        <f t="shared" si="258"/>
        <v>0.83944196756186407</v>
      </c>
      <c r="O2704" s="1">
        <f t="shared" si="259"/>
        <v>9.4612468162990751E-2</v>
      </c>
      <c r="P2704" s="1">
        <f t="shared" si="260"/>
        <v>4.6588180703039113</v>
      </c>
      <c r="R2704" s="3">
        <f t="shared" si="255"/>
        <v>-8.0317935618531913E-2</v>
      </c>
      <c r="S2704" s="3">
        <f t="shared" si="256"/>
        <v>-1.4978481328953137</v>
      </c>
    </row>
    <row r="2705" spans="6:19" x14ac:dyDescent="0.2">
      <c r="F2705" s="3"/>
      <c r="G2705" s="3"/>
      <c r="H2705" s="3"/>
      <c r="M2705" s="1">
        <f t="shared" si="257"/>
        <v>81.090000000002306</v>
      </c>
      <c r="N2705" s="1">
        <f t="shared" si="258"/>
        <v>0.79466423405065001</v>
      </c>
      <c r="O2705" s="1">
        <f t="shared" si="259"/>
        <v>0.11845239518451026</v>
      </c>
      <c r="P2705" s="1">
        <f t="shared" si="260"/>
        <v>4.6623716421594468</v>
      </c>
      <c r="R2705" s="3">
        <f t="shared" si="255"/>
        <v>-7.4994728730212346E-2</v>
      </c>
      <c r="S2705" s="3">
        <f t="shared" si="256"/>
        <v>-1.4981240905421291</v>
      </c>
    </row>
    <row r="2706" spans="6:19" x14ac:dyDescent="0.2">
      <c r="F2706" s="3"/>
      <c r="G2706" s="3"/>
      <c r="H2706" s="3"/>
      <c r="M2706" s="1">
        <f t="shared" si="257"/>
        <v>81.120000000002307</v>
      </c>
      <c r="N2706" s="1">
        <f t="shared" si="258"/>
        <v>0.73928657173551737</v>
      </c>
      <c r="O2706" s="1">
        <f t="shared" si="259"/>
        <v>0.14063099233657578</v>
      </c>
      <c r="P2706" s="1">
        <f t="shared" si="260"/>
        <v>4.666590571929544</v>
      </c>
      <c r="R2706" s="3">
        <f t="shared" si="255"/>
        <v>-6.8673599726988083E-2</v>
      </c>
      <c r="S2706" s="3">
        <f t="shared" si="256"/>
        <v>-1.498427154285632</v>
      </c>
    </row>
    <row r="2707" spans="6:19" x14ac:dyDescent="0.2">
      <c r="F2707" s="3"/>
      <c r="G2707" s="3"/>
      <c r="H2707" s="3"/>
      <c r="M2707" s="1">
        <f t="shared" si="257"/>
        <v>81.150000000002308</v>
      </c>
      <c r="N2707" s="1">
        <f t="shared" si="258"/>
        <v>0.67407920795958909</v>
      </c>
      <c r="O2707" s="1">
        <f t="shared" si="259"/>
        <v>0.16085336857536345</v>
      </c>
      <c r="P2707" s="1">
        <f t="shared" si="260"/>
        <v>4.6714161729868051</v>
      </c>
      <c r="R2707" s="3">
        <f t="shared" si="255"/>
        <v>-6.1442016550516253E-2</v>
      </c>
      <c r="S2707" s="3">
        <f t="shared" si="256"/>
        <v>-1.4987410979225886</v>
      </c>
    </row>
    <row r="2708" spans="6:19" x14ac:dyDescent="0.2">
      <c r="F2708" s="3"/>
      <c r="G2708" s="3"/>
      <c r="H2708" s="3"/>
      <c r="M2708" s="1">
        <f t="shared" si="257"/>
        <v>81.180000000002309</v>
      </c>
      <c r="N2708" s="1">
        <f t="shared" si="258"/>
        <v>0.59994336233337986</v>
      </c>
      <c r="O2708" s="1">
        <f t="shared" si="259"/>
        <v>0.17885166944536485</v>
      </c>
      <c r="P2708" s="1">
        <f t="shared" si="260"/>
        <v>4.6767817230701665</v>
      </c>
      <c r="R2708" s="3">
        <f t="shared" si="255"/>
        <v>-5.3399600283622964E-2</v>
      </c>
      <c r="S2708" s="3">
        <f t="shared" si="256"/>
        <v>-1.4990491928851264</v>
      </c>
    </row>
    <row r="2709" spans="6:19" x14ac:dyDescent="0.2">
      <c r="F2709" s="3"/>
      <c r="G2709" s="3"/>
      <c r="H2709" s="3"/>
      <c r="M2709" s="1">
        <f t="shared" si="257"/>
        <v>81.21000000000231</v>
      </c>
      <c r="N2709" s="1">
        <f t="shared" si="258"/>
        <v>0.51789935258614672</v>
      </c>
      <c r="O2709" s="1">
        <f t="shared" si="259"/>
        <v>0.19438865002294925</v>
      </c>
      <c r="P2709" s="1">
        <f t="shared" si="260"/>
        <v>4.6826133825708549</v>
      </c>
      <c r="R2709" s="3">
        <f t="shared" si="255"/>
        <v>-4.465679735458758E-2</v>
      </c>
      <c r="S2709" s="3">
        <f t="shared" si="256"/>
        <v>-1.4993351094568657</v>
      </c>
    </row>
    <row r="2710" spans="6:19" x14ac:dyDescent="0.2">
      <c r="F2710" s="3"/>
      <c r="G2710" s="3"/>
      <c r="H2710" s="3"/>
      <c r="M2710" s="1">
        <f t="shared" si="257"/>
        <v>81.240000000002311</v>
      </c>
      <c r="N2710" s="1">
        <f t="shared" si="258"/>
        <v>0.4290729950438103</v>
      </c>
      <c r="O2710" s="1">
        <f t="shared" si="259"/>
        <v>0.20726083987426355</v>
      </c>
      <c r="P2710" s="1">
        <f t="shared" si="260"/>
        <v>4.6888312077670831</v>
      </c>
      <c r="R2710" s="3">
        <f t="shared" si="255"/>
        <v>-3.5333390560782746E-2</v>
      </c>
      <c r="S2710" s="3">
        <f t="shared" si="256"/>
        <v>-1.4995837927610045</v>
      </c>
    </row>
    <row r="2711" spans="6:19" x14ac:dyDescent="0.2">
      <c r="F2711" s="3"/>
      <c r="G2711" s="3"/>
      <c r="H2711" s="3"/>
      <c r="M2711" s="1">
        <f t="shared" si="257"/>
        <v>81.270000000002312</v>
      </c>
      <c r="N2711" s="1">
        <f t="shared" si="258"/>
        <v>0.33468043001914366</v>
      </c>
      <c r="O2711" s="1">
        <f t="shared" si="259"/>
        <v>0.21730125277483786</v>
      </c>
      <c r="P2711" s="1">
        <f t="shared" si="260"/>
        <v>4.695350245350328</v>
      </c>
      <c r="R2711" s="3">
        <f t="shared" si="255"/>
        <v>-2.5556865904530685E-2</v>
      </c>
      <c r="S2711" s="3">
        <f t="shared" si="256"/>
        <v>-1.4997822663990723</v>
      </c>
    </row>
    <row r="2712" spans="6:19" x14ac:dyDescent="0.2">
      <c r="F2712" s="3"/>
      <c r="G2712" s="3"/>
      <c r="H2712" s="3"/>
      <c r="M2712" s="1">
        <f t="shared" si="257"/>
        <v>81.300000000002314</v>
      </c>
      <c r="N2712" s="1">
        <f t="shared" si="258"/>
        <v>0.23601154629557144</v>
      </c>
      <c r="O2712" s="1">
        <f t="shared" si="259"/>
        <v>0.22438159916370501</v>
      </c>
      <c r="P2712" s="1">
        <f t="shared" si="260"/>
        <v>4.7020816933252387</v>
      </c>
      <c r="R2712" s="3">
        <f t="shared" si="255"/>
        <v>-1.5460656828657507E-2</v>
      </c>
      <c r="S2712" s="3">
        <f t="shared" si="256"/>
        <v>-1.4999203205805389</v>
      </c>
    </row>
    <row r="2713" spans="6:19" x14ac:dyDescent="0.2">
      <c r="F2713" s="3"/>
      <c r="G2713" s="3"/>
      <c r="H2713" s="3"/>
      <c r="M2713" s="1">
        <f t="shared" si="257"/>
        <v>81.330000000002315</v>
      </c>
      <c r="N2713" s="1">
        <f t="shared" si="258"/>
        <v>0.13441222436184161</v>
      </c>
      <c r="O2713" s="1">
        <f t="shared" si="259"/>
        <v>0.22841396589456026</v>
      </c>
      <c r="P2713" s="1">
        <f t="shared" si="260"/>
        <v>4.7089341123020754</v>
      </c>
      <c r="R2713" s="3">
        <f t="shared" si="255"/>
        <v>-5.1822918145035214E-3</v>
      </c>
      <c r="S2713" s="3">
        <f t="shared" si="256"/>
        <v>-1.4999910479238032</v>
      </c>
    </row>
    <row r="2714" spans="6:19" x14ac:dyDescent="0.2">
      <c r="F2714" s="3"/>
      <c r="G2714" s="3"/>
      <c r="H2714" s="3"/>
      <c r="M2714" s="1">
        <f t="shared" si="257"/>
        <v>81.360000000002316</v>
      </c>
      <c r="N2714" s="1">
        <f t="shared" si="258"/>
        <v>3.1265661214524794E-2</v>
      </c>
      <c r="O2714" s="1">
        <f t="shared" si="259"/>
        <v>0.22935193573099599</v>
      </c>
      <c r="P2714" s="1">
        <f t="shared" si="260"/>
        <v>4.7158146703740051</v>
      </c>
      <c r="R2714" s="3">
        <f t="shared" si="255"/>
        <v>5.1385249335594461E-3</v>
      </c>
      <c r="S2714" s="3">
        <f t="shared" si="256"/>
        <v>-1.4999911984946803</v>
      </c>
    </row>
    <row r="2715" spans="6:19" x14ac:dyDescent="0.2">
      <c r="F2715" s="3"/>
      <c r="G2715" s="3"/>
      <c r="H2715" s="3"/>
      <c r="M2715" s="1">
        <f t="shared" si="257"/>
        <v>81.390000000002317</v>
      </c>
      <c r="N2715" s="1">
        <f t="shared" si="258"/>
        <v>-7.2026923551384098E-2</v>
      </c>
      <c r="O2715" s="1">
        <f t="shared" si="259"/>
        <v>0.22719112802445446</v>
      </c>
      <c r="P2715" s="1">
        <f t="shared" si="260"/>
        <v>4.7226304042147387</v>
      </c>
      <c r="R2715" s="3">
        <f t="shared" si="255"/>
        <v>1.5361867199035454E-2</v>
      </c>
      <c r="S2715" s="3">
        <f t="shared" si="256"/>
        <v>-1.4999213356160246</v>
      </c>
    </row>
    <row r="2716" spans="6:19" x14ac:dyDescent="0.2">
      <c r="F2716" s="3"/>
      <c r="G2716" s="3"/>
      <c r="H2716" s="3"/>
      <c r="M2716" s="1">
        <f t="shared" si="257"/>
        <v>81.420000000002318</v>
      </c>
      <c r="N2716" s="1">
        <f t="shared" si="258"/>
        <v>-0.17406587351255542</v>
      </c>
      <c r="O2716" s="1">
        <f t="shared" si="259"/>
        <v>0.22196915181907781</v>
      </c>
      <c r="P2716" s="1">
        <f t="shared" si="260"/>
        <v>4.7292894787693109</v>
      </c>
      <c r="R2716" s="3">
        <f t="shared" si="255"/>
        <v>2.5349540785155486E-2</v>
      </c>
      <c r="S2716" s="3">
        <f t="shared" si="256"/>
        <v>-1.4997857849646334</v>
      </c>
    </row>
    <row r="2717" spans="6:19" x14ac:dyDescent="0.2">
      <c r="F2717" s="3"/>
      <c r="G2717" s="3"/>
      <c r="H2717" s="3"/>
      <c r="M2717" s="1">
        <f t="shared" si="257"/>
        <v>81.450000000002319</v>
      </c>
      <c r="N2717" s="1">
        <f t="shared" si="258"/>
        <v>-0.2734726315152719</v>
      </c>
      <c r="O2717" s="1">
        <f t="shared" si="259"/>
        <v>0.21376497287361965</v>
      </c>
      <c r="P2717" s="1">
        <f t="shared" si="260"/>
        <v>4.7357024279555198</v>
      </c>
      <c r="R2717" s="3">
        <f t="shared" si="255"/>
        <v>3.4967003629507193E-2</v>
      </c>
      <c r="S2717" s="3">
        <f t="shared" si="256"/>
        <v>-1.4995923808345966</v>
      </c>
    </row>
    <row r="2718" spans="6:19" x14ac:dyDescent="0.2">
      <c r="F2718" s="3"/>
      <c r="G2718" s="3"/>
      <c r="H2718" s="3"/>
      <c r="M2718" s="1">
        <f t="shared" si="257"/>
        <v>81.48000000000232</v>
      </c>
      <c r="N2718" s="1">
        <f t="shared" si="258"/>
        <v>-0.36890888385369769</v>
      </c>
      <c r="O2718" s="1">
        <f t="shared" si="259"/>
        <v>0.20269770635800871</v>
      </c>
      <c r="P2718" s="1">
        <f t="shared" si="260"/>
        <v>4.7417833591462601</v>
      </c>
      <c r="R2718" s="3">
        <f t="shared" si="255"/>
        <v>4.4085219014036885E-2</v>
      </c>
      <c r="S2718" s="3">
        <f t="shared" si="256"/>
        <v>-1.4993520245307586</v>
      </c>
    </row>
    <row r="2719" spans="6:19" x14ac:dyDescent="0.2">
      <c r="F2719" s="3"/>
      <c r="G2719" s="3"/>
      <c r="H2719" s="3"/>
      <c r="M2719" s="1">
        <f t="shared" si="257"/>
        <v>81.510000000002321</v>
      </c>
      <c r="N2719" s="1">
        <f t="shared" si="258"/>
        <v>-0.45909498371258967</v>
      </c>
      <c r="O2719" s="1">
        <f t="shared" si="259"/>
        <v>0.18892485684663102</v>
      </c>
      <c r="P2719" s="1">
        <f t="shared" si="260"/>
        <v>4.7474511048516588</v>
      </c>
      <c r="R2719" s="3">
        <f t="shared" si="255"/>
        <v>5.2582411434580228E-2</v>
      </c>
      <c r="S2719" s="3">
        <f t="shared" si="256"/>
        <v>-1.4990780800237606</v>
      </c>
    </row>
    <row r="2720" spans="6:19" x14ac:dyDescent="0.2">
      <c r="F2720" s="3"/>
      <c r="G2720" s="3"/>
      <c r="H2720" s="3"/>
      <c r="M2720" s="1">
        <f t="shared" si="257"/>
        <v>81.540000000002323</v>
      </c>
      <c r="N2720" s="1">
        <f t="shared" si="258"/>
        <v>-0.54282735146199901</v>
      </c>
      <c r="O2720" s="1">
        <f t="shared" si="259"/>
        <v>0.17264003630277105</v>
      </c>
      <c r="P2720" s="1">
        <f t="shared" si="260"/>
        <v>4.752630305940742</v>
      </c>
      <c r="R2720" s="3">
        <f t="shared" si="255"/>
        <v>6.0345698311786572E-2</v>
      </c>
      <c r="S2720" s="3">
        <f t="shared" si="256"/>
        <v>-1.4987856406755646</v>
      </c>
    </row>
    <row r="2721" spans="6:19" x14ac:dyDescent="0.2">
      <c r="F2721" s="3"/>
      <c r="G2721" s="3"/>
      <c r="H2721" s="3"/>
      <c r="M2721" s="1">
        <f t="shared" si="257"/>
        <v>81.570000000002324</v>
      </c>
      <c r="N2721" s="1">
        <f t="shared" si="258"/>
        <v>-0.61899458638511518</v>
      </c>
      <c r="O2721" s="1">
        <f t="shared" si="259"/>
        <v>0.1540701987112176</v>
      </c>
      <c r="P2721" s="1">
        <f t="shared" si="260"/>
        <v>4.7572524119020789</v>
      </c>
      <c r="R2721" s="3">
        <f t="shared" si="255"/>
        <v>6.7272575082337263E-2</v>
      </c>
      <c r="S2721" s="3">
        <f t="shared" si="256"/>
        <v>-1.4984907075593734</v>
      </c>
    </row>
    <row r="2722" spans="6:19" x14ac:dyDescent="0.2">
      <c r="F2722" s="3"/>
      <c r="G2722" s="3"/>
      <c r="H2722" s="3"/>
      <c r="M2722" s="1">
        <f t="shared" si="257"/>
        <v>81.600000000002325</v>
      </c>
      <c r="N2722" s="1">
        <f t="shared" si="258"/>
        <v>-0.68659206870738221</v>
      </c>
      <c r="O2722" s="1">
        <f t="shared" si="259"/>
        <v>0.13347243664999614</v>
      </c>
      <c r="P2722" s="1">
        <f t="shared" si="260"/>
        <v>4.7612565850015791</v>
      </c>
      <c r="R2722" s="3">
        <f t="shared" si="255"/>
        <v>7.3272235926024012E-2</v>
      </c>
      <c r="S2722" s="3">
        <f t="shared" si="256"/>
        <v>-1.4982093243076553</v>
      </c>
    </row>
    <row r="2723" spans="6:19" x14ac:dyDescent="0.2">
      <c r="F2723" s="3"/>
      <c r="G2723" s="3"/>
      <c r="H2723" s="3"/>
      <c r="M2723" s="1">
        <f t="shared" si="257"/>
        <v>81.630000000002326</v>
      </c>
      <c r="N2723" s="1">
        <f t="shared" si="258"/>
        <v>-0.74473487855873977</v>
      </c>
      <c r="O2723" s="1">
        <f t="shared" si="259"/>
        <v>0.11113039029323395</v>
      </c>
      <c r="P2723" s="1">
        <f t="shared" si="260"/>
        <v>4.764590496710376</v>
      </c>
      <c r="R2723" s="3">
        <f t="shared" si="255"/>
        <v>7.8266717072671285E-2</v>
      </c>
      <c r="S2723" s="3">
        <f t="shared" si="256"/>
        <v>-1.4979567153288063</v>
      </c>
    </row>
    <row r="2724" spans="6:19" x14ac:dyDescent="0.2">
      <c r="F2724" s="3"/>
      <c r="G2724" s="3"/>
      <c r="H2724" s="3"/>
      <c r="M2724" s="1">
        <f t="shared" si="257"/>
        <v>81.660000000002327</v>
      </c>
      <c r="N2724" s="1">
        <f t="shared" si="258"/>
        <v>-0.79266890585310379</v>
      </c>
      <c r="O2724" s="1">
        <f t="shared" si="259"/>
        <v>8.7350323117640835E-2</v>
      </c>
      <c r="P2724" s="1">
        <f t="shared" si="260"/>
        <v>4.7672110064039055</v>
      </c>
      <c r="R2724" s="3">
        <f t="shared" si="255"/>
        <v>8.2191853941601292E-2</v>
      </c>
      <c r="S2724" s="3">
        <f t="shared" si="256"/>
        <v>-1.4977464735881179</v>
      </c>
    </row>
    <row r="2725" spans="6:19" x14ac:dyDescent="0.2">
      <c r="F2725" s="3"/>
      <c r="G2725" s="3"/>
      <c r="H2725" s="3"/>
      <c r="M2725" s="1">
        <f t="shared" si="257"/>
        <v>81.690000000002328</v>
      </c>
      <c r="N2725" s="1">
        <f t="shared" si="258"/>
        <v>-0.82978006849660058</v>
      </c>
      <c r="O2725" s="1">
        <f t="shared" si="259"/>
        <v>6.2456921062742823E-2</v>
      </c>
      <c r="P2725" s="1">
        <f t="shared" si="260"/>
        <v>4.7690847140357882</v>
      </c>
      <c r="R2725" s="3">
        <f t="shared" si="255"/>
        <v>8.4998047018987513E-2</v>
      </c>
      <c r="S2725" s="3">
        <f t="shared" si="256"/>
        <v>-1.497589841045591</v>
      </c>
    </row>
    <row r="2726" spans="6:19" x14ac:dyDescent="0.2">
      <c r="F2726" s="3"/>
      <c r="G2726" s="3"/>
      <c r="H2726" s="3"/>
      <c r="M2726" s="1">
        <f t="shared" si="257"/>
        <v>81.720000000002329</v>
      </c>
      <c r="N2726" s="1">
        <f t="shared" si="258"/>
        <v>-0.85560159308552197</v>
      </c>
      <c r="O2726" s="1">
        <f t="shared" si="259"/>
        <v>3.6788873270177165E-2</v>
      </c>
      <c r="P2726" s="1">
        <f t="shared" si="260"/>
        <v>4.7701883802338934</v>
      </c>
      <c r="R2726" s="3">
        <f t="shared" si="255"/>
        <v>8.6650834202461072E-2</v>
      </c>
      <c r="S2726" s="3">
        <f t="shared" si="256"/>
        <v>-1.4974951195019026</v>
      </c>
    </row>
    <row r="2727" spans="6:19" x14ac:dyDescent="0.2">
      <c r="F2727" s="3"/>
      <c r="G2727" s="3"/>
      <c r="H2727" s="3"/>
      <c r="M2727" s="1">
        <f t="shared" si="257"/>
        <v>81.750000000002331</v>
      </c>
      <c r="N2727" s="1">
        <f t="shared" si="258"/>
        <v>-0.86981934061892663</v>
      </c>
      <c r="O2727" s="1">
        <f t="shared" si="259"/>
        <v>1.0694293051609367E-2</v>
      </c>
      <c r="P2727" s="1">
        <f t="shared" si="260"/>
        <v>4.770509209025442</v>
      </c>
      <c r="R2727" s="3">
        <f t="shared" si="255"/>
        <v>8.7131269284225377E-2</v>
      </c>
      <c r="S2727" s="3">
        <f t="shared" si="256"/>
        <v>-1.4974672423505364</v>
      </c>
    </row>
    <row r="2728" spans="6:19" x14ac:dyDescent="0.2">
      <c r="F2728" s="3"/>
      <c r="G2728" s="3"/>
      <c r="H2728" s="3"/>
      <c r="M2728" s="1">
        <f t="shared" si="257"/>
        <v>81.780000000002332</v>
      </c>
      <c r="N2728" s="1">
        <f t="shared" si="258"/>
        <v>-0.87227517921689857</v>
      </c>
      <c r="O2728" s="1">
        <f t="shared" si="259"/>
        <v>-1.5473962324897589E-2</v>
      </c>
      <c r="P2728" s="1">
        <f t="shared" si="260"/>
        <v>4.7700449901556947</v>
      </c>
      <c r="R2728" s="3">
        <f t="shared" si="255"/>
        <v>8.6436107370107901E-2</v>
      </c>
      <c r="S2728" s="3">
        <f t="shared" si="256"/>
        <v>-1.4975075289769675</v>
      </c>
    </row>
    <row r="2729" spans="6:19" x14ac:dyDescent="0.2">
      <c r="F2729" s="3"/>
      <c r="G2729" s="3"/>
      <c r="H2729" s="3"/>
      <c r="M2729" s="1">
        <f t="shared" si="257"/>
        <v>81.810000000002333</v>
      </c>
      <c r="N2729" s="1">
        <f t="shared" si="258"/>
        <v>-0.86296841709183814</v>
      </c>
      <c r="O2729" s="1">
        <f t="shared" si="259"/>
        <v>-4.1363014837652728E-2</v>
      </c>
      <c r="P2729" s="1">
        <f t="shared" si="260"/>
        <v>4.7688040997105654</v>
      </c>
      <c r="R2729" s="3">
        <f t="shared" si="255"/>
        <v>8.4577798515237321E-2</v>
      </c>
      <c r="S2729" s="3">
        <f t="shared" si="256"/>
        <v>-1.4976136337514812</v>
      </c>
    </row>
    <row r="2730" spans="6:19" x14ac:dyDescent="0.2">
      <c r="F2730" s="3"/>
      <c r="G2730" s="3"/>
      <c r="H2730" s="3"/>
      <c r="M2730" s="1">
        <f t="shared" si="257"/>
        <v>81.840000000002334</v>
      </c>
      <c r="N2730" s="1">
        <f t="shared" si="258"/>
        <v>-0.8420553138169844</v>
      </c>
      <c r="O2730" s="1">
        <f t="shared" si="259"/>
        <v>-6.6624674252162258E-2</v>
      </c>
      <c r="P2730" s="1">
        <f t="shared" si="260"/>
        <v>4.7668053594830004</v>
      </c>
      <c r="R2730" s="3">
        <f t="shared" si="255"/>
        <v>8.1584290950644997E-2</v>
      </c>
      <c r="S2730" s="3">
        <f t="shared" si="256"/>
        <v>-1.4977796912330199</v>
      </c>
    </row>
    <row r="2731" spans="6:19" x14ac:dyDescent="0.2">
      <c r="F2731" s="3"/>
      <c r="G2731" s="3"/>
      <c r="H2731" s="3"/>
      <c r="M2731" s="1">
        <f t="shared" si="257"/>
        <v>81.870000000002335</v>
      </c>
      <c r="N2731" s="1">
        <f t="shared" si="258"/>
        <v>-0.80984668882375543</v>
      </c>
      <c r="O2731" s="1">
        <f t="shared" si="259"/>
        <v>-9.0920074916874927E-2</v>
      </c>
      <c r="P2731" s="1">
        <f t="shared" si="260"/>
        <v>4.7640777572354942</v>
      </c>
      <c r="R2731" s="3">
        <f t="shared" si="255"/>
        <v>7.7498645278483019E-2</v>
      </c>
      <c r="S2731" s="3">
        <f t="shared" si="256"/>
        <v>-1.4979966488547296</v>
      </c>
    </row>
    <row r="2732" spans="6:19" x14ac:dyDescent="0.2">
      <c r="F2732" s="3"/>
      <c r="G2732" s="3"/>
      <c r="H2732" s="3"/>
      <c r="M2732" s="1">
        <f t="shared" si="257"/>
        <v>81.900000000002336</v>
      </c>
      <c r="N2732" s="1">
        <f t="shared" si="258"/>
        <v>-0.76680364604231155</v>
      </c>
      <c r="O2732" s="1">
        <f t="shared" si="259"/>
        <v>-0.11392418429814427</v>
      </c>
      <c r="P2732" s="1">
        <f t="shared" si="260"/>
        <v>4.7606600317065499</v>
      </c>
      <c r="R2732" s="3">
        <f t="shared" si="255"/>
        <v>7.2378461232067579E-2</v>
      </c>
      <c r="S2732" s="3">
        <f t="shared" si="256"/>
        <v>-1.4982527685106002</v>
      </c>
    </row>
    <row r="2733" spans="6:19" x14ac:dyDescent="0.2">
      <c r="F2733" s="3"/>
      <c r="G2733" s="3"/>
      <c r="H2733" s="3"/>
      <c r="M2733" s="1">
        <f t="shared" si="257"/>
        <v>81.930000000002337</v>
      </c>
      <c r="N2733" s="1">
        <f t="shared" si="258"/>
        <v>-0.7135314357338427</v>
      </c>
      <c r="O2733" s="1">
        <f t="shared" si="259"/>
        <v>-0.13533012737015954</v>
      </c>
      <c r="P2733" s="1">
        <f t="shared" si="260"/>
        <v>4.7566001278854451</v>
      </c>
      <c r="R2733" s="3">
        <f t="shared" si="255"/>
        <v>6.6295119302654609E-2</v>
      </c>
      <c r="S2733" s="3">
        <f t="shared" si="256"/>
        <v>-1.4985342695970107</v>
      </c>
    </row>
    <row r="2734" spans="6:19" x14ac:dyDescent="0.2">
      <c r="F2734" s="3"/>
      <c r="G2734" s="3"/>
      <c r="H2734" s="3"/>
      <c r="M2734" s="1">
        <f t="shared" si="257"/>
        <v>81.960000000002339</v>
      </c>
      <c r="N2734" s="1">
        <f t="shared" si="258"/>
        <v>-0.65077148156323172</v>
      </c>
      <c r="O2734" s="1">
        <f t="shared" si="259"/>
        <v>-0.15485327181705649</v>
      </c>
      <c r="P2734" s="1">
        <f t="shared" si="260"/>
        <v>4.7519545297309334</v>
      </c>
      <c r="R2734" s="3">
        <f t="shared" si="255"/>
        <v>5.933284093016538E-2</v>
      </c>
      <c r="S2734" s="3">
        <f t="shared" si="256"/>
        <v>-1.4988260786319256</v>
      </c>
    </row>
    <row r="2735" spans="6:19" x14ac:dyDescent="0.2">
      <c r="F2735" s="3"/>
      <c r="G2735" s="3"/>
      <c r="H2735" s="3"/>
      <c r="M2735" s="1">
        <f t="shared" si="257"/>
        <v>81.99000000000234</v>
      </c>
      <c r="N2735" s="1">
        <f t="shared" si="258"/>
        <v>-0.57939161483811863</v>
      </c>
      <c r="O2735" s="1">
        <f t="shared" si="259"/>
        <v>-0.17223502026220006</v>
      </c>
      <c r="P2735" s="1">
        <f t="shared" si="260"/>
        <v>4.7467874791230678</v>
      </c>
      <c r="R2735" s="3">
        <f t="shared" si="255"/>
        <v>5.1587573145906659E-2</v>
      </c>
      <c r="S2735" s="3">
        <f t="shared" si="256"/>
        <v>-1.4991126449659864</v>
      </c>
    </row>
    <row r="2736" spans="6:19" x14ac:dyDescent="0.2">
      <c r="F2736" s="3"/>
      <c r="G2736" s="3"/>
      <c r="H2736" s="3"/>
      <c r="M2736" s="1">
        <f t="shared" si="257"/>
        <v>82.020000000002341</v>
      </c>
      <c r="N2736" s="1">
        <f t="shared" si="258"/>
        <v>-0.5003745796354685</v>
      </c>
      <c r="O2736" s="1">
        <f t="shared" si="259"/>
        <v>-0.1872462576512641</v>
      </c>
      <c r="P2736" s="1">
        <f t="shared" si="260"/>
        <v>4.7411700913935295</v>
      </c>
      <c r="R2736" s="3">
        <f t="shared" si="255"/>
        <v>4.3165706534871506E-2</v>
      </c>
      <c r="S2736" s="3">
        <f t="shared" si="256"/>
        <v>-1.4993787786211146</v>
      </c>
    </row>
    <row r="2737" spans="6:19" x14ac:dyDescent="0.2">
      <c r="F2737" s="3"/>
      <c r="G2737" s="3"/>
      <c r="H2737" s="3"/>
      <c r="M2737" s="1">
        <f t="shared" si="257"/>
        <v>82.050000000002342</v>
      </c>
      <c r="N2737" s="1">
        <f t="shared" si="258"/>
        <v>-0.4148049021601013</v>
      </c>
      <c r="O2737" s="1">
        <f t="shared" si="259"/>
        <v>-0.19969040471606714</v>
      </c>
      <c r="P2737" s="1">
        <f t="shared" si="260"/>
        <v>4.7351793792520471</v>
      </c>
      <c r="R2737" s="3">
        <f t="shared" si="255"/>
        <v>3.4182639031603027E-2</v>
      </c>
      <c r="S2737" s="3">
        <f t="shared" si="256"/>
        <v>-1.4996104651504787</v>
      </c>
    </row>
    <row r="2738" spans="6:19" x14ac:dyDescent="0.2">
      <c r="F2738" s="3"/>
      <c r="G2738" s="3"/>
      <c r="H2738" s="3"/>
      <c r="M2738" s="1">
        <f t="shared" si="257"/>
        <v>82.080000000002343</v>
      </c>
      <c r="N2738" s="1">
        <f t="shared" si="258"/>
        <v>-0.32385425389158418</v>
      </c>
      <c r="O2738" s="1">
        <f t="shared" si="259"/>
        <v>-0.20940603233281466</v>
      </c>
      <c r="P2738" s="1">
        <f t="shared" si="260"/>
        <v>4.7288971982820627</v>
      </c>
      <c r="R2738" s="3">
        <f t="shared" si="255"/>
        <v>2.4761202151306706E-2</v>
      </c>
      <c r="S2738" s="3">
        <f t="shared" si="256"/>
        <v>-1.4997956136980872</v>
      </c>
    </row>
    <row r="2739" spans="6:19" x14ac:dyDescent="0.2">
      <c r="F2739" s="3"/>
      <c r="G2739" s="3"/>
      <c r="H2739" s="3"/>
      <c r="M2739" s="1">
        <f t="shared" si="257"/>
        <v>82.110000000002344</v>
      </c>
      <c r="N2739" s="1">
        <f t="shared" si="258"/>
        <v>-0.22876547860311375</v>
      </c>
      <c r="O2739" s="1">
        <f t="shared" si="259"/>
        <v>-0.21626899669090807</v>
      </c>
      <c r="P2739" s="1">
        <f t="shared" si="260"/>
        <v>4.7224091283813356</v>
      </c>
      <c r="R2739" s="3">
        <f t="shared" si="255"/>
        <v>1.5029970482084959E-2</v>
      </c>
      <c r="S2739" s="3">
        <f t="shared" si="256"/>
        <v>-1.4999246981056442</v>
      </c>
    </row>
    <row r="2740" spans="6:19" x14ac:dyDescent="0.2">
      <c r="F2740" s="3"/>
      <c r="G2740" s="3"/>
      <c r="H2740" s="3"/>
      <c r="M2740" s="1">
        <f t="shared" si="257"/>
        <v>82.140000000002345</v>
      </c>
      <c r="N2740" s="1">
        <f t="shared" si="258"/>
        <v>-0.13083549511866788</v>
      </c>
      <c r="O2740" s="1">
        <f t="shared" si="259"/>
        <v>-0.22019406154446811</v>
      </c>
      <c r="P2740" s="1">
        <f t="shared" si="260"/>
        <v>4.715803306535002</v>
      </c>
      <c r="R2740" s="3">
        <f t="shared" si="255"/>
        <v>5.1214792747422194E-3</v>
      </c>
      <c r="S2740" s="3">
        <f t="shared" si="256"/>
        <v>-1.4999912567911982</v>
      </c>
    </row>
    <row r="2741" spans="6:19" x14ac:dyDescent="0.2">
      <c r="F2741" s="3"/>
      <c r="G2741" s="3"/>
      <c r="H2741" s="3"/>
      <c r="M2741" s="1">
        <f t="shared" si="257"/>
        <v>82.170000000002346</v>
      </c>
      <c r="N2741" s="1">
        <f t="shared" si="258"/>
        <v>-3.1397327208420062E-2</v>
      </c>
      <c r="O2741" s="1">
        <f t="shared" si="259"/>
        <v>-0.22113598136072071</v>
      </c>
      <c r="P2741" s="1">
        <f t="shared" si="260"/>
        <v>4.7091692270941801</v>
      </c>
      <c r="R2741" s="3">
        <f t="shared" si="255"/>
        <v>-4.8296215911253527E-3</v>
      </c>
      <c r="S2741" s="3">
        <f t="shared" si="256"/>
        <v>-1.499992224898278</v>
      </c>
    </row>
    <row r="2742" spans="6:19" x14ac:dyDescent="0.2">
      <c r="F2742" s="3"/>
      <c r="G2742" s="3"/>
      <c r="H2742" s="3"/>
      <c r="M2742" s="1">
        <f t="shared" si="257"/>
        <v>82.200000000002348</v>
      </c>
      <c r="N2742" s="1">
        <f t="shared" si="258"/>
        <v>6.8198454233718397E-2</v>
      </c>
      <c r="O2742" s="1">
        <f t="shared" si="259"/>
        <v>-0.21909002773370917</v>
      </c>
      <c r="P2742" s="1">
        <f t="shared" si="260"/>
        <v>4.7025965262621687</v>
      </c>
      <c r="R2742" s="3">
        <f t="shared" si="255"/>
        <v>-1.4688446430018398E-2</v>
      </c>
      <c r="S2742" s="3">
        <f t="shared" si="256"/>
        <v>-1.4999280814563987</v>
      </c>
    </row>
    <row r="2743" spans="6:19" x14ac:dyDescent="0.2">
      <c r="F2743" s="3"/>
      <c r="G2743" s="3"/>
      <c r="H2743" s="3"/>
      <c r="M2743" s="1">
        <f t="shared" si="257"/>
        <v>82.230000000002349</v>
      </c>
      <c r="N2743" s="1">
        <f t="shared" si="258"/>
        <v>0.16660256679621779</v>
      </c>
      <c r="O2743" s="1">
        <f t="shared" si="259"/>
        <v>-0.21409195072982262</v>
      </c>
      <c r="P2743" s="1">
        <f t="shared" si="260"/>
        <v>4.696173767740274</v>
      </c>
      <c r="R2743" s="3">
        <f t="shared" si="255"/>
        <v>-2.4321753101519024E-2</v>
      </c>
      <c r="S2743" s="3">
        <f t="shared" si="256"/>
        <v>-1.4998028044799985</v>
      </c>
    </row>
    <row r="2744" spans="6:19" x14ac:dyDescent="0.2">
      <c r="F2744" s="3"/>
      <c r="G2744" s="3"/>
      <c r="H2744" s="3"/>
      <c r="M2744" s="1">
        <f t="shared" si="257"/>
        <v>82.26000000000235</v>
      </c>
      <c r="N2744" s="1">
        <f t="shared" si="258"/>
        <v>0.26248580658087428</v>
      </c>
      <c r="O2744" s="1">
        <f t="shared" si="259"/>
        <v>-0.20621737653239638</v>
      </c>
      <c r="P2744" s="1">
        <f t="shared" si="260"/>
        <v>4.6899872464443018</v>
      </c>
      <c r="R2744" s="3">
        <f t="shared" si="255"/>
        <v>-3.35997904725353E-2</v>
      </c>
      <c r="S2744" s="3">
        <f t="shared" si="256"/>
        <v>-1.499623637477151</v>
      </c>
    </row>
    <row r="2745" spans="6:19" x14ac:dyDescent="0.2">
      <c r="F2745" s="3"/>
      <c r="G2745" s="3"/>
      <c r="H2745" s="3"/>
      <c r="M2745" s="1">
        <f t="shared" si="257"/>
        <v>82.290000000002351</v>
      </c>
      <c r="N2745" s="1">
        <f t="shared" si="258"/>
        <v>0.35455746861326864</v>
      </c>
      <c r="O2745" s="1">
        <f t="shared" si="259"/>
        <v>-0.19558065247399833</v>
      </c>
      <c r="P2745" s="1">
        <f t="shared" si="260"/>
        <v>4.6841198268700817</v>
      </c>
      <c r="R2745" s="3">
        <f t="shared" si="255"/>
        <v>-4.2398082709121002E-2</v>
      </c>
      <c r="S2745" s="3">
        <f t="shared" si="256"/>
        <v>-1.4994006811331622</v>
      </c>
    </row>
    <row r="2746" spans="6:19" x14ac:dyDescent="0.2">
      <c r="F2746" s="3"/>
      <c r="G2746" s="3"/>
      <c r="H2746" s="3"/>
      <c r="M2746" s="1">
        <f t="shared" si="257"/>
        <v>82.320000000002352</v>
      </c>
      <c r="N2746" s="1">
        <f t="shared" si="258"/>
        <v>0.4415830858138699</v>
      </c>
      <c r="O2746" s="1">
        <f t="shared" si="259"/>
        <v>-0.18233315989958224</v>
      </c>
      <c r="P2746" s="1">
        <f t="shared" si="260"/>
        <v>4.678649832073094</v>
      </c>
      <c r="R2746" s="3">
        <f t="shared" si="255"/>
        <v>-5.0599121441606151E-2</v>
      </c>
      <c r="S2746" s="3">
        <f t="shared" si="256"/>
        <v>-1.4991463333875508</v>
      </c>
    </row>
    <row r="2747" spans="6:19" x14ac:dyDescent="0.2">
      <c r="F2747" s="3"/>
      <c r="G2747" s="3"/>
      <c r="H2747" s="3"/>
      <c r="M2747" s="1">
        <f t="shared" si="257"/>
        <v>82.350000000002353</v>
      </c>
      <c r="N2747" s="1">
        <f t="shared" si="258"/>
        <v>0.52240119880702385</v>
      </c>
      <c r="O2747" s="1">
        <f t="shared" si="259"/>
        <v>-0.16666112393537152</v>
      </c>
      <c r="P2747" s="1">
        <f t="shared" si="260"/>
        <v>4.6736499983550326</v>
      </c>
      <c r="R2747" s="3">
        <f t="shared" si="255"/>
        <v>-5.8093940152892473E-2</v>
      </c>
      <c r="S2747" s="3">
        <f t="shared" si="256"/>
        <v>-1.4988746092043566</v>
      </c>
    </row>
    <row r="2748" spans="6:19" x14ac:dyDescent="0.2">
      <c r="F2748" s="3"/>
      <c r="G2748" s="3"/>
      <c r="H2748" s="3"/>
      <c r="M2748" s="1">
        <f t="shared" si="257"/>
        <v>82.380000000002354</v>
      </c>
      <c r="N2748" s="1">
        <f t="shared" si="258"/>
        <v>0.59593890268310823</v>
      </c>
      <c r="O2748" s="1">
        <f t="shared" si="259"/>
        <v>-0.14878295685487827</v>
      </c>
      <c r="P2748" s="1">
        <f t="shared" si="260"/>
        <v>4.6691865096493865</v>
      </c>
      <c r="R2748" s="3">
        <f t="shared" si="255"/>
        <v>-6.4783549133712634E-2</v>
      </c>
      <c r="S2748" s="3">
        <f t="shared" si="256"/>
        <v>-1.4986003776062649</v>
      </c>
    </row>
    <row r="2749" spans="6:19" x14ac:dyDescent="0.2">
      <c r="F2749" s="3"/>
      <c r="G2749" s="3"/>
      <c r="H2749" s="3"/>
      <c r="M2749" s="1">
        <f t="shared" si="257"/>
        <v>82.410000000002356</v>
      </c>
      <c r="N2749" s="1">
        <f t="shared" si="258"/>
        <v>0.66122595745406543</v>
      </c>
      <c r="O2749" s="1">
        <f t="shared" si="259"/>
        <v>-0.12894617813125631</v>
      </c>
      <c r="P2749" s="1">
        <f t="shared" si="260"/>
        <v>4.6653181243054487</v>
      </c>
      <c r="R2749" s="3">
        <f t="shared" si="255"/>
        <v>-7.0580213689323129E-2</v>
      </c>
      <c r="S2749" s="3">
        <f t="shared" si="256"/>
        <v>-1.4983385576816641</v>
      </c>
    </row>
    <row r="2750" spans="6:19" x14ac:dyDescent="0.2">
      <c r="F2750" s="3"/>
      <c r="G2750" s="3"/>
      <c r="H2750" s="3"/>
      <c r="M2750" s="1">
        <f t="shared" si="257"/>
        <v>82.440000000002357</v>
      </c>
      <c r="N2750" s="1">
        <f t="shared" si="258"/>
        <v>0.71740729292504435</v>
      </c>
      <c r="O2750" s="1">
        <f t="shared" si="259"/>
        <v>-0.10742395934350497</v>
      </c>
      <c r="P2750" s="1">
        <f t="shared" si="260"/>
        <v>4.6620954055251431</v>
      </c>
      <c r="R2750" s="3">
        <f t="shared" si="255"/>
        <v>-7.5408562620190536E-2</v>
      </c>
      <c r="S2750" s="3">
        <f t="shared" si="256"/>
        <v>-1.4981033170925018</v>
      </c>
    </row>
    <row r="2751" spans="6:19" x14ac:dyDescent="0.2">
      <c r="F2751" s="3"/>
      <c r="G2751" s="3"/>
      <c r="H2751" s="3"/>
      <c r="M2751" s="1">
        <f t="shared" si="257"/>
        <v>82.470000000002358</v>
      </c>
      <c r="N2751" s="1">
        <f t="shared" si="258"/>
        <v>0.76375378254282078</v>
      </c>
      <c r="O2751" s="1">
        <f t="shared" si="259"/>
        <v>-8.4511345867220353E-2</v>
      </c>
      <c r="P2751" s="1">
        <f t="shared" si="260"/>
        <v>4.6595600651491269</v>
      </c>
      <c r="R2751" s="3">
        <f t="shared" si="255"/>
        <v>-7.9206518017214955E-2</v>
      </c>
      <c r="S2751" s="3">
        <f t="shared" si="256"/>
        <v>-1.4979073160591709</v>
      </c>
    </row>
    <row r="2752" spans="6:19" x14ac:dyDescent="0.2">
      <c r="F2752" s="3"/>
      <c r="G2752" s="3"/>
      <c r="H2752" s="3"/>
      <c r="M2752" s="1">
        <f t="shared" si="257"/>
        <v>82.500000000002359</v>
      </c>
      <c r="N2752" s="1">
        <f t="shared" si="258"/>
        <v>0.79967120130019953</v>
      </c>
      <c r="O2752" s="1">
        <f t="shared" si="259"/>
        <v>-6.0521209828214365E-2</v>
      </c>
      <c r="P2752" s="1">
        <f t="shared" si="260"/>
        <v>4.6577444288542802</v>
      </c>
      <c r="R2752" s="3">
        <f t="shared" si="255"/>
        <v>-8.1926040858829291E-2</v>
      </c>
      <c r="S2752" s="3">
        <f t="shared" si="256"/>
        <v>-1.4977610369578978</v>
      </c>
    </row>
    <row r="2753" spans="6:19" x14ac:dyDescent="0.2">
      <c r="F2753" s="3"/>
      <c r="G2753" s="3"/>
      <c r="H2753" s="3"/>
      <c r="M2753" s="1">
        <f t="shared" si="257"/>
        <v>82.53000000000236</v>
      </c>
      <c r="N2753" s="1">
        <f t="shared" si="258"/>
        <v>0.82470731747283221</v>
      </c>
      <c r="O2753" s="1">
        <f t="shared" si="259"/>
        <v>-3.5779990304029397E-2</v>
      </c>
      <c r="P2753" s="1">
        <f t="shared" si="260"/>
        <v>4.6566710291451594</v>
      </c>
      <c r="R2753" s="3">
        <f t="shared" si="255"/>
        <v>-8.353368961445215E-2</v>
      </c>
      <c r="S2753" s="3">
        <f t="shared" si="256"/>
        <v>-1.4976722347360909</v>
      </c>
    </row>
    <row r="2754" spans="6:19" x14ac:dyDescent="0.2">
      <c r="F2754" s="3"/>
      <c r="G2754" s="3"/>
      <c r="H2754" s="3"/>
      <c r="M2754" s="1">
        <f t="shared" si="257"/>
        <v>82.560000000002361</v>
      </c>
      <c r="N2754" s="1">
        <f t="shared" si="258"/>
        <v>0.83855709527188416</v>
      </c>
      <c r="O2754" s="1">
        <f t="shared" si="259"/>
        <v>-1.0623277445872874E-2</v>
      </c>
      <c r="P2754" s="1">
        <f t="shared" si="260"/>
        <v>4.6563523308217833</v>
      </c>
      <c r="R2754" s="3">
        <f t="shared" ref="R2754:R2817" si="261">$B$3*COS(P2754)</f>
        <v>-8.4010990994348736E-2</v>
      </c>
      <c r="S2754" s="3">
        <f t="shared" ref="S2754:S2817" si="262">$B$3*SIN(P2754)</f>
        <v>-1.4976455366314645</v>
      </c>
    </row>
    <row r="2755" spans="6:19" x14ac:dyDescent="0.2">
      <c r="F2755" s="3"/>
      <c r="G2755" s="3"/>
      <c r="H2755" s="3"/>
      <c r="M2755" s="1">
        <f t="shared" ref="M2755:M2818" si="263">M2754+B$13</f>
        <v>82.590000000002362</v>
      </c>
      <c r="N2755" s="1">
        <f t="shared" ref="N2755:N2818" si="264">-$B$12*$B$3*COS(P2754)-B$10*O2754</f>
        <v>0.84106600491361594</v>
      </c>
      <c r="O2755" s="1">
        <f t="shared" ref="O2755:O2818" si="265">N2755*$B$13+O2754</f>
        <v>1.4608702701535605E-2</v>
      </c>
      <c r="P2755" s="1">
        <f t="shared" ref="P2755:P2818" si="266">O2755*$B$13+P2754</f>
        <v>4.6567905919028298</v>
      </c>
      <c r="R2755" s="3">
        <f t="shared" si="261"/>
        <v>-8.3354623195339678E-2</v>
      </c>
      <c r="S2755" s="3">
        <f t="shared" si="262"/>
        <v>-1.4976822115495541</v>
      </c>
    </row>
    <row r="2756" spans="6:19" x14ac:dyDescent="0.2">
      <c r="F2756" s="3"/>
      <c r="G2756" s="3"/>
      <c r="H2756" s="3"/>
      <c r="M2756" s="1">
        <f t="shared" si="263"/>
        <v>82.620000000002364</v>
      </c>
      <c r="N2756" s="1">
        <f t="shared" si="264"/>
        <v>0.83223144871025856</v>
      </c>
      <c r="O2756" s="1">
        <f t="shared" si="265"/>
        <v>3.9575646162843356E-2</v>
      </c>
      <c r="P2756" s="1">
        <f t="shared" si="266"/>
        <v>4.6579778612877147</v>
      </c>
      <c r="R2756" s="3">
        <f t="shared" si="261"/>
        <v>-8.15764126263403E-2</v>
      </c>
      <c r="S2756" s="3">
        <f t="shared" si="262"/>
        <v>-1.4977801203457792</v>
      </c>
    </row>
    <row r="2757" spans="6:19" x14ac:dyDescent="0.2">
      <c r="F2757" s="3"/>
      <c r="G2757" s="3"/>
      <c r="H2757" s="3"/>
      <c r="M2757" s="1">
        <f t="shared" si="263"/>
        <v>82.650000000002365</v>
      </c>
      <c r="N2757" s="1">
        <f t="shared" si="264"/>
        <v>0.81220231810874721</v>
      </c>
      <c r="O2757" s="1">
        <f t="shared" si="265"/>
        <v>6.3941715706105767E-2</v>
      </c>
      <c r="P2757" s="1">
        <f t="shared" si="266"/>
        <v>4.659896112758898</v>
      </c>
      <c r="R2757" s="3">
        <f t="shared" si="261"/>
        <v>-7.8703145381152015E-2</v>
      </c>
      <c r="S2757" s="3">
        <f t="shared" si="262"/>
        <v>-1.4979338486418929</v>
      </c>
    </row>
    <row r="2758" spans="6:19" x14ac:dyDescent="0.2">
      <c r="F2758" s="3"/>
      <c r="G2758" s="3"/>
      <c r="H2758" s="3"/>
      <c r="M2758" s="1">
        <f t="shared" si="263"/>
        <v>82.680000000002366</v>
      </c>
      <c r="N2758" s="1">
        <f t="shared" si="264"/>
        <v>0.78127669939797062</v>
      </c>
      <c r="O2758" s="1">
        <f t="shared" si="265"/>
        <v>8.738001668804489E-2</v>
      </c>
      <c r="P2758" s="1">
        <f t="shared" si="266"/>
        <v>4.6625175132595391</v>
      </c>
      <c r="R2758" s="3">
        <f t="shared" si="261"/>
        <v>-7.4776194923942038E-2</v>
      </c>
      <c r="S2758" s="3">
        <f t="shared" si="262"/>
        <v>-1.4981350141668464</v>
      </c>
    </row>
    <row r="2759" spans="6:19" x14ac:dyDescent="0.2">
      <c r="F2759" s="3"/>
      <c r="G2759" s="3"/>
      <c r="H2759" s="3"/>
      <c r="M2759" s="1">
        <f t="shared" si="263"/>
        <v>82.710000000002367</v>
      </c>
      <c r="N2759" s="1">
        <f t="shared" si="264"/>
        <v>0.73989774773749639</v>
      </c>
      <c r="O2759" s="1">
        <f t="shared" si="265"/>
        <v>0.10957694912016978</v>
      </c>
      <c r="P2759" s="1">
        <f t="shared" si="266"/>
        <v>4.6658048217331443</v>
      </c>
      <c r="R2759" s="3">
        <f t="shared" si="261"/>
        <v>-6.9850967836949746E-2</v>
      </c>
      <c r="S2759" s="3">
        <f t="shared" si="262"/>
        <v>-1.4983727314297473</v>
      </c>
    </row>
    <row r="2760" spans="6:19" x14ac:dyDescent="0.2">
      <c r="F2760" s="3"/>
      <c r="G2760" s="3"/>
      <c r="H2760" s="3"/>
      <c r="M2760" s="1">
        <f t="shared" si="263"/>
        <v>82.740000000002368</v>
      </c>
      <c r="N2760" s="1">
        <f t="shared" si="264"/>
        <v>0.68864775294868208</v>
      </c>
      <c r="O2760" s="1">
        <f t="shared" si="265"/>
        <v>0.13023638170863025</v>
      </c>
      <c r="P2760" s="1">
        <f t="shared" si="266"/>
        <v>4.6697119131844032</v>
      </c>
      <c r="R2760" s="3">
        <f t="shared" si="261"/>
        <v>-6.3996170292253782E-2</v>
      </c>
      <c r="S2760" s="3">
        <f t="shared" si="262"/>
        <v>-1.4986342082669557</v>
      </c>
    </row>
    <row r="2761" spans="6:19" x14ac:dyDescent="0.2">
      <c r="F2761" s="3"/>
      <c r="G2761" s="3"/>
      <c r="H2761" s="3"/>
      <c r="M2761" s="1">
        <f t="shared" si="263"/>
        <v>82.770000000002369</v>
      </c>
      <c r="N2761" s="1">
        <f t="shared" si="264"/>
        <v>0.62824042856876106</v>
      </c>
      <c r="O2761" s="1">
        <f t="shared" si="265"/>
        <v>0.14908359456569309</v>
      </c>
      <c r="P2761" s="1">
        <f t="shared" si="266"/>
        <v>4.6741844210213737</v>
      </c>
      <c r="R2761" s="3">
        <f t="shared" si="261"/>
        <v>-5.7292899329825897E-2</v>
      </c>
      <c r="S2761" s="3">
        <f t="shared" si="262"/>
        <v>-1.4989054418762988</v>
      </c>
    </row>
    <row r="2762" spans="6:19" x14ac:dyDescent="0.2">
      <c r="F2762" s="3"/>
      <c r="G2762" s="3"/>
      <c r="H2762" s="3"/>
      <c r="M2762" s="1">
        <f t="shared" si="263"/>
        <v>82.80000000000237</v>
      </c>
      <c r="N2762" s="1">
        <f t="shared" si="264"/>
        <v>0.55951146978734656</v>
      </c>
      <c r="O2762" s="1">
        <f t="shared" si="265"/>
        <v>0.16586893865931349</v>
      </c>
      <c r="P2762" s="1">
        <f t="shared" si="266"/>
        <v>4.6791604891811529</v>
      </c>
      <c r="R2762" s="3">
        <f t="shared" si="261"/>
        <v>-4.9833565146330007E-2</v>
      </c>
      <c r="S2762" s="3">
        <f t="shared" si="262"/>
        <v>-1.4991719767207519</v>
      </c>
    </row>
    <row r="2763" spans="6:19" x14ac:dyDescent="0.2">
      <c r="F2763" s="3"/>
      <c r="G2763" s="3"/>
      <c r="H2763" s="3"/>
      <c r="M2763" s="1">
        <f t="shared" si="263"/>
        <v>82.830000000002372</v>
      </c>
      <c r="N2763" s="1">
        <f t="shared" si="264"/>
        <v>0.48340744698396182</v>
      </c>
      <c r="O2763" s="1">
        <f t="shared" si="265"/>
        <v>0.18037116206883233</v>
      </c>
      <c r="P2763" s="1">
        <f t="shared" si="266"/>
        <v>4.684571624043218</v>
      </c>
      <c r="R2763" s="3">
        <f t="shared" si="261"/>
        <v>-4.1720653415869585E-2</v>
      </c>
      <c r="S2763" s="3">
        <f t="shared" si="262"/>
        <v>-1.4994196834370799</v>
      </c>
    </row>
    <row r="2764" spans="6:19" x14ac:dyDescent="0.2">
      <c r="F2764" s="3"/>
      <c r="G2764" s="3"/>
      <c r="H2764" s="3"/>
      <c r="M2764" s="1">
        <f t="shared" si="263"/>
        <v>82.860000000002373</v>
      </c>
      <c r="N2764" s="1">
        <f t="shared" si="264"/>
        <v>0.40097312957250092</v>
      </c>
      <c r="O2764" s="1">
        <f t="shared" si="265"/>
        <v>0.19240035595600735</v>
      </c>
      <c r="P2764" s="1">
        <f t="shared" si="266"/>
        <v>4.6903436347218985</v>
      </c>
      <c r="R2764" s="3">
        <f t="shared" si="261"/>
        <v>-3.3065340064846613E-2</v>
      </c>
      <c r="S2764" s="3">
        <f t="shared" si="262"/>
        <v>-1.4996355168128008</v>
      </c>
    </row>
    <row r="2765" spans="6:19" x14ac:dyDescent="0.2">
      <c r="F2765" s="3"/>
      <c r="G2765" s="3"/>
      <c r="H2765" s="3"/>
      <c r="M2765" s="1">
        <f t="shared" si="263"/>
        <v>82.890000000002374</v>
      </c>
      <c r="N2765" s="1">
        <f t="shared" si="264"/>
        <v>0.3133373686124255</v>
      </c>
      <c r="O2765" s="1">
        <f t="shared" si="265"/>
        <v>0.20180047701438011</v>
      </c>
      <c r="P2765" s="1">
        <f t="shared" si="266"/>
        <v>4.6963976490323303</v>
      </c>
      <c r="R2765" s="3">
        <f t="shared" si="261"/>
        <v>-2.398597470508982E-2</v>
      </c>
      <c r="S2765" s="3">
        <f t="shared" si="262"/>
        <v>-1.4998082120782799</v>
      </c>
    </row>
    <row r="2766" spans="6:19" x14ac:dyDescent="0.2">
      <c r="F2766" s="3"/>
      <c r="G2766" s="3"/>
      <c r="H2766" s="3"/>
      <c r="M2766" s="1">
        <f t="shared" si="263"/>
        <v>82.920000000002375</v>
      </c>
      <c r="N2766" s="1">
        <f t="shared" si="264"/>
        <v>0.22169770411960399</v>
      </c>
      <c r="O2766" s="1">
        <f t="shared" si="265"/>
        <v>0.20845140813796822</v>
      </c>
      <c r="P2766" s="1">
        <f t="shared" si="266"/>
        <v>4.7026511912764697</v>
      </c>
      <c r="R2766" s="3">
        <f t="shared" si="261"/>
        <v>-1.4606452818089533E-2</v>
      </c>
      <c r="S2766" s="3">
        <f t="shared" si="262"/>
        <v>-1.4999288821594419</v>
      </c>
    </row>
    <row r="2767" spans="6:19" x14ac:dyDescent="0.2">
      <c r="F2767" s="3"/>
      <c r="G2767" s="3"/>
      <c r="H2767" s="3"/>
      <c r="M2767" s="1">
        <f t="shared" si="263"/>
        <v>82.950000000002376</v>
      </c>
      <c r="N2767" s="1">
        <f t="shared" si="264"/>
        <v>0.1273039014484782</v>
      </c>
      <c r="O2767" s="1">
        <f t="shared" si="265"/>
        <v>0.21227052518142256</v>
      </c>
      <c r="P2767" s="1">
        <f t="shared" si="266"/>
        <v>4.7090193070319124</v>
      </c>
      <c r="R2767" s="3">
        <f t="shared" si="261"/>
        <v>-5.0545004637653655E-3</v>
      </c>
      <c r="S2767" s="3">
        <f t="shared" si="262"/>
        <v>-1.4999914839841799</v>
      </c>
    </row>
    <row r="2768" spans="6:19" x14ac:dyDescent="0.2">
      <c r="F2768" s="3"/>
      <c r="G2768" s="3"/>
      <c r="H2768" s="3"/>
      <c r="M2768" s="1">
        <f t="shared" si="263"/>
        <v>82.980000000002377</v>
      </c>
      <c r="N2768" s="1">
        <f t="shared" si="264"/>
        <v>3.144065737132562E-2</v>
      </c>
      <c r="O2768" s="1">
        <f t="shared" si="265"/>
        <v>0.21321374490256234</v>
      </c>
      <c r="P2768" s="1">
        <f t="shared" si="266"/>
        <v>4.7154157193789894</v>
      </c>
      <c r="R2768" s="3">
        <f t="shared" si="261"/>
        <v>4.5401015593508082E-3</v>
      </c>
      <c r="S2768" s="3">
        <f t="shared" si="262"/>
        <v>-1.4999931291435407</v>
      </c>
    </row>
    <row r="2769" spans="6:19" x14ac:dyDescent="0.2">
      <c r="F2769" s="3"/>
      <c r="G2769" s="3"/>
      <c r="H2769" s="3"/>
      <c r="M2769" s="1">
        <f t="shared" si="263"/>
        <v>83.010000000002378</v>
      </c>
      <c r="N2769" s="1">
        <f t="shared" si="264"/>
        <v>-6.4590252634738693E-2</v>
      </c>
      <c r="O2769" s="1">
        <f t="shared" si="265"/>
        <v>0.21127603732352018</v>
      </c>
      <c r="P2769" s="1">
        <f t="shared" si="266"/>
        <v>4.7217540004986951</v>
      </c>
      <c r="R2769" s="3">
        <f t="shared" si="261"/>
        <v>1.4047324835409707E-2</v>
      </c>
      <c r="S2769" s="3">
        <f t="shared" si="262"/>
        <v>-1.4999342227794421</v>
      </c>
    </row>
    <row r="2770" spans="6:19" x14ac:dyDescent="0.2">
      <c r="F2770" s="3"/>
      <c r="G2770" s="3"/>
      <c r="H2770" s="3"/>
      <c r="M2770" s="1">
        <f t="shared" si="263"/>
        <v>83.040000000002379</v>
      </c>
      <c r="N2770" s="1">
        <f t="shared" si="264"/>
        <v>-0.1594880917132139</v>
      </c>
      <c r="O2770" s="1">
        <f t="shared" si="265"/>
        <v>0.20649139457212376</v>
      </c>
      <c r="P2770" s="1">
        <f t="shared" si="266"/>
        <v>4.727948742335859</v>
      </c>
      <c r="R2770" s="3">
        <f t="shared" si="261"/>
        <v>2.3338701159475721E-2</v>
      </c>
      <c r="S2770" s="3">
        <f t="shared" si="262"/>
        <v>-1.4998184240194505</v>
      </c>
    </row>
    <row r="2771" spans="6:19" x14ac:dyDescent="0.2">
      <c r="F2771" s="3"/>
      <c r="G2771" s="3"/>
      <c r="H2771" s="3"/>
      <c r="M2771" s="1">
        <f t="shared" si="263"/>
        <v>83.070000000002381</v>
      </c>
      <c r="N2771" s="1">
        <f t="shared" si="264"/>
        <v>-0.25197123710624836</v>
      </c>
      <c r="O2771" s="1">
        <f t="shared" si="265"/>
        <v>0.19893225745893631</v>
      </c>
      <c r="P2771" s="1">
        <f t="shared" si="266"/>
        <v>4.7339167100596269</v>
      </c>
      <c r="R2771" s="3">
        <f t="shared" si="261"/>
        <v>3.2289100350515271E-2</v>
      </c>
      <c r="S2771" s="3">
        <f t="shared" si="262"/>
        <v>-1.4996524310647965</v>
      </c>
    </row>
    <row r="2772" spans="6:19" x14ac:dyDescent="0.2">
      <c r="F2772" s="3"/>
      <c r="G2772" s="3"/>
      <c r="H2772" s="3"/>
      <c r="M2772" s="1">
        <f t="shared" si="263"/>
        <v>83.100000000002382</v>
      </c>
      <c r="N2772" s="1">
        <f t="shared" si="264"/>
        <v>-0.34079490667645695</v>
      </c>
      <c r="O2772" s="1">
        <f t="shared" si="265"/>
        <v>0.1887084102586426</v>
      </c>
      <c r="P2772" s="1">
        <f t="shared" si="266"/>
        <v>4.7395779623673864</v>
      </c>
      <c r="R2772" s="3">
        <f t="shared" si="261"/>
        <v>4.0778448358969668E-2</v>
      </c>
      <c r="S2772" s="3">
        <f t="shared" si="262"/>
        <v>-1.4994456035980215</v>
      </c>
    </row>
    <row r="2773" spans="6:19" x14ac:dyDescent="0.2">
      <c r="F2773" s="3"/>
      <c r="G2773" s="3"/>
      <c r="H2773" s="3"/>
      <c r="M2773" s="1">
        <f t="shared" si="263"/>
        <v>83.130000000002383</v>
      </c>
      <c r="N2773" s="1">
        <f t="shared" si="264"/>
        <v>-0.42476824051297446</v>
      </c>
      <c r="O2773" s="1">
        <f t="shared" si="265"/>
        <v>0.17596536304325336</v>
      </c>
      <c r="P2773" s="1">
        <f t="shared" si="266"/>
        <v>4.7448569232586841</v>
      </c>
      <c r="R2773" s="3">
        <f t="shared" si="261"/>
        <v>4.8693358100951267E-2</v>
      </c>
      <c r="S2773" s="3">
        <f t="shared" si="262"/>
        <v>-1.4992094439660031</v>
      </c>
    </row>
    <row r="2774" spans="6:19" x14ac:dyDescent="0.2">
      <c r="F2774" s="3"/>
      <c r="G2774" s="3"/>
      <c r="H2774" s="3"/>
      <c r="M2774" s="1">
        <f t="shared" si="263"/>
        <v>83.160000000002384</v>
      </c>
      <c r="N2774" s="1">
        <f t="shared" si="264"/>
        <v>-0.50277046368340539</v>
      </c>
      <c r="O2774" s="1">
        <f t="shared" si="265"/>
        <v>0.1608822491327512</v>
      </c>
      <c r="P2774" s="1">
        <f t="shared" si="266"/>
        <v>4.7496833907326668</v>
      </c>
      <c r="R2774" s="3">
        <f t="shared" si="261"/>
        <v>5.5928648476270132E-2</v>
      </c>
      <c r="S2774" s="3">
        <f t="shared" si="262"/>
        <v>-1.4989569661199811</v>
      </c>
    </row>
    <row r="2775" spans="6:19" x14ac:dyDescent="0.2">
      <c r="F2775" s="3"/>
      <c r="G2775" s="3"/>
      <c r="H2775" s="3"/>
      <c r="M2775" s="1">
        <f t="shared" si="263"/>
        <v>83.190000000002385</v>
      </c>
      <c r="N2775" s="1">
        <f t="shared" si="264"/>
        <v>-0.57376588718464894</v>
      </c>
      <c r="O2775" s="1">
        <f t="shared" si="265"/>
        <v>0.14366927251721173</v>
      </c>
      <c r="P2775" s="1">
        <f t="shared" si="266"/>
        <v>4.7539934689081829</v>
      </c>
      <c r="R2775" s="3">
        <f t="shared" si="261"/>
        <v>6.2388730692958319E-2</v>
      </c>
      <c r="S2775" s="3">
        <f t="shared" si="262"/>
        <v>-1.4987019871483862</v>
      </c>
    </row>
    <row r="2776" spans="6:19" x14ac:dyDescent="0.2">
      <c r="F2776" s="3"/>
      <c r="G2776" s="3"/>
      <c r="H2776" s="3"/>
      <c r="M2776" s="1">
        <f t="shared" si="263"/>
        <v>83.220000000002386</v>
      </c>
      <c r="N2776" s="1">
        <f t="shared" si="264"/>
        <v>-0.63681754145613234</v>
      </c>
      <c r="O2776" s="1">
        <f t="shared" si="265"/>
        <v>0.12456474627352776</v>
      </c>
      <c r="P2776" s="1">
        <f t="shared" si="266"/>
        <v>4.7577304112963885</v>
      </c>
      <c r="R2776" s="3">
        <f t="shared" si="261"/>
        <v>6.798884502031903E-2</v>
      </c>
      <c r="S2776" s="3">
        <f t="shared" si="262"/>
        <v>-1.4984583801203164</v>
      </c>
    </row>
    <row r="2777" spans="6:19" x14ac:dyDescent="0.2">
      <c r="F2777" s="3"/>
      <c r="G2777" s="3"/>
      <c r="H2777" s="3"/>
      <c r="M2777" s="1">
        <f t="shared" si="263"/>
        <v>83.250000000002387</v>
      </c>
      <c r="N2777" s="1">
        <f t="shared" si="264"/>
        <v>-0.69109927736780785</v>
      </c>
      <c r="O2777" s="1">
        <f t="shared" si="265"/>
        <v>0.10383176795249352</v>
      </c>
      <c r="P2777" s="1">
        <f t="shared" si="266"/>
        <v>4.7608453643349637</v>
      </c>
      <c r="R2777" s="3">
        <f t="shared" si="261"/>
        <v>7.2656135111059977E-2</v>
      </c>
      <c r="S2777" s="3">
        <f t="shared" si="262"/>
        <v>-1.498239328689086</v>
      </c>
    </row>
    <row r="2778" spans="6:19" x14ac:dyDescent="0.2">
      <c r="F2778" s="3"/>
      <c r="G2778" s="3"/>
      <c r="H2778" s="3"/>
      <c r="M2778" s="1">
        <f t="shared" si="263"/>
        <v>83.280000000002389</v>
      </c>
      <c r="N2778" s="1">
        <f t="shared" si="264"/>
        <v>-0.7359062102263243</v>
      </c>
      <c r="O2778" s="1">
        <f t="shared" si="265"/>
        <v>8.1754581645703789E-2</v>
      </c>
      <c r="P2778" s="1">
        <f t="shared" si="266"/>
        <v>4.7632980017843352</v>
      </c>
      <c r="R2778" s="3">
        <f t="shared" si="261"/>
        <v>7.6330550783782397E-2</v>
      </c>
      <c r="S2778" s="3">
        <f t="shared" si="262"/>
        <v>-1.4980566234348567</v>
      </c>
    </row>
    <row r="2779" spans="6:19" x14ac:dyDescent="0.2">
      <c r="F2779" s="3"/>
      <c r="G2779" s="3"/>
      <c r="H2779" s="3"/>
      <c r="M2779" s="1">
        <f t="shared" si="263"/>
        <v>83.31000000000239</v>
      </c>
      <c r="N2779" s="1">
        <f t="shared" si="264"/>
        <v>-0.77066342018593736</v>
      </c>
      <c r="O2779" s="1">
        <f t="shared" si="265"/>
        <v>5.8634679040125669E-2</v>
      </c>
      <c r="P2779" s="1">
        <f t="shared" si="266"/>
        <v>4.7650570421555392</v>
      </c>
      <c r="R2779" s="3">
        <f t="shared" si="261"/>
        <v>7.8965573411957674E-2</v>
      </c>
      <c r="S2779" s="3">
        <f t="shared" si="262"/>
        <v>-1.4979200373236619</v>
      </c>
    </row>
    <row r="2780" spans="6:19" x14ac:dyDescent="0.2">
      <c r="F2780" s="3"/>
      <c r="G2780" s="3"/>
      <c r="H2780" s="3"/>
      <c r="M2780" s="1">
        <f t="shared" si="263"/>
        <v>83.340000000002391</v>
      </c>
      <c r="N2780" s="1">
        <f t="shared" si="264"/>
        <v>-0.79493285523318813</v>
      </c>
      <c r="O2780" s="1">
        <f t="shared" si="265"/>
        <v>3.4786693383130021E-2</v>
      </c>
      <c r="P2780" s="1">
        <f t="shared" si="266"/>
        <v>4.7661006429570332</v>
      </c>
      <c r="R2780" s="3">
        <f t="shared" si="261"/>
        <v>8.0528760678926475E-2</v>
      </c>
      <c r="S2780" s="3">
        <f t="shared" si="262"/>
        <v>-1.4978368131086632</v>
      </c>
    </row>
    <row r="2781" spans="6:19" x14ac:dyDescent="0.2">
      <c r="F2781" s="3"/>
      <c r="G2781" s="3"/>
      <c r="H2781" s="3"/>
      <c r="M2781" s="1">
        <f t="shared" si="263"/>
        <v>83.370000000002392</v>
      </c>
      <c r="N2781" s="1">
        <f t="shared" si="264"/>
        <v>-0.80841840919374641</v>
      </c>
      <c r="O2781" s="1">
        <f t="shared" si="265"/>
        <v>1.0534141107317631E-2</v>
      </c>
      <c r="P2781" s="1">
        <f t="shared" si="266"/>
        <v>4.7664166671902528</v>
      </c>
      <c r="R2781" s="3">
        <f t="shared" si="261"/>
        <v>8.1002109380141601E-2</v>
      </c>
      <c r="S2781" s="3">
        <f t="shared" si="262"/>
        <v>-1.4978112892737749</v>
      </c>
    </row>
    <row r="2782" spans="6:19" x14ac:dyDescent="0.2">
      <c r="F2782" s="3"/>
      <c r="G2782" s="3"/>
      <c r="H2782" s="3"/>
      <c r="M2782" s="1">
        <f t="shared" si="263"/>
        <v>83.400000000002393</v>
      </c>
      <c r="N2782" s="1">
        <f t="shared" si="264"/>
        <v>-0.81096916650107453</v>
      </c>
      <c r="O2782" s="1">
        <f t="shared" si="265"/>
        <v>-1.3794933887714605E-2</v>
      </c>
      <c r="P2782" s="1">
        <f t="shared" si="266"/>
        <v>4.7660028191736217</v>
      </c>
      <c r="R2782" s="3">
        <f t="shared" si="261"/>
        <v>8.0382236229859155E-2</v>
      </c>
      <c r="S2782" s="3">
        <f t="shared" si="262"/>
        <v>-1.4978446835699244</v>
      </c>
    </row>
    <row r="2783" spans="6:19" x14ac:dyDescent="0.2">
      <c r="F2783" s="3"/>
      <c r="G2783" s="3"/>
      <c r="H2783" s="3"/>
      <c r="M2783" s="1">
        <f t="shared" si="263"/>
        <v>83.430000000002394</v>
      </c>
      <c r="N2783" s="1">
        <f t="shared" si="264"/>
        <v>-0.80258081824869731</v>
      </c>
      <c r="O2783" s="1">
        <f t="shared" si="265"/>
        <v>-3.7872358435175522E-2</v>
      </c>
      <c r="P2783" s="1">
        <f t="shared" si="266"/>
        <v>4.7648666484205666</v>
      </c>
      <c r="R2783" s="3">
        <f t="shared" si="261"/>
        <v>7.868037739184236E-2</v>
      </c>
      <c r="S2783" s="3">
        <f t="shared" si="262"/>
        <v>-1.4979350447243958</v>
      </c>
    </row>
    <row r="2784" spans="6:19" x14ac:dyDescent="0.2">
      <c r="F2784" s="3"/>
      <c r="G2784" s="3"/>
      <c r="H2784" s="3"/>
      <c r="M2784" s="1">
        <f t="shared" si="263"/>
        <v>83.460000000002395</v>
      </c>
      <c r="N2784" s="1">
        <f t="shared" si="264"/>
        <v>-0.78339526165925777</v>
      </c>
      <c r="O2784" s="1">
        <f t="shared" si="265"/>
        <v>-6.1374216284953251E-2</v>
      </c>
      <c r="P2784" s="1">
        <f t="shared" si="266"/>
        <v>4.7630254219320181</v>
      </c>
      <c r="R2784" s="3">
        <f t="shared" si="261"/>
        <v>7.5922207899989075E-2</v>
      </c>
      <c r="S2784" s="3">
        <f t="shared" si="262"/>
        <v>-1.4980773739522237</v>
      </c>
    </row>
    <row r="2785" spans="6:19" x14ac:dyDescent="0.2">
      <c r="F2785" s="3"/>
      <c r="G2785" s="3"/>
      <c r="H2785" s="3"/>
      <c r="M2785" s="1">
        <f t="shared" si="263"/>
        <v>83.490000000002397</v>
      </c>
      <c r="N2785" s="1">
        <f t="shared" si="264"/>
        <v>-0.753698399534245</v>
      </c>
      <c r="O2785" s="1">
        <f t="shared" si="265"/>
        <v>-8.3985168270980598E-2</v>
      </c>
      <c r="P2785" s="1">
        <f t="shared" si="266"/>
        <v>4.7605058668838884</v>
      </c>
      <c r="R2785" s="3">
        <f t="shared" si="261"/>
        <v>7.2147482500521026E-2</v>
      </c>
      <c r="S2785" s="3">
        <f t="shared" si="262"/>
        <v>-1.498263908918865</v>
      </c>
    </row>
    <row r="2786" spans="6:19" x14ac:dyDescent="0.2">
      <c r="F2786" s="3"/>
      <c r="G2786" s="3"/>
      <c r="H2786" s="3"/>
      <c r="M2786" s="1">
        <f t="shared" si="263"/>
        <v>83.520000000002398</v>
      </c>
      <c r="N2786" s="1">
        <f t="shared" si="264"/>
        <v>-0.71391615986082202</v>
      </c>
      <c r="O2786" s="1">
        <f t="shared" si="265"/>
        <v>-0.10540265306680525</v>
      </c>
      <c r="P2786" s="1">
        <f t="shared" si="266"/>
        <v>4.7573437872918847</v>
      </c>
      <c r="R2786" s="3">
        <f t="shared" si="261"/>
        <v>6.7409499973825351E-2</v>
      </c>
      <c r="S2786" s="3">
        <f t="shared" si="262"/>
        <v>-1.4984845542458149</v>
      </c>
    </row>
    <row r="2787" spans="6:19" x14ac:dyDescent="0.2">
      <c r="F2787" s="3"/>
      <c r="G2787" s="3"/>
      <c r="H2787" s="3"/>
      <c r="M2787" s="1">
        <f t="shared" si="263"/>
        <v>83.550000000002399</v>
      </c>
      <c r="N2787" s="1">
        <f t="shared" si="264"/>
        <v>-0.66460876096224097</v>
      </c>
      <c r="O2787" s="1">
        <f t="shared" si="265"/>
        <v>-0.12534091589567248</v>
      </c>
      <c r="P2787" s="1">
        <f t="shared" si="266"/>
        <v>4.7535835598150147</v>
      </c>
      <c r="R2787" s="3">
        <f t="shared" si="261"/>
        <v>6.177439389623321E-2</v>
      </c>
      <c r="S2787" s="3">
        <f t="shared" si="262"/>
        <v>-1.498727434945645</v>
      </c>
    </row>
    <row r="2788" spans="6:19" x14ac:dyDescent="0.2">
      <c r="F2788" s="3"/>
      <c r="G2788" s="3"/>
      <c r="H2788" s="3"/>
      <c r="M2788" s="1">
        <f t="shared" si="263"/>
        <v>83.5800000000024</v>
      </c>
      <c r="N2788" s="1">
        <f t="shared" si="264"/>
        <v>-0.60646325653172162</v>
      </c>
      <c r="O2788" s="1">
        <f t="shared" si="265"/>
        <v>-0.14353481359162412</v>
      </c>
      <c r="P2788" s="1">
        <f t="shared" si="266"/>
        <v>4.7492775154072664</v>
      </c>
      <c r="R2788" s="3">
        <f t="shared" si="261"/>
        <v>5.5320254239892119E-2</v>
      </c>
      <c r="S2788" s="3">
        <f t="shared" si="262"/>
        <v>-1.498979542712586</v>
      </c>
    </row>
    <row r="2789" spans="6:19" x14ac:dyDescent="0.2">
      <c r="F2789" s="3"/>
      <c r="G2789" s="3"/>
      <c r="H2789" s="3"/>
      <c r="M2789" s="1">
        <f t="shared" si="263"/>
        <v>83.610000000002401</v>
      </c>
      <c r="N2789" s="1">
        <f t="shared" si="264"/>
        <v>-0.540284409175675</v>
      </c>
      <c r="O2789" s="1">
        <f t="shared" si="265"/>
        <v>-0.15974334586689437</v>
      </c>
      <c r="P2789" s="1">
        <f t="shared" si="266"/>
        <v>4.7444852150312595</v>
      </c>
      <c r="R2789" s="3">
        <f t="shared" si="261"/>
        <v>4.8136086264921399E-2</v>
      </c>
      <c r="S2789" s="3">
        <f t="shared" si="262"/>
        <v>-1.4992274401167742</v>
      </c>
    </row>
    <row r="2790" spans="6:19" x14ac:dyDescent="0.2">
      <c r="F2790" s="3"/>
      <c r="G2790" s="3"/>
      <c r="H2790" s="3"/>
      <c r="M2790" s="1">
        <f t="shared" si="263"/>
        <v>83.640000000002402</v>
      </c>
      <c r="N2790" s="1">
        <f t="shared" si="264"/>
        <v>-0.46698396152119348</v>
      </c>
      <c r="O2790" s="1">
        <f t="shared" si="265"/>
        <v>-0.17375286471253018</v>
      </c>
      <c r="P2790" s="1">
        <f t="shared" si="266"/>
        <v>4.7392726290898839</v>
      </c>
      <c r="R2790" s="3">
        <f t="shared" si="261"/>
        <v>4.0320615824645252E-2</v>
      </c>
      <c r="S2790" s="3">
        <f t="shared" si="262"/>
        <v>-1.4994579847196523</v>
      </c>
    </row>
    <row r="2791" spans="6:19" x14ac:dyDescent="0.2">
      <c r="F2791" s="3"/>
      <c r="G2791" s="3"/>
      <c r="H2791" s="3"/>
      <c r="M2791" s="1">
        <f t="shared" si="263"/>
        <v>83.670000000002403</v>
      </c>
      <c r="N2791" s="1">
        <f t="shared" si="264"/>
        <v>-0.38756840042232482</v>
      </c>
      <c r="O2791" s="1">
        <f t="shared" si="265"/>
        <v>-0.18537991672519993</v>
      </c>
      <c r="P2791" s="1">
        <f t="shared" si="266"/>
        <v>4.7337112315881278</v>
      </c>
      <c r="R2791" s="3">
        <f t="shared" si="261"/>
        <v>3.1980953381723021E-2</v>
      </c>
      <c r="S2791" s="3">
        <f t="shared" si="262"/>
        <v>-1.4996590341210219</v>
      </c>
    </row>
    <row r="2792" spans="6:19" x14ac:dyDescent="0.2">
      <c r="F2792" s="3"/>
      <c r="G2792" s="3"/>
      <c r="H2792" s="3"/>
      <c r="M2792" s="1">
        <f t="shared" si="263"/>
        <v>83.700000000002404</v>
      </c>
      <c r="N2792" s="1">
        <f t="shared" si="264"/>
        <v>-0.30312534131196223</v>
      </c>
      <c r="O2792" s="1">
        <f t="shared" si="265"/>
        <v>-0.19447367696455881</v>
      </c>
      <c r="P2792" s="1">
        <f t="shared" si="266"/>
        <v>4.7278770212791912</v>
      </c>
      <c r="R2792" s="3">
        <f t="shared" si="261"/>
        <v>2.3231132537361251E-2</v>
      </c>
      <c r="S2792" s="3">
        <f t="shared" si="262"/>
        <v>-1.4998200940382922</v>
      </c>
    </row>
    <row r="2793" spans="6:19" x14ac:dyDescent="0.2">
      <c r="F2793" s="3"/>
      <c r="G2793" s="3"/>
      <c r="H2793" s="3"/>
      <c r="M2793" s="1">
        <f t="shared" si="263"/>
        <v>83.730000000002406</v>
      </c>
      <c r="N2793" s="1">
        <f t="shared" si="264"/>
        <v>-0.21480869444680223</v>
      </c>
      <c r="O2793" s="1">
        <f t="shared" si="265"/>
        <v>-0.20091793779796288</v>
      </c>
      <c r="P2793" s="1">
        <f t="shared" si="266"/>
        <v>4.7218494831452524</v>
      </c>
      <c r="R2793" s="3">
        <f t="shared" si="261"/>
        <v>1.419054246041072E-2</v>
      </c>
      <c r="S2793" s="3">
        <f t="shared" si="262"/>
        <v>-1.4999328746662894</v>
      </c>
    </row>
    <row r="2794" spans="6:19" x14ac:dyDescent="0.2">
      <c r="F2794" s="3"/>
      <c r="G2794" s="3"/>
      <c r="H2794" s="3"/>
      <c r="M2794" s="1">
        <f t="shared" si="263"/>
        <v>83.760000000002407</v>
      </c>
      <c r="N2794" s="1">
        <f t="shared" si="264"/>
        <v>-0.12382281020229055</v>
      </c>
      <c r="O2794" s="1">
        <f t="shared" si="265"/>
        <v>-0.2046326221040316</v>
      </c>
      <c r="P2794" s="1">
        <f t="shared" si="266"/>
        <v>4.7157105044821312</v>
      </c>
      <c r="R2794" s="3">
        <f t="shared" si="261"/>
        <v>4.9822769849699466E-3</v>
      </c>
      <c r="S2794" s="3">
        <f t="shared" si="262"/>
        <v>-1.4999917256158599</v>
      </c>
    </row>
    <row r="2795" spans="6:19" x14ac:dyDescent="0.2">
      <c r="F2795" s="3"/>
      <c r="G2795" s="3"/>
      <c r="H2795" s="3"/>
      <c r="M2795" s="1">
        <f t="shared" si="263"/>
        <v>83.790000000002408</v>
      </c>
      <c r="N2795" s="1">
        <f t="shared" si="264"/>
        <v>-3.1405833860336629E-2</v>
      </c>
      <c r="O2795" s="1">
        <f t="shared" si="265"/>
        <v>-0.2055747971198417</v>
      </c>
      <c r="P2795" s="1">
        <f t="shared" si="266"/>
        <v>4.7095432605685357</v>
      </c>
      <c r="R2795" s="3">
        <f t="shared" si="261"/>
        <v>-4.2685739629875668E-3</v>
      </c>
      <c r="S2795" s="3">
        <f t="shared" si="262"/>
        <v>-1.4999939264131448</v>
      </c>
    </row>
    <row r="2796" spans="6:19" x14ac:dyDescent="0.2">
      <c r="F2796" s="3"/>
      <c r="G2796" s="3"/>
      <c r="H2796" s="3"/>
      <c r="M2796" s="1">
        <f t="shared" si="263"/>
        <v>83.820000000002409</v>
      </c>
      <c r="N2796" s="1">
        <f t="shared" si="264"/>
        <v>6.1187471370661425E-2</v>
      </c>
      <c r="O2796" s="1">
        <f t="shared" si="265"/>
        <v>-0.20373917297872185</v>
      </c>
      <c r="P2796" s="1">
        <f t="shared" si="266"/>
        <v>4.7034310853791741</v>
      </c>
      <c r="R2796" s="3">
        <f t="shared" si="261"/>
        <v>-1.3436662804925123E-2</v>
      </c>
      <c r="S2796" s="3">
        <f t="shared" si="262"/>
        <v>-1.4999398174902441</v>
      </c>
    </row>
    <row r="2797" spans="6:19" x14ac:dyDescent="0.2">
      <c r="F2797" s="3"/>
      <c r="G2797" s="3"/>
      <c r="H2797" s="3"/>
      <c r="M2797" s="1">
        <f t="shared" si="263"/>
        <v>83.85000000000241</v>
      </c>
      <c r="N2797" s="1">
        <f t="shared" si="264"/>
        <v>0.15270315361733619</v>
      </c>
      <c r="O2797" s="1">
        <f t="shared" si="265"/>
        <v>-0.19915807837020177</v>
      </c>
      <c r="P2797" s="1">
        <f t="shared" si="266"/>
        <v>4.697456343028068</v>
      </c>
      <c r="R2797" s="3">
        <f t="shared" si="261"/>
        <v>-2.2398123610686722E-2</v>
      </c>
      <c r="S2797" s="3">
        <f t="shared" si="262"/>
        <v>-1.4998327653637658</v>
      </c>
    </row>
    <row r="2798" spans="6:19" x14ac:dyDescent="0.2">
      <c r="F2798" s="3"/>
      <c r="G2798" s="3"/>
      <c r="H2798" s="3"/>
      <c r="M2798" s="1">
        <f t="shared" si="263"/>
        <v>83.880000000002411</v>
      </c>
      <c r="N2798" s="1">
        <f t="shared" si="264"/>
        <v>0.24190546316018541</v>
      </c>
      <c r="O2798" s="1">
        <f t="shared" si="265"/>
        <v>-0.1919009144753962</v>
      </c>
      <c r="P2798" s="1">
        <f t="shared" si="266"/>
        <v>4.691699315593806</v>
      </c>
      <c r="R2798" s="3">
        <f t="shared" si="261"/>
        <v>-3.1032283117706477E-2</v>
      </c>
      <c r="S2798" s="3">
        <f t="shared" si="262"/>
        <v>-1.4996789647802968</v>
      </c>
    </row>
    <row r="2799" spans="6:19" x14ac:dyDescent="0.2">
      <c r="F2799" s="3"/>
      <c r="G2799" s="3"/>
      <c r="H2799" s="3"/>
      <c r="M2799" s="1">
        <f t="shared" si="263"/>
        <v>83.910000000002412</v>
      </c>
      <c r="N2799" s="1">
        <f t="shared" si="264"/>
        <v>0.32759391347985045</v>
      </c>
      <c r="O2799" s="1">
        <f t="shared" si="265"/>
        <v>-0.18207309707100069</v>
      </c>
      <c r="P2799" s="1">
        <f t="shared" si="266"/>
        <v>4.6862371226816757</v>
      </c>
      <c r="R2799" s="3">
        <f t="shared" si="261"/>
        <v>-3.922331526500835E-2</v>
      </c>
      <c r="S2799" s="3">
        <f t="shared" si="262"/>
        <v>-1.4994870894874759</v>
      </c>
    </row>
    <row r="2800" spans="6:19" x14ac:dyDescent="0.2">
      <c r="F2800" s="3"/>
      <c r="G2800" s="3"/>
      <c r="H2800" s="3"/>
      <c r="M2800" s="1">
        <f t="shared" si="263"/>
        <v>83.940000000002414</v>
      </c>
      <c r="N2800" s="1">
        <f t="shared" si="264"/>
        <v>0.40861973138647356</v>
      </c>
      <c r="O2800" s="1">
        <f t="shared" si="265"/>
        <v>-0.16981450512940649</v>
      </c>
      <c r="P2800" s="1">
        <f t="shared" si="266"/>
        <v>4.6811426875277933</v>
      </c>
      <c r="R2800" s="3">
        <f t="shared" si="261"/>
        <v>-4.6861812977983697E-2</v>
      </c>
      <c r="S2800" s="3">
        <f t="shared" si="262"/>
        <v>-1.4992678114614535</v>
      </c>
    </row>
    <row r="2801" spans="6:19" x14ac:dyDescent="0.2">
      <c r="F2801" s="3"/>
      <c r="G2801" s="3"/>
      <c r="H2801" s="3"/>
      <c r="M2801" s="1">
        <f t="shared" si="263"/>
        <v>83.970000000002415</v>
      </c>
      <c r="N2801" s="1">
        <f t="shared" si="264"/>
        <v>0.48390143524148355</v>
      </c>
      <c r="O2801" s="1">
        <f t="shared" si="265"/>
        <v>-0.155297462072162</v>
      </c>
      <c r="P2801" s="1">
        <f t="shared" si="266"/>
        <v>4.6764837636656287</v>
      </c>
      <c r="R2801" s="3">
        <f t="shared" si="261"/>
        <v>-5.3846253711495817E-2</v>
      </c>
      <c r="S2801" s="3">
        <f t="shared" si="262"/>
        <v>-1.4990332154296104</v>
      </c>
    </row>
    <row r="2802" spans="6:19" x14ac:dyDescent="0.2">
      <c r="F2802" s="3"/>
      <c r="G2802" s="3"/>
      <c r="H2802" s="3"/>
      <c r="M2802" s="1">
        <f t="shared" si="263"/>
        <v>84.000000000002416</v>
      </c>
      <c r="N2802" s="1">
        <f t="shared" si="264"/>
        <v>0.55243930870145275</v>
      </c>
      <c r="O2802" s="1">
        <f t="shared" si="265"/>
        <v>-0.13872428281111843</v>
      </c>
      <c r="P2802" s="1">
        <f t="shared" si="266"/>
        <v>4.6723220351812955</v>
      </c>
      <c r="R2802" s="3">
        <f t="shared" si="261"/>
        <v>-6.0084338627020437E-2</v>
      </c>
      <c r="S2802" s="3">
        <f t="shared" si="262"/>
        <v>-1.4987961409917472</v>
      </c>
    </row>
    <row r="2803" spans="6:19" x14ac:dyDescent="0.2">
      <c r="F2803" s="3"/>
      <c r="G2803" s="3"/>
      <c r="H2803" s="3"/>
      <c r="M2803" s="1">
        <f t="shared" si="263"/>
        <v>84.030000000002417</v>
      </c>
      <c r="N2803" s="1">
        <f t="shared" si="264"/>
        <v>0.6133285717232051</v>
      </c>
      <c r="O2803" s="1">
        <f t="shared" si="265"/>
        <v>-0.12032442565942228</v>
      </c>
      <c r="P2803" s="1">
        <f t="shared" si="266"/>
        <v>4.6687123024115129</v>
      </c>
      <c r="R2803" s="3">
        <f t="shared" si="261"/>
        <v>-6.549418896880016E-2</v>
      </c>
      <c r="S2803" s="3">
        <f t="shared" si="262"/>
        <v>-1.4985694882825151</v>
      </c>
    </row>
    <row r="2804" spans="6:19" x14ac:dyDescent="0.2">
      <c r="F2804" s="3"/>
      <c r="G2804" s="3"/>
      <c r="H2804" s="3"/>
      <c r="M2804" s="1">
        <f t="shared" si="263"/>
        <v>84.060000000002418</v>
      </c>
      <c r="N2804" s="1">
        <f t="shared" si="264"/>
        <v>0.66577108799734952</v>
      </c>
      <c r="O2804" s="1">
        <f t="shared" si="265"/>
        <v>-0.1003512930195018</v>
      </c>
      <c r="P2804" s="1">
        <f t="shared" si="266"/>
        <v>4.6657017636209277</v>
      </c>
      <c r="R2804" s="3">
        <f t="shared" si="261"/>
        <v>-7.0005386930831637E-2</v>
      </c>
      <c r="S2804" s="3">
        <f t="shared" si="262"/>
        <v>-1.4983655247637888</v>
      </c>
    </row>
    <row r="2805" spans="6:19" x14ac:dyDescent="0.2">
      <c r="F2805" s="3"/>
      <c r="G2805" s="3"/>
      <c r="H2805" s="3"/>
      <c r="M2805" s="1">
        <f t="shared" si="263"/>
        <v>84.090000000002419</v>
      </c>
      <c r="N2805" s="1">
        <f t="shared" si="264"/>
        <v>0.70908548568007157</v>
      </c>
      <c r="O2805" s="1">
        <f t="shared" si="265"/>
        <v>-7.9078728449099647E-2</v>
      </c>
      <c r="P2805" s="1">
        <f t="shared" si="266"/>
        <v>4.6633294017674549</v>
      </c>
      <c r="R2805" s="3">
        <f t="shared" si="261"/>
        <v>-7.3559851811411808E-2</v>
      </c>
      <c r="S2805" s="3">
        <f t="shared" si="262"/>
        <v>-1.4981952303359809</v>
      </c>
    </row>
    <row r="2806" spans="6:19" x14ac:dyDescent="0.2">
      <c r="F2806" s="3"/>
      <c r="G2806" s="3"/>
      <c r="H2806" s="3"/>
      <c r="M2806" s="1">
        <f t="shared" si="263"/>
        <v>84.12000000000242</v>
      </c>
      <c r="N2806" s="1">
        <f t="shared" si="264"/>
        <v>0.74271560367453704</v>
      </c>
      <c r="O2806" s="1">
        <f t="shared" si="265"/>
        <v>-5.6797260338863537E-2</v>
      </c>
      <c r="P2806" s="1">
        <f t="shared" si="266"/>
        <v>4.6616254839572893</v>
      </c>
      <c r="R2806" s="3">
        <f t="shared" si="261"/>
        <v>-7.6112545327759726E-2</v>
      </c>
      <c r="S2806" s="3">
        <f t="shared" si="262"/>
        <v>-1.4980677155735416</v>
      </c>
    </row>
    <row r="2807" spans="6:19" x14ac:dyDescent="0.2">
      <c r="F2807" s="3"/>
      <c r="G2807" s="3"/>
      <c r="H2807" s="3"/>
      <c r="M2807" s="1">
        <f t="shared" si="263"/>
        <v>84.150000000002422</v>
      </c>
      <c r="N2807" s="1">
        <f t="shared" si="264"/>
        <v>0.76623720670809503</v>
      </c>
      <c r="O2807" s="1">
        <f t="shared" si="265"/>
        <v>-3.3810144137620686E-2</v>
      </c>
      <c r="P2807" s="1">
        <f t="shared" si="266"/>
        <v>4.6606111796331611</v>
      </c>
      <c r="R2807" s="3">
        <f t="shared" si="261"/>
        <v>-7.7632002476161796E-2</v>
      </c>
      <c r="S2807" s="3">
        <f t="shared" si="262"/>
        <v>-1.4979897436870324</v>
      </c>
    </row>
    <row r="2808" spans="6:19" x14ac:dyDescent="0.2">
      <c r="F2808" s="3"/>
      <c r="G2808" s="3"/>
      <c r="H2808" s="3"/>
      <c r="M2808" s="1">
        <f t="shared" si="263"/>
        <v>84.180000000002423</v>
      </c>
      <c r="N2808" s="1">
        <f t="shared" si="264"/>
        <v>0.77936293773400378</v>
      </c>
      <c r="O2808" s="1">
        <f t="shared" si="265"/>
        <v>-1.0429256005600573E-2</v>
      </c>
      <c r="P2808" s="1">
        <f t="shared" si="266"/>
        <v>4.6602983019529933</v>
      </c>
      <c r="R2808" s="3">
        <f t="shared" si="261"/>
        <v>-7.8100686224641697E-2</v>
      </c>
      <c r="S2808" s="3">
        <f t="shared" si="262"/>
        <v>-1.4979653810456501</v>
      </c>
    </row>
    <row r="2809" spans="6:19" x14ac:dyDescent="0.2">
      <c r="F2809" s="3"/>
      <c r="G2809" s="3"/>
      <c r="H2809" s="3"/>
      <c r="M2809" s="1">
        <f t="shared" si="263"/>
        <v>84.210000000002424</v>
      </c>
      <c r="N2809" s="1">
        <f t="shared" si="264"/>
        <v>0.78194549528692092</v>
      </c>
      <c r="O2809" s="1">
        <f t="shared" si="265"/>
        <v>1.3029108853007055E-2</v>
      </c>
      <c r="P2809" s="1">
        <f t="shared" si="266"/>
        <v>4.6606891752185833</v>
      </c>
      <c r="R2809" s="3">
        <f t="shared" si="261"/>
        <v>-7.7515165653135099E-2</v>
      </c>
      <c r="S2809" s="3">
        <f t="shared" si="262"/>
        <v>-1.497995794084138</v>
      </c>
    </row>
    <row r="2810" spans="6:19" x14ac:dyDescent="0.2">
      <c r="F2810" s="3"/>
      <c r="G2810" s="3"/>
      <c r="H2810" s="3"/>
      <c r="M2810" s="1">
        <f t="shared" si="263"/>
        <v>84.240000000002425</v>
      </c>
      <c r="N2810" s="1">
        <f t="shared" si="264"/>
        <v>0.77397903673458035</v>
      </c>
      <c r="O2810" s="1">
        <f t="shared" si="265"/>
        <v>3.624847995504446E-2</v>
      </c>
      <c r="P2810" s="1">
        <f t="shared" si="266"/>
        <v>4.6617766296172345</v>
      </c>
      <c r="R2810" s="3">
        <f t="shared" si="261"/>
        <v>-7.5886118025712906E-2</v>
      </c>
      <c r="S2810" s="3">
        <f t="shared" si="262"/>
        <v>-1.4980792025427052</v>
      </c>
    </row>
    <row r="2811" spans="6:19" x14ac:dyDescent="0.2">
      <c r="F2811" s="3"/>
      <c r="G2811" s="3"/>
      <c r="H2811" s="3"/>
      <c r="M2811" s="1">
        <f t="shared" si="263"/>
        <v>84.270000000002426</v>
      </c>
      <c r="N2811" s="1">
        <f t="shared" si="264"/>
        <v>0.75559881706117504</v>
      </c>
      <c r="O2811" s="1">
        <f t="shared" si="265"/>
        <v>5.8916444466879714E-2</v>
      </c>
      <c r="P2811" s="1">
        <f t="shared" si="266"/>
        <v>4.6635441229512411</v>
      </c>
      <c r="R2811" s="3">
        <f t="shared" si="261"/>
        <v>-7.3238155864737878E-2</v>
      </c>
      <c r="S2811" s="3">
        <f t="shared" si="262"/>
        <v>-1.4982109906570344</v>
      </c>
    </row>
    <row r="2812" spans="6:19" x14ac:dyDescent="0.2">
      <c r="F2812" s="3"/>
      <c r="G2812" s="3"/>
      <c r="H2812" s="3"/>
      <c r="M2812" s="1">
        <f t="shared" si="263"/>
        <v>84.300000000002427</v>
      </c>
      <c r="N2812" s="1">
        <f t="shared" si="264"/>
        <v>0.72707907864535959</v>
      </c>
      <c r="O2812" s="1">
        <f t="shared" si="265"/>
        <v>8.0728816826240501E-2</v>
      </c>
      <c r="P2812" s="1">
        <f t="shared" si="266"/>
        <v>4.665965987456028</v>
      </c>
      <c r="R2812" s="3">
        <f t="shared" si="261"/>
        <v>-6.9609480606416876E-2</v>
      </c>
      <c r="S2812" s="3">
        <f t="shared" si="262"/>
        <v>-1.4983839695517651</v>
      </c>
    </row>
    <row r="2813" spans="6:19" x14ac:dyDescent="0.2">
      <c r="F2813" s="3"/>
      <c r="G2813" s="3"/>
      <c r="H2813" s="3"/>
      <c r="M2813" s="1">
        <f t="shared" si="263"/>
        <v>84.330000000002428</v>
      </c>
      <c r="N2813" s="1">
        <f t="shared" si="264"/>
        <v>0.68882921254980711</v>
      </c>
      <c r="O2813" s="1">
        <f t="shared" si="265"/>
        <v>0.10139369320273471</v>
      </c>
      <c r="P2813" s="1">
        <f t="shared" si="266"/>
        <v>4.6690077982521103</v>
      </c>
      <c r="R2813" s="3">
        <f t="shared" si="261"/>
        <v>-6.5051365065206895E-2</v>
      </c>
      <c r="S2813" s="3">
        <f t="shared" si="262"/>
        <v>-1.4985887761167682</v>
      </c>
    </row>
    <row r="2814" spans="6:19" x14ac:dyDescent="0.2">
      <c r="F2814" s="3"/>
      <c r="G2814" s="3"/>
      <c r="H2814" s="3"/>
      <c r="M2814" s="1">
        <f t="shared" si="263"/>
        <v>84.360000000002429</v>
      </c>
      <c r="N2814" s="1">
        <f t="shared" si="264"/>
        <v>0.64138821826382286</v>
      </c>
      <c r="O2814" s="1">
        <f t="shared" si="265"/>
        <v>0.1206353397506494</v>
      </c>
      <c r="P2814" s="1">
        <f t="shared" si="266"/>
        <v>4.6726268584446302</v>
      </c>
      <c r="R2814" s="3">
        <f t="shared" si="261"/>
        <v>-5.9627467911890136E-2</v>
      </c>
      <c r="S2814" s="3">
        <f t="shared" si="262"/>
        <v>-1.4988143864636529</v>
      </c>
    </row>
    <row r="2815" spans="6:19" x14ac:dyDescent="0.2">
      <c r="F2815" s="3"/>
      <c r="G2815" s="3"/>
      <c r="H2815" s="3"/>
      <c r="M2815" s="1">
        <f t="shared" si="263"/>
        <v>84.390000000002431</v>
      </c>
      <c r="N2815" s="1">
        <f t="shared" si="264"/>
        <v>0.58541749854134295</v>
      </c>
      <c r="O2815" s="1">
        <f t="shared" si="265"/>
        <v>0.13819786470688969</v>
      </c>
      <c r="P2815" s="1">
        <f t="shared" si="266"/>
        <v>4.6767727943858368</v>
      </c>
      <c r="R2815" s="3">
        <f t="shared" si="261"/>
        <v>-5.3412984818532155E-2</v>
      </c>
      <c r="S2815" s="3">
        <f t="shared" si="262"/>
        <v>-1.4990487160371992</v>
      </c>
    </row>
    <row r="2816" spans="6:19" x14ac:dyDescent="0.2">
      <c r="F2816" s="3"/>
      <c r="G2816" s="3"/>
      <c r="H2816" s="3"/>
      <c r="M2816" s="1">
        <f t="shared" si="263"/>
        <v>84.420000000002432</v>
      </c>
      <c r="N2816" s="1">
        <f t="shared" si="264"/>
        <v>0.52169204036170147</v>
      </c>
      <c r="O2816" s="1">
        <f t="shared" si="265"/>
        <v>0.15384862591774073</v>
      </c>
      <c r="P2816" s="1">
        <f t="shared" si="266"/>
        <v>4.6813882531633695</v>
      </c>
      <c r="R2816" s="3">
        <f t="shared" si="261"/>
        <v>-4.6493642915721674E-2</v>
      </c>
      <c r="S2816" s="3">
        <f t="shared" si="262"/>
        <v>-1.4992792739074416</v>
      </c>
    </row>
    <row r="2817" spans="6:19" x14ac:dyDescent="0.2">
      <c r="F2817" s="3"/>
      <c r="G2817" s="3"/>
      <c r="H2817" s="3"/>
      <c r="M2817" s="1">
        <f t="shared" si="263"/>
        <v>84.450000000002433</v>
      </c>
      <c r="N2817" s="1">
        <f t="shared" si="264"/>
        <v>0.45109005282462011</v>
      </c>
      <c r="O2817" s="1">
        <f t="shared" si="265"/>
        <v>0.16738132750247933</v>
      </c>
      <c r="P2817" s="1">
        <f t="shared" si="266"/>
        <v>4.6864096929884438</v>
      </c>
      <c r="R2817" s="3">
        <f t="shared" si="261"/>
        <v>-3.8964547735219894E-2</v>
      </c>
      <c r="S2817" s="3">
        <f t="shared" si="262"/>
        <v>-1.4994938359392445</v>
      </c>
    </row>
    <row r="2818" spans="6:19" x14ac:dyDescent="0.2">
      <c r="F2818" s="3"/>
      <c r="G2818" s="3"/>
      <c r="H2818" s="3"/>
      <c r="M2818" s="1">
        <f t="shared" si="263"/>
        <v>84.480000000002434</v>
      </c>
      <c r="N2818" s="1">
        <f t="shared" si="264"/>
        <v>0.37458115787697577</v>
      </c>
      <c r="O2818" s="1">
        <f t="shared" si="265"/>
        <v>0.17861876223878861</v>
      </c>
      <c r="P2818" s="1">
        <f t="shared" si="266"/>
        <v>4.6917682558556075</v>
      </c>
      <c r="R2818" s="3">
        <f t="shared" ref="R2818:R2881" si="267">$B$3*COS(P2818)</f>
        <v>-3.0928894783593744E-2</v>
      </c>
      <c r="S2818" s="3">
        <f t="shared" ref="S2818:S2881" si="268">$B$3*SIN(P2818)</f>
        <v>-1.4996811005902106</v>
      </c>
    </row>
    <row r="2819" spans="6:19" x14ac:dyDescent="0.2">
      <c r="F2819" s="3"/>
      <c r="G2819" s="3"/>
      <c r="H2819" s="3"/>
      <c r="M2819" s="1">
        <f t="shared" ref="M2819:M2882" si="269">M2818+B$13</f>
        <v>84.510000000002435</v>
      </c>
      <c r="N2819" s="1">
        <f t="shared" ref="N2819:N2882" si="270">-$B$12*$B$3*COS(P2818)-B$10*O2818</f>
        <v>0.29321325923444647</v>
      </c>
      <c r="O2819" s="1">
        <f t="shared" ref="O2819:O2882" si="271">N2819*$B$13+O2818</f>
        <v>0.18741516001582201</v>
      </c>
      <c r="P2819" s="1">
        <f t="shared" ref="P2819:P2882" si="272">O2819*$B$13+P2818</f>
        <v>4.6973907106560819</v>
      </c>
      <c r="R2819" s="3">
        <f t="shared" si="267"/>
        <v>-2.2496561144348164E-2</v>
      </c>
      <c r="S2819" s="3">
        <f t="shared" si="268"/>
        <v>-1.4998312920914401</v>
      </c>
    </row>
    <row r="2820" spans="6:19" x14ac:dyDescent="0.2">
      <c r="F2820" s="3"/>
      <c r="G2820" s="3"/>
      <c r="H2820" s="3"/>
      <c r="M2820" s="1">
        <f t="shared" si="269"/>
        <v>84.540000000002436</v>
      </c>
      <c r="N2820" s="1">
        <f t="shared" si="270"/>
        <v>0.20809824704205768</v>
      </c>
      <c r="O2820" s="1">
        <f t="shared" si="271"/>
        <v>0.19365810742708373</v>
      </c>
      <c r="P2820" s="1">
        <f t="shared" si="272"/>
        <v>4.7032004538788943</v>
      </c>
      <c r="R2820" s="3">
        <f t="shared" si="267"/>
        <v>-1.3782595814941538E-2</v>
      </c>
      <c r="S2820" s="3">
        <f t="shared" si="268"/>
        <v>-1.4999366786810042</v>
      </c>
    </row>
    <row r="2821" spans="6:19" x14ac:dyDescent="0.2">
      <c r="F2821" s="3"/>
      <c r="G2821" s="3"/>
      <c r="H2821" s="3"/>
      <c r="M2821" s="1">
        <f t="shared" si="269"/>
        <v>84.570000000002437</v>
      </c>
      <c r="N2821" s="1">
        <f t="shared" si="270"/>
        <v>0.12039672848097784</v>
      </c>
      <c r="O2821" s="1">
        <f t="shared" si="271"/>
        <v>0.19727000928151306</v>
      </c>
      <c r="P2821" s="1">
        <f t="shared" si="272"/>
        <v>4.7091185541573397</v>
      </c>
      <c r="R2821" s="3">
        <f t="shared" si="267"/>
        <v>-4.9056305961655E-3</v>
      </c>
      <c r="S2821" s="3">
        <f t="shared" si="268"/>
        <v>-1.4999919782413684</v>
      </c>
    </row>
    <row r="2822" spans="6:19" x14ac:dyDescent="0.2">
      <c r="F2822" s="3"/>
      <c r="G2822" s="3"/>
      <c r="H2822" s="3"/>
      <c r="M2822" s="1">
        <f t="shared" si="269"/>
        <v>84.600000000002439</v>
      </c>
      <c r="N2822" s="1">
        <f t="shared" si="270"/>
        <v>3.1302005126318824E-2</v>
      </c>
      <c r="O2822" s="1">
        <f t="shared" si="271"/>
        <v>0.19820906943530262</v>
      </c>
      <c r="P2822" s="1">
        <f t="shared" si="272"/>
        <v>4.7150648262403987</v>
      </c>
      <c r="R2822" s="3">
        <f t="shared" si="267"/>
        <v>4.013763993699836E-3</v>
      </c>
      <c r="S2822" s="3">
        <f t="shared" si="268"/>
        <v>-1.4999946298899216</v>
      </c>
    </row>
    <row r="2823" spans="6:19" x14ac:dyDescent="0.2">
      <c r="F2823" s="3"/>
      <c r="G2823" s="3"/>
      <c r="H2823" s="3"/>
      <c r="M2823" s="1">
        <f t="shared" si="269"/>
        <v>84.63000000000244</v>
      </c>
      <c r="N2823" s="1">
        <f t="shared" si="270"/>
        <v>-5.7976456186175591E-2</v>
      </c>
      <c r="O2823" s="1">
        <f t="shared" si="271"/>
        <v>0.19646977574971736</v>
      </c>
      <c r="P2823" s="1">
        <f t="shared" si="272"/>
        <v>4.7209589195128903</v>
      </c>
      <c r="R2823" s="3">
        <f t="shared" si="267"/>
        <v>1.28547513405332E-2</v>
      </c>
      <c r="S2823" s="3">
        <f t="shared" si="268"/>
        <v>-1.4999449174446284</v>
      </c>
    </row>
    <row r="2824" spans="6:19" x14ac:dyDescent="0.2">
      <c r="F2824" s="3"/>
      <c r="G2824" s="3"/>
      <c r="H2824" s="3"/>
      <c r="M2824" s="1">
        <f t="shared" si="269"/>
        <v>84.660000000002441</v>
      </c>
      <c r="N2824" s="1">
        <f t="shared" si="270"/>
        <v>-0.14622979322280658</v>
      </c>
      <c r="O2824" s="1">
        <f t="shared" si="271"/>
        <v>0.19208288195303316</v>
      </c>
      <c r="P2824" s="1">
        <f t="shared" si="272"/>
        <v>4.7267214059714808</v>
      </c>
      <c r="R2824" s="3">
        <f t="shared" si="267"/>
        <v>2.1497902351680014E-2</v>
      </c>
      <c r="S2824" s="3">
        <f t="shared" si="268"/>
        <v>-1.4998459388198768</v>
      </c>
    </row>
    <row r="2825" spans="6:19" x14ac:dyDescent="0.2">
      <c r="F2825" s="3"/>
      <c r="G2825" s="3"/>
      <c r="H2825" s="3"/>
      <c r="M2825" s="1">
        <f t="shared" si="269"/>
        <v>84.690000000002442</v>
      </c>
      <c r="N2825" s="1">
        <f t="shared" si="270"/>
        <v>-0.23226648289257312</v>
      </c>
      <c r="O2825" s="1">
        <f t="shared" si="271"/>
        <v>0.18511488746625598</v>
      </c>
      <c r="P2825" s="1">
        <f t="shared" si="272"/>
        <v>4.7322748525954683</v>
      </c>
      <c r="R2825" s="3">
        <f t="shared" si="267"/>
        <v>2.982684239837011E-2</v>
      </c>
      <c r="S2825" s="3">
        <f t="shared" si="268"/>
        <v>-1.4997034238383744</v>
      </c>
    </row>
    <row r="2826" spans="6:19" x14ac:dyDescent="0.2">
      <c r="F2826" s="3"/>
      <c r="G2826" s="3"/>
      <c r="H2826" s="3"/>
      <c r="M2826" s="1">
        <f t="shared" si="269"/>
        <v>84.720000000002443</v>
      </c>
      <c r="N2826" s="1">
        <f t="shared" si="270"/>
        <v>-0.31492876385566415</v>
      </c>
      <c r="O2826" s="1">
        <f t="shared" si="271"/>
        <v>0.17566702455058605</v>
      </c>
      <c r="P2826" s="1">
        <f t="shared" si="272"/>
        <v>4.7375448633319861</v>
      </c>
      <c r="R2826" s="3">
        <f t="shared" si="267"/>
        <v>3.7729844770172258E-2</v>
      </c>
      <c r="S2826" s="3">
        <f t="shared" si="268"/>
        <v>-1.4995254111930276</v>
      </c>
    </row>
    <row r="2827" spans="6:19" x14ac:dyDescent="0.2">
      <c r="F2827" s="3"/>
      <c r="G2827" s="3"/>
      <c r="H2827" s="3"/>
      <c r="M2827" s="1">
        <f t="shared" si="269"/>
        <v>84.750000000002444</v>
      </c>
      <c r="N2827" s="1">
        <f t="shared" si="270"/>
        <v>-0.39310847991127534</v>
      </c>
      <c r="O2827" s="1">
        <f t="shared" si="271"/>
        <v>0.16387377015324781</v>
      </c>
      <c r="P2827" s="1">
        <f t="shared" si="272"/>
        <v>4.7424610764365838</v>
      </c>
      <c r="R2827" s="3">
        <f t="shared" si="267"/>
        <v>4.5101345603371562E-2</v>
      </c>
      <c r="S2827" s="3">
        <f t="shared" si="268"/>
        <v>-1.4993218028911488</v>
      </c>
    </row>
    <row r="2828" spans="6:19" x14ac:dyDescent="0.2">
      <c r="F2828" s="3"/>
      <c r="G2828" s="3"/>
      <c r="H2828" s="3"/>
      <c r="M2828" s="1">
        <f t="shared" si="269"/>
        <v>84.780000000002445</v>
      </c>
      <c r="N2828" s="1">
        <f t="shared" si="270"/>
        <v>-0.4657620953475079</v>
      </c>
      <c r="O2828" s="1">
        <f t="shared" si="271"/>
        <v>0.14990090729282257</v>
      </c>
      <c r="P2828" s="1">
        <f t="shared" si="272"/>
        <v>4.7469581036553681</v>
      </c>
      <c r="R2828" s="3">
        <f t="shared" si="267"/>
        <v>5.1843357787650798E-2</v>
      </c>
      <c r="S2828" s="3">
        <f t="shared" si="268"/>
        <v>-1.4991038210388572</v>
      </c>
    </row>
    <row r="2829" spans="6:19" x14ac:dyDescent="0.2">
      <c r="F2829" s="3"/>
      <c r="G2829" s="3"/>
      <c r="H2829" s="3"/>
      <c r="M2829" s="1">
        <f t="shared" si="269"/>
        <v>84.810000000002447</v>
      </c>
      <c r="N2829" s="1">
        <f t="shared" si="270"/>
        <v>-0.53192465953286205</v>
      </c>
      <c r="O2829" s="1">
        <f t="shared" si="271"/>
        <v>0.13394316750683671</v>
      </c>
      <c r="P2829" s="1">
        <f t="shared" si="272"/>
        <v>4.7509763986805735</v>
      </c>
      <c r="R2829" s="3">
        <f t="shared" si="267"/>
        <v>5.7866764454278408E-2</v>
      </c>
      <c r="S2829" s="3">
        <f t="shared" si="268"/>
        <v>-1.4988833969230537</v>
      </c>
    </row>
    <row r="2830" spans="6:19" x14ac:dyDescent="0.2">
      <c r="F2830" s="3"/>
      <c r="G2830" s="3"/>
      <c r="H2830" s="3"/>
      <c r="M2830" s="1">
        <f t="shared" si="269"/>
        <v>84.840000000002448</v>
      </c>
      <c r="N2830" s="1">
        <f t="shared" si="270"/>
        <v>-0.59072252961839933</v>
      </c>
      <c r="O2830" s="1">
        <f t="shared" si="271"/>
        <v>0.11622149161828474</v>
      </c>
      <c r="P2830" s="1">
        <f t="shared" si="272"/>
        <v>4.754463043429122</v>
      </c>
      <c r="R2830" s="3">
        <f t="shared" si="267"/>
        <v>6.309247605637644E-2</v>
      </c>
      <c r="S2830" s="3">
        <f t="shared" si="268"/>
        <v>-1.4986725257590716</v>
      </c>
    </row>
    <row r="2831" spans="6:19" x14ac:dyDescent="0.2">
      <c r="F2831" s="3"/>
      <c r="G2831" s="3"/>
      <c r="H2831" s="3"/>
      <c r="M2831" s="1">
        <f t="shared" si="269"/>
        <v>84.870000000002449</v>
      </c>
      <c r="N2831" s="1">
        <f t="shared" si="270"/>
        <v>-0.64138469480941007</v>
      </c>
      <c r="O2831" s="1">
        <f t="shared" si="271"/>
        <v>9.6979950774002441E-2</v>
      </c>
      <c r="P2831" s="1">
        <f t="shared" si="272"/>
        <v>4.7573724419523424</v>
      </c>
      <c r="R2831" s="3">
        <f t="shared" si="267"/>
        <v>6.745243851224797E-2</v>
      </c>
      <c r="S2831" s="3">
        <f t="shared" si="268"/>
        <v>-1.4984826220342868</v>
      </c>
    </row>
    <row r="2832" spans="6:19" x14ac:dyDescent="0.2">
      <c r="F2832" s="3"/>
      <c r="G2832" s="3"/>
      <c r="H2832" s="3"/>
      <c r="M2832" s="1">
        <f t="shared" si="269"/>
        <v>84.90000000000245</v>
      </c>
      <c r="N2832" s="1">
        <f t="shared" si="270"/>
        <v>-0.68325258069213979</v>
      </c>
      <c r="O2832" s="1">
        <f t="shared" si="271"/>
        <v>7.648237335323825E-2</v>
      </c>
      <c r="P2832" s="1">
        <f t="shared" si="272"/>
        <v>4.7596669131529392</v>
      </c>
      <c r="R2832" s="3">
        <f t="shared" si="267"/>
        <v>7.0890483161377263E-2</v>
      </c>
      <c r="S2832" s="3">
        <f t="shared" si="268"/>
        <v>-1.498323910039864</v>
      </c>
    </row>
    <row r="2833" spans="6:19" x14ac:dyDescent="0.2">
      <c r="F2833" s="3"/>
      <c r="G2833" s="3"/>
      <c r="H2833" s="3"/>
      <c r="M2833" s="1">
        <f t="shared" si="269"/>
        <v>84.930000000002451</v>
      </c>
      <c r="N2833" s="1">
        <f t="shared" si="270"/>
        <v>-0.71578824521556417</v>
      </c>
      <c r="O2833" s="1">
        <f t="shared" si="271"/>
        <v>5.5008725996771327E-2</v>
      </c>
      <c r="P2833" s="1">
        <f t="shared" si="272"/>
        <v>4.7613171749328425</v>
      </c>
      <c r="R2833" s="3">
        <f t="shared" si="267"/>
        <v>7.3363012191450055E-2</v>
      </c>
      <c r="S2833" s="3">
        <f t="shared" si="268"/>
        <v>-1.498204881997852</v>
      </c>
    </row>
    <row r="2834" spans="6:19" x14ac:dyDescent="0.2">
      <c r="F2834" s="3"/>
      <c r="G2834" s="3"/>
      <c r="H2834" s="3"/>
      <c r="M2834" s="1">
        <f t="shared" si="269"/>
        <v>84.960000000002452</v>
      </c>
      <c r="N2834" s="1">
        <f t="shared" si="270"/>
        <v>-0.73858090725421</v>
      </c>
      <c r="O2834" s="1">
        <f t="shared" si="271"/>
        <v>3.2851298779145027E-2</v>
      </c>
      <c r="P2834" s="1">
        <f t="shared" si="272"/>
        <v>4.7623027138962168</v>
      </c>
      <c r="R2834" s="3">
        <f t="shared" si="267"/>
        <v>7.4839515610483867E-2</v>
      </c>
      <c r="S2834" s="3">
        <f t="shared" si="268"/>
        <v>-1.4981318523091312</v>
      </c>
    </row>
    <row r="2835" spans="6:19" x14ac:dyDescent="0.2">
      <c r="F2835" s="3"/>
      <c r="G2835" s="3"/>
      <c r="H2835" s="3"/>
      <c r="M2835" s="1">
        <f t="shared" si="269"/>
        <v>84.990000000002453</v>
      </c>
      <c r="N2835" s="1">
        <f t="shared" si="270"/>
        <v>-0.7513517729949617</v>
      </c>
      <c r="O2835" s="1">
        <f t="shared" si="271"/>
        <v>1.0310745589296177E-2</v>
      </c>
      <c r="P2835" s="1">
        <f t="shared" si="272"/>
        <v>4.7626120362638957</v>
      </c>
      <c r="R2835" s="3">
        <f t="shared" si="267"/>
        <v>7.5302917714410833E-2</v>
      </c>
      <c r="S2835" s="3">
        <f t="shared" si="268"/>
        <v>-1.4981086311024634</v>
      </c>
    </row>
    <row r="2836" spans="6:19" x14ac:dyDescent="0.2">
      <c r="F2836" s="3"/>
      <c r="G2836" s="3"/>
      <c r="H2836" s="3"/>
      <c r="M2836" s="1">
        <f t="shared" si="269"/>
        <v>85.020000000002454</v>
      </c>
      <c r="N2836" s="1">
        <f t="shared" si="270"/>
        <v>-0.75395714424714511</v>
      </c>
      <c r="O2836" s="1">
        <f t="shared" si="271"/>
        <v>-1.2307968738118173E-2</v>
      </c>
      <c r="P2836" s="1">
        <f t="shared" si="272"/>
        <v>4.7622427972017523</v>
      </c>
      <c r="R2836" s="3">
        <f t="shared" si="267"/>
        <v>7.4749752367737787E-2</v>
      </c>
      <c r="S2836" s="3">
        <f t="shared" si="268"/>
        <v>-1.4981363337563649</v>
      </c>
    </row>
    <row r="2837" spans="6:19" x14ac:dyDescent="0.2">
      <c r="F2837" s="3"/>
      <c r="G2837" s="3"/>
      <c r="H2837" s="3"/>
      <c r="M2837" s="1">
        <f t="shared" si="269"/>
        <v>85.050000000002456</v>
      </c>
      <c r="N2837" s="1">
        <f t="shared" si="270"/>
        <v>-0.74638980649094722</v>
      </c>
      <c r="O2837" s="1">
        <f t="shared" si="271"/>
        <v>-3.4699662932846584E-2</v>
      </c>
      <c r="P2837" s="1">
        <f t="shared" si="272"/>
        <v>4.7612018073137667</v>
      </c>
      <c r="R2837" s="3">
        <f t="shared" si="267"/>
        <v>7.3190167373490392E-2</v>
      </c>
      <c r="S2837" s="3">
        <f t="shared" si="268"/>
        <v>-1.4982133357435585</v>
      </c>
    </row>
    <row r="2838" spans="6:19" x14ac:dyDescent="0.2">
      <c r="F2838" s="3"/>
      <c r="G2838" s="3"/>
      <c r="H2838" s="3"/>
      <c r="M2838" s="1">
        <f t="shared" si="269"/>
        <v>85.080000000002457</v>
      </c>
      <c r="N2838" s="1">
        <f t="shared" si="270"/>
        <v>-0.72877870407094769</v>
      </c>
      <c r="O2838" s="1">
        <f t="shared" si="271"/>
        <v>-5.6563024054975014E-2</v>
      </c>
      <c r="P2838" s="1">
        <f t="shared" si="272"/>
        <v>4.7595049165921175</v>
      </c>
      <c r="R2838" s="3">
        <f t="shared" si="267"/>
        <v>7.0647758911830061E-2</v>
      </c>
      <c r="S2838" s="3">
        <f t="shared" si="268"/>
        <v>-1.4983353743941095</v>
      </c>
    </row>
    <row r="2839" spans="6:19" x14ac:dyDescent="0.2">
      <c r="F2839" s="3"/>
      <c r="G2839" s="3"/>
      <c r="H2839" s="3"/>
      <c r="M2839" s="1">
        <f t="shared" si="269"/>
        <v>85.110000000002458</v>
      </c>
      <c r="N2839" s="1">
        <f t="shared" si="270"/>
        <v>-0.70138691695335298</v>
      </c>
      <c r="O2839" s="1">
        <f t="shared" si="271"/>
        <v>-7.760463156357561E-2</v>
      </c>
      <c r="P2839" s="1">
        <f t="shared" si="272"/>
        <v>4.7571767776452099</v>
      </c>
      <c r="R2839" s="3">
        <f t="shared" si="267"/>
        <v>6.7159237658936097E-2</v>
      </c>
      <c r="S2839" s="3">
        <f t="shared" si="268"/>
        <v>-1.4984957913845038</v>
      </c>
    </row>
    <row r="2840" spans="6:19" x14ac:dyDescent="0.2">
      <c r="F2840" s="3"/>
      <c r="G2840" s="3"/>
      <c r="H2840" s="3"/>
      <c r="M2840" s="1">
        <f t="shared" si="269"/>
        <v>85.140000000002459</v>
      </c>
      <c r="N2840" s="1">
        <f t="shared" si="270"/>
        <v>-0.66460795974863918</v>
      </c>
      <c r="O2840" s="1">
        <f t="shared" si="271"/>
        <v>-9.7542870356034789E-2</v>
      </c>
      <c r="P2840" s="1">
        <f t="shared" si="272"/>
        <v>4.7542504915345285</v>
      </c>
      <c r="R2840" s="3">
        <f t="shared" si="267"/>
        <v>6.2773928948844093E-2</v>
      </c>
      <c r="S2840" s="3">
        <f t="shared" si="268"/>
        <v>-1.4986859023305468</v>
      </c>
    </row>
    <row r="2841" spans="6:19" x14ac:dyDescent="0.2">
      <c r="F2841" s="3"/>
      <c r="G2841" s="3"/>
      <c r="H2841" s="3"/>
      <c r="M2841" s="1">
        <f t="shared" si="269"/>
        <v>85.17000000000246</v>
      </c>
      <c r="N2841" s="1">
        <f t="shared" si="270"/>
        <v>-0.61896043115639776</v>
      </c>
      <c r="O2841" s="1">
        <f t="shared" si="271"/>
        <v>-0.11611168329072671</v>
      </c>
      <c r="P2841" s="1">
        <f t="shared" si="272"/>
        <v>4.7507671410358068</v>
      </c>
      <c r="R2841" s="3">
        <f t="shared" si="267"/>
        <v>5.7553110380190384E-2</v>
      </c>
      <c r="S2841" s="3">
        <f t="shared" si="268"/>
        <v>-1.4988954731686814</v>
      </c>
    </row>
    <row r="2842" spans="6:19" x14ac:dyDescent="0.2">
      <c r="F2842" s="3"/>
      <c r="G2842" s="3"/>
      <c r="H2842" s="3"/>
      <c r="M2842" s="1">
        <f t="shared" si="269"/>
        <v>85.200000000002461</v>
      </c>
      <c r="N2842" s="1">
        <f t="shared" si="270"/>
        <v>-0.56508105230573846</v>
      </c>
      <c r="O2842" s="1">
        <f t="shared" si="271"/>
        <v>-0.13306411485989886</v>
      </c>
      <c r="P2842" s="1">
        <f t="shared" si="272"/>
        <v>4.7467752175900095</v>
      </c>
      <c r="R2842" s="3">
        <f t="shared" si="267"/>
        <v>5.1569191722774896E-2</v>
      </c>
      <c r="S2842" s="3">
        <f t="shared" si="268"/>
        <v>-1.4991132773960278</v>
      </c>
    </row>
    <row r="2843" spans="6:19" x14ac:dyDescent="0.2">
      <c r="F2843" s="3"/>
      <c r="G2843" s="3"/>
      <c r="H2843" s="3"/>
      <c r="M2843" s="1">
        <f t="shared" si="269"/>
        <v>85.230000000002462</v>
      </c>
      <c r="N2843" s="1">
        <f t="shared" si="270"/>
        <v>-0.50371614689035793</v>
      </c>
      <c r="O2843" s="1">
        <f t="shared" si="271"/>
        <v>-0.14817559926660959</v>
      </c>
      <c r="P2843" s="1">
        <f t="shared" si="272"/>
        <v>4.742329949612011</v>
      </c>
      <c r="R2843" s="3">
        <f t="shared" si="267"/>
        <v>4.4904743909167426E-2</v>
      </c>
      <c r="S2843" s="3">
        <f t="shared" si="268"/>
        <v>-1.4993277039975124</v>
      </c>
    </row>
    <row r="2844" spans="6:19" x14ac:dyDescent="0.2">
      <c r="F2844" s="3"/>
      <c r="G2844" s="3"/>
      <c r="H2844" s="3"/>
      <c r="M2844" s="1">
        <f t="shared" si="269"/>
        <v>85.260000000002464</v>
      </c>
      <c r="N2844" s="1">
        <f t="shared" si="270"/>
        <v>-0.43571163515767936</v>
      </c>
      <c r="O2844" s="1">
        <f t="shared" si="271"/>
        <v>-0.16124694832133996</v>
      </c>
      <c r="P2844" s="1">
        <f t="shared" si="272"/>
        <v>4.7374925411623705</v>
      </c>
      <c r="R2844" s="3">
        <f t="shared" si="267"/>
        <v>3.7651386295655932E-2</v>
      </c>
      <c r="S2844" s="3">
        <f t="shared" si="268"/>
        <v>-1.4995273832478069</v>
      </c>
    </row>
    <row r="2845" spans="6:19" x14ac:dyDescent="0.2">
      <c r="F2845" s="3"/>
      <c r="G2845" s="3"/>
      <c r="H2845" s="3"/>
      <c r="M2845" s="1">
        <f t="shared" si="269"/>
        <v>85.290000000002465</v>
      </c>
      <c r="N2845" s="1">
        <f t="shared" si="270"/>
        <v>-0.3620016376076387</v>
      </c>
      <c r="O2845" s="1">
        <f t="shared" si="271"/>
        <v>-0.17210699744956912</v>
      </c>
      <c r="P2845" s="1">
        <f t="shared" si="272"/>
        <v>4.7323293312388834</v>
      </c>
      <c r="R2845" s="3">
        <f t="shared" si="267"/>
        <v>2.9908544162123549E-2</v>
      </c>
      <c r="S2845" s="3">
        <f t="shared" si="268"/>
        <v>-1.4997017966869621</v>
      </c>
    </row>
    <row r="2846" spans="6:19" x14ac:dyDescent="0.2">
      <c r="F2846" s="3"/>
      <c r="G2846" s="3"/>
      <c r="H2846" s="3"/>
      <c r="M2846" s="1">
        <f t="shared" si="269"/>
        <v>85.320000000002466</v>
      </c>
      <c r="N2846" s="1">
        <f t="shared" si="270"/>
        <v>-0.28359581185077432</v>
      </c>
      <c r="O2846" s="1">
        <f t="shared" si="271"/>
        <v>-0.18061487180509234</v>
      </c>
      <c r="P2846" s="1">
        <f t="shared" si="272"/>
        <v>4.726910885084731</v>
      </c>
      <c r="R2846" s="3">
        <f t="shared" si="267"/>
        <v>2.1782091442566539E-2</v>
      </c>
      <c r="S2846" s="3">
        <f t="shared" si="268"/>
        <v>-1.4998418384924417</v>
      </c>
    </row>
    <row r="2847" spans="6:19" x14ac:dyDescent="0.2">
      <c r="F2847" s="3"/>
      <c r="G2847" s="3"/>
      <c r="H2847" s="3"/>
      <c r="M2847" s="1">
        <f t="shared" si="269"/>
        <v>85.350000000002467</v>
      </c>
      <c r="N2847" s="1">
        <f t="shared" si="270"/>
        <v>-0.20156557596320707</v>
      </c>
      <c r="O2847" s="1">
        <f t="shared" si="271"/>
        <v>-0.18666183908398853</v>
      </c>
      <c r="P2847" s="1">
        <f t="shared" si="272"/>
        <v>4.7213110299122114</v>
      </c>
      <c r="R2847" s="3">
        <f t="shared" si="267"/>
        <v>1.3382896736583775E-2</v>
      </c>
      <c r="S2847" s="3">
        <f t="shared" si="268"/>
        <v>-1.4999402981702099</v>
      </c>
    </row>
    <row r="2848" spans="6:19" x14ac:dyDescent="0.2">
      <c r="F2848" s="3"/>
      <c r="G2848" s="3"/>
      <c r="H2848" s="3"/>
      <c r="M2848" s="1">
        <f t="shared" si="269"/>
        <v>85.380000000002468</v>
      </c>
      <c r="N2848" s="1">
        <f t="shared" si="270"/>
        <v>-0.11702940184827877</v>
      </c>
      <c r="O2848" s="1">
        <f t="shared" si="271"/>
        <v>-0.1901727211394369</v>
      </c>
      <c r="P2848" s="1">
        <f t="shared" si="272"/>
        <v>4.7156058482780283</v>
      </c>
      <c r="R2848" s="3">
        <f t="shared" si="267"/>
        <v>4.825293517782504E-3</v>
      </c>
      <c r="S2848" s="3">
        <f t="shared" si="268"/>
        <v>-1.4999922388274105</v>
      </c>
    </row>
    <row r="2849" spans="6:19" x14ac:dyDescent="0.2">
      <c r="F2849" s="3"/>
      <c r="G2849" s="3"/>
      <c r="H2849" s="3"/>
      <c r="M2849" s="1">
        <f t="shared" si="269"/>
        <v>85.410000000002469</v>
      </c>
      <c r="N2849" s="1">
        <f t="shared" si="270"/>
        <v>-3.1137390275275716E-2</v>
      </c>
      <c r="O2849" s="1">
        <f t="shared" si="271"/>
        <v>-0.19110684284769516</v>
      </c>
      <c r="P2849" s="1">
        <f t="shared" si="272"/>
        <v>4.7098726429925977</v>
      </c>
      <c r="R2849" s="3">
        <f t="shared" si="267"/>
        <v>-3.774502104806472E-3</v>
      </c>
      <c r="S2849" s="3">
        <f t="shared" si="268"/>
        <v>-1.4999952510371029</v>
      </c>
    </row>
    <row r="2850" spans="6:19" x14ac:dyDescent="0.2">
      <c r="F2850" s="3"/>
      <c r="G2850" s="3"/>
      <c r="H2850" s="3"/>
      <c r="M2850" s="1">
        <f t="shared" si="269"/>
        <v>85.44000000000247</v>
      </c>
      <c r="N2850" s="1">
        <f t="shared" si="270"/>
        <v>5.4944636904357289E-2</v>
      </c>
      <c r="O2850" s="1">
        <f t="shared" si="271"/>
        <v>-0.18945850374056444</v>
      </c>
      <c r="P2850" s="1">
        <f t="shared" si="272"/>
        <v>4.704188887880381</v>
      </c>
      <c r="R2850" s="3">
        <f t="shared" si="267"/>
        <v>-1.2300000910261646E-2</v>
      </c>
      <c r="S2850" s="3">
        <f t="shared" si="268"/>
        <v>-1.4999495691447788</v>
      </c>
    </row>
    <row r="2851" spans="6:19" x14ac:dyDescent="0.2">
      <c r="F2851" s="3"/>
      <c r="G2851" s="3"/>
      <c r="H2851" s="3"/>
      <c r="M2851" s="1">
        <f t="shared" si="269"/>
        <v>85.470000000002472</v>
      </c>
      <c r="N2851" s="1">
        <f t="shared" si="270"/>
        <v>0.14005127443926726</v>
      </c>
      <c r="O2851" s="1">
        <f t="shared" si="271"/>
        <v>-0.18525696550738643</v>
      </c>
      <c r="P2851" s="1">
        <f t="shared" si="272"/>
        <v>4.6986311789151598</v>
      </c>
      <c r="R2851" s="3">
        <f t="shared" si="267"/>
        <v>-2.0636051201260597E-2</v>
      </c>
      <c r="S2851" s="3">
        <f t="shared" si="268"/>
        <v>-1.4998580444131435</v>
      </c>
    </row>
    <row r="2852" spans="6:19" x14ac:dyDescent="0.2">
      <c r="F2852" s="3"/>
      <c r="G2852" s="3"/>
      <c r="H2852" s="3"/>
      <c r="M2852" s="1">
        <f t="shared" si="269"/>
        <v>85.500000000002473</v>
      </c>
      <c r="N2852" s="1">
        <f t="shared" si="270"/>
        <v>0.22303363890827077</v>
      </c>
      <c r="O2852" s="1">
        <f t="shared" si="271"/>
        <v>-0.1785659563401383</v>
      </c>
      <c r="P2852" s="1">
        <f t="shared" si="272"/>
        <v>4.6932742002249555</v>
      </c>
      <c r="R2852" s="3">
        <f t="shared" si="267"/>
        <v>-2.8670424256656123E-2</v>
      </c>
      <c r="S2852" s="3">
        <f t="shared" si="268"/>
        <v>-1.4997259772281546</v>
      </c>
    </row>
    <row r="2853" spans="6:19" x14ac:dyDescent="0.2">
      <c r="F2853" s="3"/>
      <c r="G2853" s="3"/>
      <c r="H2853" s="3"/>
      <c r="M2853" s="1">
        <f t="shared" si="269"/>
        <v>85.530000000002474</v>
      </c>
      <c r="N2853" s="1">
        <f t="shared" si="270"/>
        <v>0.30277517863717368</v>
      </c>
      <c r="O2853" s="1">
        <f t="shared" si="271"/>
        <v>-0.16948270098102308</v>
      </c>
      <c r="P2853" s="1">
        <f t="shared" si="272"/>
        <v>4.6881897191955249</v>
      </c>
      <c r="R2853" s="3">
        <f t="shared" si="267"/>
        <v>-3.6295349089977905E-2</v>
      </c>
      <c r="S2853" s="3">
        <f t="shared" si="268"/>
        <v>-1.4995608182512761</v>
      </c>
    </row>
    <row r="2854" spans="6:19" x14ac:dyDescent="0.2">
      <c r="F2854" s="3"/>
      <c r="G2854" s="3"/>
      <c r="H2854" s="3"/>
      <c r="M2854" s="1">
        <f t="shared" si="269"/>
        <v>85.560000000002475</v>
      </c>
      <c r="N2854" s="1">
        <f t="shared" si="270"/>
        <v>0.37820693398807109</v>
      </c>
      <c r="O2854" s="1">
        <f t="shared" si="271"/>
        <v>-0.15813649296138094</v>
      </c>
      <c r="P2854" s="1">
        <f t="shared" si="272"/>
        <v>4.6834456244066835</v>
      </c>
      <c r="R2854" s="3">
        <f t="shared" si="267"/>
        <v>-4.3408972629376021E-2</v>
      </c>
      <c r="S2854" s="3">
        <f t="shared" si="268"/>
        <v>-1.4993717554680233</v>
      </c>
    </row>
    <row r="2855" spans="6:19" x14ac:dyDescent="0.2">
      <c r="F2855" s="3"/>
      <c r="G2855" s="3"/>
      <c r="H2855" s="3"/>
      <c r="M2855" s="1">
        <f t="shared" si="269"/>
        <v>85.590000000002476</v>
      </c>
      <c r="N2855" s="1">
        <f t="shared" si="270"/>
        <v>0.44832201066028449</v>
      </c>
      <c r="O2855" s="1">
        <f t="shared" si="271"/>
        <v>-0.14468683264157239</v>
      </c>
      <c r="P2855" s="1">
        <f t="shared" si="272"/>
        <v>4.6791050194274364</v>
      </c>
      <c r="R2855" s="3">
        <f t="shared" si="267"/>
        <v>-4.9916723769948462E-2</v>
      </c>
      <c r="S2855" s="3">
        <f t="shared" si="268"/>
        <v>-1.4991692101587715</v>
      </c>
    </row>
    <row r="2856" spans="6:19" x14ac:dyDescent="0.2">
      <c r="F2856" s="3"/>
      <c r="G2856" s="3"/>
      <c r="H2856" s="3"/>
      <c r="M2856" s="1">
        <f t="shared" si="269"/>
        <v>85.620000000002477</v>
      </c>
      <c r="N2856" s="1">
        <f t="shared" si="270"/>
        <v>0.51218905263722614</v>
      </c>
      <c r="O2856" s="1">
        <f t="shared" si="271"/>
        <v>-0.12932116106245561</v>
      </c>
      <c r="P2856" s="1">
        <f t="shared" si="272"/>
        <v>4.6752253845955627</v>
      </c>
      <c r="R2856" s="3">
        <f t="shared" si="267"/>
        <v>-5.5732562604033586E-2</v>
      </c>
      <c r="S2856" s="3">
        <f t="shared" si="268"/>
        <v>-1.4989642695760255</v>
      </c>
    </row>
    <row r="2857" spans="6:19" x14ac:dyDescent="0.2">
      <c r="F2857" s="3"/>
      <c r="G2857" s="3"/>
      <c r="H2857" s="3"/>
      <c r="M2857" s="1">
        <f t="shared" si="269"/>
        <v>85.650000000002478</v>
      </c>
      <c r="N2857" s="1">
        <f t="shared" si="270"/>
        <v>0.56896453053595686</v>
      </c>
      <c r="O2857" s="1">
        <f t="shared" si="271"/>
        <v>-0.11225222514637691</v>
      </c>
      <c r="P2857" s="1">
        <f t="shared" si="272"/>
        <v>4.6718578178411718</v>
      </c>
      <c r="R2857" s="3">
        <f t="shared" si="267"/>
        <v>-6.0780099285970467E-2</v>
      </c>
      <c r="S2857" s="3">
        <f t="shared" si="268"/>
        <v>-1.4987680873073017</v>
      </c>
    </row>
    <row r="2858" spans="6:19" x14ac:dyDescent="0.2">
      <c r="F2858" s="3"/>
      <c r="G2858" s="3"/>
      <c r="H2858" s="3"/>
      <c r="M2858" s="1">
        <f t="shared" si="269"/>
        <v>85.68000000000248</v>
      </c>
      <c r="N2858" s="1">
        <f t="shared" si="270"/>
        <v>0.61790369312287863</v>
      </c>
      <c r="O2858" s="1">
        <f t="shared" si="271"/>
        <v>-9.3715114352690546E-2</v>
      </c>
      <c r="P2858" s="1">
        <f t="shared" si="272"/>
        <v>4.6690463644105913</v>
      </c>
      <c r="R2858" s="3">
        <f t="shared" si="267"/>
        <v>-6.4993570204606679E-2</v>
      </c>
      <c r="S2858" s="3">
        <f t="shared" si="268"/>
        <v>-1.4985912837835602</v>
      </c>
    </row>
    <row r="2859" spans="6:19" x14ac:dyDescent="0.2">
      <c r="F2859" s="3"/>
      <c r="G2859" s="3"/>
      <c r="H2859" s="3"/>
      <c r="M2859" s="1">
        <f t="shared" si="269"/>
        <v>85.710000000002481</v>
      </c>
      <c r="N2859" s="1">
        <f t="shared" si="270"/>
        <v>0.65837006233780893</v>
      </c>
      <c r="O2859" s="1">
        <f t="shared" si="271"/>
        <v>-7.3964012482556282E-2</v>
      </c>
      <c r="P2859" s="1">
        <f t="shared" si="272"/>
        <v>4.6668274440361142</v>
      </c>
      <c r="R2859" s="3">
        <f t="shared" si="267"/>
        <v>-6.8318662207146885E-2</v>
      </c>
      <c r="S2859" s="3">
        <f t="shared" si="268"/>
        <v>-1.4984433791085421</v>
      </c>
    </row>
    <row r="2860" spans="6:19" x14ac:dyDescent="0.2">
      <c r="F2860" s="3"/>
      <c r="G2860" s="3"/>
      <c r="H2860" s="3"/>
      <c r="M2860" s="1">
        <f t="shared" si="269"/>
        <v>85.740000000002482</v>
      </c>
      <c r="N2860" s="1">
        <f t="shared" si="270"/>
        <v>0.68984338319489891</v>
      </c>
      <c r="O2860" s="1">
        <f t="shared" si="271"/>
        <v>-5.3268710986709315E-2</v>
      </c>
      <c r="P2860" s="1">
        <f t="shared" si="272"/>
        <v>4.6652293827065128</v>
      </c>
      <c r="R2860" s="3">
        <f t="shared" si="267"/>
        <v>-7.0713178370592489E-2</v>
      </c>
      <c r="S2860" s="3">
        <f t="shared" si="268"/>
        <v>-1.4983322883808947</v>
      </c>
    </row>
    <row r="2861" spans="6:19" x14ac:dyDescent="0.2">
      <c r="F2861" s="3"/>
      <c r="G2861" s="3"/>
      <c r="H2861" s="3"/>
      <c r="M2861" s="1">
        <f t="shared" si="269"/>
        <v>85.770000000002483</v>
      </c>
      <c r="N2861" s="1">
        <f t="shared" si="270"/>
        <v>0.71192596769472871</v>
      </c>
      <c r="O2861" s="1">
        <f t="shared" si="271"/>
        <v>-3.1910931955867458E-2</v>
      </c>
      <c r="P2861" s="1">
        <f t="shared" si="272"/>
        <v>4.6642720547478369</v>
      </c>
      <c r="R2861" s="3">
        <f t="shared" si="267"/>
        <v>-7.2147541139055998E-2</v>
      </c>
      <c r="S2861" s="3">
        <f t="shared" si="268"/>
        <v>-1.4982639060951806</v>
      </c>
    </row>
    <row r="2862" spans="6:19" x14ac:dyDescent="0.2">
      <c r="F2862" s="3"/>
      <c r="G2862" s="3"/>
      <c r="H2862" s="3"/>
      <c r="M2862" s="1">
        <f t="shared" si="269"/>
        <v>85.800000000002484</v>
      </c>
      <c r="N2862" s="1">
        <f t="shared" si="270"/>
        <v>0.72434739526658809</v>
      </c>
      <c r="O2862" s="1">
        <f t="shared" si="271"/>
        <v>-1.0180510097869817E-2</v>
      </c>
      <c r="P2862" s="1">
        <f t="shared" si="272"/>
        <v>4.6639666394449009</v>
      </c>
      <c r="R2862" s="3">
        <f t="shared" si="267"/>
        <v>-7.2605130491792833E-2</v>
      </c>
      <c r="S2862" s="3">
        <f t="shared" si="268"/>
        <v>-1.4982418012544803</v>
      </c>
    </row>
    <row r="2863" spans="6:19" x14ac:dyDescent="0.2">
      <c r="F2863" s="3"/>
      <c r="G2863" s="3"/>
      <c r="H2863" s="3"/>
      <c r="M2863" s="1">
        <f t="shared" si="269"/>
        <v>85.830000000002485</v>
      </c>
      <c r="N2863" s="1">
        <f t="shared" si="270"/>
        <v>0.72696755082673647</v>
      </c>
      <c r="O2863" s="1">
        <f t="shared" si="271"/>
        <v>1.1628516426932276E-2</v>
      </c>
      <c r="P2863" s="1">
        <f t="shared" si="272"/>
        <v>4.6643154949377088</v>
      </c>
      <c r="R2863" s="3">
        <f t="shared" si="267"/>
        <v>-7.2082456202444467E-2</v>
      </c>
      <c r="S2863" s="3">
        <f t="shared" si="268"/>
        <v>-1.4982670387844159</v>
      </c>
    </row>
    <row r="2864" spans="6:19" x14ac:dyDescent="0.2">
      <c r="F2864" s="3"/>
      <c r="G2864" s="3"/>
      <c r="H2864" s="3"/>
      <c r="M2864" s="1">
        <f t="shared" si="269"/>
        <v>85.860000000002486</v>
      </c>
      <c r="N2864" s="1">
        <f t="shared" si="270"/>
        <v>0.71977799554602073</v>
      </c>
      <c r="O2864" s="1">
        <f t="shared" si="271"/>
        <v>3.3221856293312896E-2</v>
      </c>
      <c r="P2864" s="1">
        <f t="shared" si="272"/>
        <v>4.6653121506265078</v>
      </c>
      <c r="R2864" s="3">
        <f t="shared" si="267"/>
        <v>-7.0589164281552014E-2</v>
      </c>
      <c r="S2864" s="3">
        <f t="shared" si="268"/>
        <v>-1.4983381360313941</v>
      </c>
    </row>
    <row r="2865" spans="6:19" x14ac:dyDescent="0.2">
      <c r="F2865" s="3"/>
      <c r="G2865" s="3"/>
      <c r="H2865" s="3"/>
      <c r="M2865" s="1">
        <f t="shared" si="269"/>
        <v>85.890000000002487</v>
      </c>
      <c r="N2865" s="1">
        <f t="shared" si="270"/>
        <v>0.70290167574912199</v>
      </c>
      <c r="O2865" s="1">
        <f t="shared" si="271"/>
        <v>5.4308906565786554E-2</v>
      </c>
      <c r="P2865" s="1">
        <f t="shared" si="272"/>
        <v>4.6669414178234812</v>
      </c>
      <c r="R2865" s="3">
        <f t="shared" si="267"/>
        <v>-6.8147878496714095E-2</v>
      </c>
      <c r="S2865" s="3">
        <f t="shared" si="268"/>
        <v>-1.4984511559127969</v>
      </c>
    </row>
    <row r="2866" spans="6:19" x14ac:dyDescent="0.2">
      <c r="F2866" s="3"/>
      <c r="G2866" s="3"/>
      <c r="H2866" s="3"/>
      <c r="M2866" s="1">
        <f t="shared" si="269"/>
        <v>85.920000000002489</v>
      </c>
      <c r="N2866" s="1">
        <f t="shared" si="270"/>
        <v>0.67659098337622015</v>
      </c>
      <c r="O2866" s="1">
        <f t="shared" si="271"/>
        <v>7.4606636067073157E-2</v>
      </c>
      <c r="P2866" s="1">
        <f t="shared" si="272"/>
        <v>4.6691796169054935</v>
      </c>
      <c r="R2866" s="3">
        <f t="shared" si="267"/>
        <v>-6.4793878600774388E-2</v>
      </c>
      <c r="S2866" s="3">
        <f t="shared" si="268"/>
        <v>-1.498599931034253</v>
      </c>
    </row>
    <row r="2867" spans="6:19" x14ac:dyDescent="0.2">
      <c r="F2867" s="3"/>
      <c r="G2867" s="3"/>
      <c r="H2867" s="3"/>
      <c r="M2867" s="1">
        <f t="shared" si="269"/>
        <v>85.95000000000249</v>
      </c>
      <c r="N2867" s="1">
        <f t="shared" si="270"/>
        <v>0.64122418876170728</v>
      </c>
      <c r="O2867" s="1">
        <f t="shared" si="271"/>
        <v>9.3843361729924371E-2</v>
      </c>
      <c r="P2867" s="1">
        <f t="shared" si="272"/>
        <v>4.6719949177573916</v>
      </c>
      <c r="R2867" s="3">
        <f t="shared" si="267"/>
        <v>-6.0574617736188316E-2</v>
      </c>
      <c r="S2867" s="3">
        <f t="shared" si="268"/>
        <v>-1.4987764061680831</v>
      </c>
    </row>
    <row r="2868" spans="6:19" x14ac:dyDescent="0.2">
      <c r="F2868" s="3"/>
      <c r="G2868" s="3"/>
      <c r="H2868" s="3"/>
      <c r="M2868" s="1">
        <f t="shared" si="269"/>
        <v>85.980000000002491</v>
      </c>
      <c r="N2868" s="1">
        <f t="shared" si="270"/>
        <v>0.59730027480618986</v>
      </c>
      <c r="O2868" s="1">
        <f t="shared" si="271"/>
        <v>0.11176236997411007</v>
      </c>
      <c r="P2868" s="1">
        <f t="shared" si="272"/>
        <v>4.6753477888566151</v>
      </c>
      <c r="R2868" s="3">
        <f t="shared" si="267"/>
        <v>-5.5549082573215398E-2</v>
      </c>
      <c r="S2868" s="3">
        <f t="shared" si="268"/>
        <v>-1.4989710802498073</v>
      </c>
    </row>
    <row r="2869" spans="6:19" x14ac:dyDescent="0.2">
      <c r="F2869" s="3"/>
      <c r="G2869" s="3"/>
      <c r="H2869" s="3"/>
      <c r="M2869" s="1">
        <f t="shared" si="269"/>
        <v>86.010000000002492</v>
      </c>
      <c r="N2869" s="1">
        <f t="shared" si="270"/>
        <v>0.54543221243448414</v>
      </c>
      <c r="O2869" s="1">
        <f t="shared" si="271"/>
        <v>0.1281253363471446</v>
      </c>
      <c r="P2869" s="1">
        <f t="shared" si="272"/>
        <v>4.6791915489470295</v>
      </c>
      <c r="R2869" s="3">
        <f t="shared" si="267"/>
        <v>-4.9787001191694366E-2</v>
      </c>
      <c r="S2869" s="3">
        <f t="shared" si="268"/>
        <v>-1.4991735238164856</v>
      </c>
    </row>
    <row r="2870" spans="6:19" x14ac:dyDescent="0.2">
      <c r="F2870" s="3"/>
      <c r="G2870" s="3"/>
      <c r="H2870" s="3"/>
      <c r="M2870" s="1">
        <f t="shared" si="269"/>
        <v>86.040000000002493</v>
      </c>
      <c r="N2870" s="1">
        <f t="shared" si="270"/>
        <v>0.48633873164570063</v>
      </c>
      <c r="O2870" s="1">
        <f t="shared" si="271"/>
        <v>0.14271549829651561</v>
      </c>
      <c r="P2870" s="1">
        <f t="shared" si="272"/>
        <v>4.6834730138959246</v>
      </c>
      <c r="R2870" s="3">
        <f t="shared" si="267"/>
        <v>-4.3367905586534021E-2</v>
      </c>
      <c r="S2870" s="3">
        <f t="shared" si="268"/>
        <v>-1.4993729438552097</v>
      </c>
    </row>
    <row r="2871" spans="6:19" x14ac:dyDescent="0.2">
      <c r="F2871" s="3"/>
      <c r="G2871" s="3"/>
      <c r="H2871" s="3"/>
      <c r="M2871" s="1">
        <f t="shared" si="269"/>
        <v>86.070000000002494</v>
      </c>
      <c r="N2871" s="1">
        <f t="shared" si="270"/>
        <v>0.4208346610186538</v>
      </c>
      <c r="O2871" s="1">
        <f t="shared" si="271"/>
        <v>0.15534053812707524</v>
      </c>
      <c r="P2871" s="1">
        <f t="shared" si="272"/>
        <v>4.6881332300397371</v>
      </c>
      <c r="R2871" s="3">
        <f t="shared" si="267"/>
        <v>-3.6380057956698512E-2</v>
      </c>
      <c r="S2871" s="3">
        <f t="shared" si="268"/>
        <v>-1.4995587655650802</v>
      </c>
    </row>
    <row r="2872" spans="6:19" x14ac:dyDescent="0.2">
      <c r="F2872" s="3"/>
      <c r="G2872" s="3"/>
      <c r="H2872" s="3"/>
      <c r="M2872" s="1">
        <f t="shared" si="269"/>
        <v>86.100000000002495</v>
      </c>
      <c r="N2872" s="1">
        <f t="shared" si="270"/>
        <v>0.34981993113554832</v>
      </c>
      <c r="O2872" s="1">
        <f t="shared" si="271"/>
        <v>0.1658351360611417</v>
      </c>
      <c r="P2872" s="1">
        <f t="shared" si="272"/>
        <v>4.6931082841215712</v>
      </c>
      <c r="R2872" s="3">
        <f t="shared" si="267"/>
        <v>-2.891925255117838E-2</v>
      </c>
      <c r="S2872" s="3">
        <f t="shared" si="268"/>
        <v>-1.499721199700758</v>
      </c>
    </row>
    <row r="2873" spans="6:19" x14ac:dyDescent="0.2">
      <c r="F2873" s="3"/>
      <c r="G2873" s="3"/>
      <c r="H2873" s="3"/>
      <c r="M2873" s="1">
        <f t="shared" si="269"/>
        <v>86.130000000002497</v>
      </c>
      <c r="N2873" s="1">
        <f t="shared" si="270"/>
        <v>0.27426736326628104</v>
      </c>
      <c r="O2873" s="1">
        <f t="shared" si="271"/>
        <v>0.17406315695913013</v>
      </c>
      <c r="P2873" s="1">
        <f t="shared" si="272"/>
        <v>4.6983301788303455</v>
      </c>
      <c r="R2873" s="3">
        <f t="shared" si="267"/>
        <v>-2.1087507658197266E-2</v>
      </c>
      <c r="S2873" s="3">
        <f t="shared" si="268"/>
        <v>-1.4998517650157184</v>
      </c>
    </row>
    <row r="2874" spans="6:19" x14ac:dyDescent="0.2">
      <c r="F2874" s="3"/>
      <c r="G2874" s="3"/>
      <c r="H2874" s="3"/>
      <c r="M2874" s="1">
        <f t="shared" si="269"/>
        <v>86.160000000002498</v>
      </c>
      <c r="N2874" s="1">
        <f t="shared" si="270"/>
        <v>0.19520939245565094</v>
      </c>
      <c r="O2874" s="1">
        <f t="shared" si="271"/>
        <v>0.17991943873279967</v>
      </c>
      <c r="P2874" s="1">
        <f t="shared" si="272"/>
        <v>4.7037277619923294</v>
      </c>
      <c r="R2874" s="3">
        <f t="shared" si="267"/>
        <v>-1.2991665155135685E-2</v>
      </c>
      <c r="S2874" s="3">
        <f t="shared" si="268"/>
        <v>-1.4999437378236882</v>
      </c>
    </row>
    <row r="2875" spans="6:19" x14ac:dyDescent="0.2">
      <c r="F2875" s="3"/>
      <c r="G2875" s="3"/>
      <c r="H2875" s="3"/>
      <c r="M2875" s="1">
        <f t="shared" si="269"/>
        <v>86.190000000002499</v>
      </c>
      <c r="N2875" s="1">
        <f t="shared" si="270"/>
        <v>0.11372390206540488</v>
      </c>
      <c r="O2875" s="1">
        <f t="shared" si="271"/>
        <v>0.18333115579476181</v>
      </c>
      <c r="P2875" s="1">
        <f t="shared" si="272"/>
        <v>4.7092276966661721</v>
      </c>
      <c r="R2875" s="3">
        <f t="shared" si="267"/>
        <v>-4.741917679538599E-3</v>
      </c>
      <c r="S2875" s="3">
        <f t="shared" si="268"/>
        <v>-1.4999925047201803</v>
      </c>
    </row>
    <row r="2876" spans="6:19" x14ac:dyDescent="0.2">
      <c r="F2876" s="3"/>
      <c r="G2876" s="3"/>
      <c r="H2876" s="3"/>
      <c r="M2876" s="1">
        <f t="shared" si="269"/>
        <v>86.2200000000025</v>
      </c>
      <c r="N2876" s="1">
        <f t="shared" si="270"/>
        <v>3.0919372773857423E-2</v>
      </c>
      <c r="O2876" s="1">
        <f t="shared" si="271"/>
        <v>0.18425873697797754</v>
      </c>
      <c r="P2876" s="1">
        <f t="shared" si="272"/>
        <v>4.7147554587755112</v>
      </c>
      <c r="R2876" s="3">
        <f t="shared" si="267"/>
        <v>3.5497142730330005E-3</v>
      </c>
      <c r="S2876" s="3">
        <f t="shared" si="268"/>
        <v>-1.4999957998369795</v>
      </c>
    </row>
    <row r="2877" spans="6:19" x14ac:dyDescent="0.2">
      <c r="F2877" s="3"/>
      <c r="G2877" s="3"/>
      <c r="H2877" s="3"/>
      <c r="M2877" s="1">
        <f t="shared" si="269"/>
        <v>86.250000000002501</v>
      </c>
      <c r="N2877" s="1">
        <f t="shared" si="270"/>
        <v>-5.2080429058347984E-2</v>
      </c>
      <c r="O2877" s="1">
        <f t="shared" si="271"/>
        <v>0.1826963241062271</v>
      </c>
      <c r="P2877" s="1">
        <f t="shared" si="272"/>
        <v>4.7202363484986982</v>
      </c>
      <c r="R2877" s="3">
        <f t="shared" si="267"/>
        <v>1.177093135882505E-2</v>
      </c>
      <c r="S2877" s="3">
        <f t="shared" si="268"/>
        <v>-1.499953814347277</v>
      </c>
    </row>
    <row r="2878" spans="6:19" x14ac:dyDescent="0.2">
      <c r="F2878" s="3"/>
      <c r="G2878" s="3"/>
      <c r="H2878" s="3"/>
      <c r="M2878" s="1">
        <f t="shared" si="269"/>
        <v>86.280000000002502</v>
      </c>
      <c r="N2878" s="1">
        <f t="shared" si="270"/>
        <v>-0.13415198275781093</v>
      </c>
      <c r="O2878" s="1">
        <f t="shared" si="271"/>
        <v>0.17867176462349277</v>
      </c>
      <c r="P2878" s="1">
        <f t="shared" si="272"/>
        <v>4.7255965014374031</v>
      </c>
      <c r="R2878" s="3">
        <f t="shared" si="267"/>
        <v>1.9810705608682123E-2</v>
      </c>
      <c r="S2878" s="3">
        <f t="shared" si="268"/>
        <v>-1.4998691729425224</v>
      </c>
    </row>
    <row r="2879" spans="6:19" x14ac:dyDescent="0.2">
      <c r="F2879" s="3"/>
      <c r="G2879" s="3"/>
      <c r="H2879" s="3"/>
      <c r="M2879" s="1">
        <f t="shared" si="269"/>
        <v>86.310000000002503</v>
      </c>
      <c r="N2879" s="1">
        <f t="shared" si="270"/>
        <v>-0.21418751490293558</v>
      </c>
      <c r="O2879" s="1">
        <f t="shared" si="271"/>
        <v>0.17224613917640469</v>
      </c>
      <c r="P2879" s="1">
        <f t="shared" si="272"/>
        <v>4.7307638856126948</v>
      </c>
      <c r="R2879" s="3">
        <f t="shared" si="267"/>
        <v>2.7560806855569095E-2</v>
      </c>
      <c r="S2879" s="3">
        <f t="shared" si="268"/>
        <v>-1.4997467792682437</v>
      </c>
    </row>
    <row r="2880" spans="6:19" x14ac:dyDescent="0.2">
      <c r="F2880" s="3"/>
      <c r="G2880" s="3"/>
      <c r="H2880" s="3"/>
      <c r="M2880" s="1">
        <f t="shared" si="269"/>
        <v>86.340000000002505</v>
      </c>
      <c r="N2880" s="1">
        <f t="shared" si="270"/>
        <v>-0.29111022108156742</v>
      </c>
      <c r="O2880" s="1">
        <f t="shared" si="271"/>
        <v>0.16351283254395765</v>
      </c>
      <c r="P2880" s="1">
        <f t="shared" si="272"/>
        <v>4.7356692705890131</v>
      </c>
      <c r="R2880" s="3">
        <f t="shared" si="267"/>
        <v>3.4917281076112819E-2</v>
      </c>
      <c r="S2880" s="3">
        <f t="shared" si="268"/>
        <v>-1.4995935394240174</v>
      </c>
    </row>
    <row r="2881" spans="6:19" x14ac:dyDescent="0.2">
      <c r="F2881" s="3"/>
      <c r="G2881" s="3"/>
      <c r="H2881" s="3"/>
      <c r="M2881" s="1">
        <f t="shared" si="269"/>
        <v>86.370000000002506</v>
      </c>
      <c r="N2881" s="1">
        <f t="shared" si="270"/>
        <v>-0.36388896569008439</v>
      </c>
      <c r="O2881" s="1">
        <f t="shared" si="271"/>
        <v>0.15259616357325512</v>
      </c>
      <c r="P2881" s="1">
        <f t="shared" si="272"/>
        <v>4.7402471554962107</v>
      </c>
      <c r="R2881" s="3">
        <f t="shared" si="267"/>
        <v>4.1781857848360845E-2</v>
      </c>
      <c r="S2881" s="3">
        <f t="shared" si="268"/>
        <v>-1.4994179792021769</v>
      </c>
    </row>
    <row r="2882" spans="6:19" x14ac:dyDescent="0.2">
      <c r="F2882" s="3"/>
      <c r="G2882" s="3"/>
      <c r="H2882" s="3"/>
      <c r="M2882" s="1">
        <f t="shared" si="269"/>
        <v>86.400000000002507</v>
      </c>
      <c r="N2882" s="1">
        <f t="shared" si="270"/>
        <v>-0.43155223320520136</v>
      </c>
      <c r="O2882" s="1">
        <f t="shared" si="271"/>
        <v>0.13964959657709908</v>
      </c>
      <c r="P2882" s="1">
        <f t="shared" si="272"/>
        <v>4.7444366433935237</v>
      </c>
      <c r="R2882" s="3">
        <f t="shared" ref="R2882:R2945" si="273">$B$3*COS(P2882)</f>
        <v>4.8063266276063596E-2</v>
      </c>
      <c r="S2882" s="3">
        <f t="shared" ref="S2882:S2945" si="274">$B$3*SIN(P2882)</f>
        <v>-1.4992297763968259</v>
      </c>
    </row>
    <row r="2883" spans="6:19" x14ac:dyDescent="0.2">
      <c r="F2883" s="3"/>
      <c r="G2883" s="3"/>
      <c r="H2883" s="3"/>
      <c r="M2883" s="1">
        <f t="shared" ref="M2883:M2946" si="275">M2882+B$13</f>
        <v>86.430000000002508</v>
      </c>
      <c r="N2883" s="1">
        <f t="shared" ref="N2883:N2946" si="276">-$B$12*$B$3*COS(P2882)-B$10*O2882</f>
        <v>-0.49320112645257491</v>
      </c>
      <c r="O2883" s="1">
        <f t="shared" ref="O2883:O2946" si="277">N2883*$B$13+O2882</f>
        <v>0.12485356278352183</v>
      </c>
      <c r="P2883" s="1">
        <f t="shared" ref="P2883:P2946" si="278">O2883*$B$13+P2882</f>
        <v>4.7481822502770292</v>
      </c>
      <c r="R2883" s="3">
        <f t="shared" si="273"/>
        <v>5.3678441362825277E-2</v>
      </c>
      <c r="S2883" s="3">
        <f t="shared" si="274"/>
        <v>-1.4990392339538208</v>
      </c>
    </row>
    <row r="2884" spans="6:19" x14ac:dyDescent="0.2">
      <c r="F2884" s="3"/>
      <c r="G2884" s="3"/>
      <c r="H2884" s="3"/>
      <c r="M2884" s="1">
        <f t="shared" si="275"/>
        <v>86.460000000002509</v>
      </c>
      <c r="N2884" s="1">
        <f t="shared" si="276"/>
        <v>-0.54802123427876981</v>
      </c>
      <c r="O2884" s="1">
        <f t="shared" si="277"/>
        <v>0.10841292575515873</v>
      </c>
      <c r="P2884" s="1">
        <f t="shared" si="278"/>
        <v>4.7514346380496839</v>
      </c>
      <c r="R2884" s="3">
        <f t="shared" si="273"/>
        <v>5.8553605736889169E-2</v>
      </c>
      <c r="S2884" s="3">
        <f t="shared" si="274"/>
        <v>-1.498856722724093</v>
      </c>
    </row>
    <row r="2885" spans="6:19" x14ac:dyDescent="0.2">
      <c r="F2885" s="3"/>
      <c r="G2885" s="3"/>
      <c r="H2885" s="3"/>
      <c r="M2885" s="1">
        <f t="shared" si="275"/>
        <v>86.49000000000251</v>
      </c>
      <c r="N2885" s="1">
        <f t="shared" si="276"/>
        <v>-0.59529322068685597</v>
      </c>
      <c r="O2885" s="1">
        <f t="shared" si="277"/>
        <v>9.055412913455306E-2</v>
      </c>
      <c r="P2885" s="1">
        <f t="shared" si="278"/>
        <v>4.7541512619237203</v>
      </c>
      <c r="R2885" s="3">
        <f t="shared" si="273"/>
        <v>6.2625214621223904E-2</v>
      </c>
      <c r="S2885" s="3">
        <f t="shared" si="274"/>
        <v>-1.498692123984658</v>
      </c>
    </row>
    <row r="2886" spans="6:19" x14ac:dyDescent="0.2">
      <c r="F2886" s="3"/>
      <c r="G2886" s="3"/>
      <c r="H2886" s="3"/>
      <c r="M2886" s="1">
        <f t="shared" si="275"/>
        <v>86.520000000002511</v>
      </c>
      <c r="N2886" s="1">
        <f t="shared" si="276"/>
        <v>-0.6344020178343488</v>
      </c>
      <c r="O2886" s="1">
        <f t="shared" si="277"/>
        <v>7.1522068599522592E-2</v>
      </c>
      <c r="P2886" s="1">
        <f t="shared" si="278"/>
        <v>4.7562969239817061</v>
      </c>
      <c r="R2886" s="3">
        <f t="shared" si="273"/>
        <v>6.5840754821846412E-2</v>
      </c>
      <c r="S2886" s="3">
        <f t="shared" si="274"/>
        <v>-1.4985543016535936</v>
      </c>
    </row>
    <row r="2887" spans="6:19" x14ac:dyDescent="0.2">
      <c r="F2887" s="3"/>
      <c r="G2887" s="3"/>
      <c r="H2887" s="3"/>
      <c r="M2887" s="1">
        <f t="shared" si="275"/>
        <v>86.550000000002512</v>
      </c>
      <c r="N2887" s="1">
        <f t="shared" si="276"/>
        <v>-0.66484453439242119</v>
      </c>
      <c r="O2887" s="1">
        <f t="shared" si="277"/>
        <v>5.1576732567749958E-2</v>
      </c>
      <c r="P2887" s="1">
        <f t="shared" si="278"/>
        <v>4.7578442259587383</v>
      </c>
      <c r="R2887" s="3">
        <f t="shared" si="273"/>
        <v>6.8159391114173323E-2</v>
      </c>
      <c r="S2887" s="3">
        <f t="shared" si="274"/>
        <v>-1.4984506322875457</v>
      </c>
    </row>
    <row r="2888" spans="6:19" x14ac:dyDescent="0.2">
      <c r="F2888" s="3"/>
      <c r="G2888" s="3"/>
      <c r="H2888" s="3"/>
      <c r="M2888" s="1">
        <f t="shared" si="275"/>
        <v>86.580000000002514</v>
      </c>
      <c r="N2888" s="1">
        <f t="shared" si="276"/>
        <v>-0.68623581707283066</v>
      </c>
      <c r="O2888" s="1">
        <f t="shared" si="277"/>
        <v>3.0989658055565038E-2</v>
      </c>
      <c r="P2888" s="1">
        <f t="shared" si="278"/>
        <v>4.758773915700405</v>
      </c>
      <c r="R2888" s="3">
        <f t="shared" si="273"/>
        <v>6.9552455638861255E-2</v>
      </c>
      <c r="S2888" s="3">
        <f t="shared" si="274"/>
        <v>-1.4983866176373186</v>
      </c>
    </row>
    <row r="2889" spans="6:19" x14ac:dyDescent="0.2">
      <c r="F2889" s="3"/>
      <c r="G2889" s="3"/>
      <c r="H2889" s="3"/>
      <c r="M2889" s="1">
        <f t="shared" si="275"/>
        <v>86.610000000002515</v>
      </c>
      <c r="N2889" s="1">
        <f t="shared" si="276"/>
        <v>-0.69831362561361343</v>
      </c>
      <c r="O2889" s="1">
        <f t="shared" si="277"/>
        <v>1.0040249287156636E-2</v>
      </c>
      <c r="P2889" s="1">
        <f t="shared" si="278"/>
        <v>4.75907512317902</v>
      </c>
      <c r="R2889" s="3">
        <f t="shared" si="273"/>
        <v>7.000377773201974E-2</v>
      </c>
      <c r="S2889" s="3">
        <f t="shared" si="274"/>
        <v>-1.4983655999465704</v>
      </c>
    </row>
    <row r="2890" spans="6:19" x14ac:dyDescent="0.2">
      <c r="F2890" s="3"/>
      <c r="G2890" s="3"/>
      <c r="H2890" s="3"/>
      <c r="M2890" s="1">
        <f t="shared" si="275"/>
        <v>86.640000000002516</v>
      </c>
      <c r="N2890" s="1">
        <f t="shared" si="276"/>
        <v>-0.70094139975604142</v>
      </c>
      <c r="O2890" s="1">
        <f t="shared" si="277"/>
        <v>-1.0987992705524606E-2</v>
      </c>
      <c r="P2890" s="1">
        <f t="shared" si="278"/>
        <v>4.7587454833978544</v>
      </c>
      <c r="R2890" s="3">
        <f t="shared" si="273"/>
        <v>6.950985302910366E-2</v>
      </c>
      <c r="S2890" s="3">
        <f t="shared" si="274"/>
        <v>-1.4983885945681354</v>
      </c>
    </row>
    <row r="2891" spans="6:19" x14ac:dyDescent="0.2">
      <c r="F2891" s="3"/>
      <c r="G2891" s="3"/>
      <c r="H2891" s="3"/>
      <c r="M2891" s="1">
        <f t="shared" si="275"/>
        <v>86.670000000002517</v>
      </c>
      <c r="N2891" s="1">
        <f t="shared" si="276"/>
        <v>-0.69410961094753942</v>
      </c>
      <c r="O2891" s="1">
        <f t="shared" si="277"/>
        <v>-3.1811281033950783E-2</v>
      </c>
      <c r="P2891" s="1">
        <f t="shared" si="278"/>
        <v>4.757791144966836</v>
      </c>
      <c r="R2891" s="3">
        <f t="shared" si="273"/>
        <v>6.8079851772309435E-2</v>
      </c>
      <c r="S2891" s="3">
        <f t="shared" si="274"/>
        <v>-1.4984542481446206</v>
      </c>
    </row>
    <row r="2892" spans="6:19" x14ac:dyDescent="0.2">
      <c r="F2892" s="3"/>
      <c r="G2892" s="3"/>
      <c r="H2892" s="3"/>
      <c r="M2892" s="1">
        <f t="shared" si="275"/>
        <v>86.700000000002518</v>
      </c>
      <c r="N2892" s="1">
        <f t="shared" si="276"/>
        <v>-0.67793550243003886</v>
      </c>
      <c r="O2892" s="1">
        <f t="shared" si="277"/>
        <v>-5.214934610685195E-2</v>
      </c>
      <c r="P2892" s="1">
        <f t="shared" si="278"/>
        <v>4.7562266645836306</v>
      </c>
      <c r="R2892" s="3">
        <f t="shared" si="273"/>
        <v>6.5735467136207842E-2</v>
      </c>
      <c r="S2892" s="3">
        <f t="shared" si="274"/>
        <v>-1.4985589238866734</v>
      </c>
    </row>
    <row r="2893" spans="6:19" x14ac:dyDescent="0.2">
      <c r="F2893" s="3"/>
      <c r="G2893" s="3"/>
      <c r="H2893" s="3"/>
      <c r="M2893" s="1">
        <f t="shared" si="275"/>
        <v>86.730000000002519</v>
      </c>
      <c r="N2893" s="1">
        <f t="shared" si="276"/>
        <v>-0.6526612302124617</v>
      </c>
      <c r="O2893" s="1">
        <f t="shared" si="277"/>
        <v>-7.1729183013225797E-2</v>
      </c>
      <c r="P2893" s="1">
        <f t="shared" si="278"/>
        <v>4.7540747890932336</v>
      </c>
      <c r="R2893" s="3">
        <f t="shared" si="273"/>
        <v>6.251060520946726E-2</v>
      </c>
      <c r="S2893" s="3">
        <f t="shared" si="274"/>
        <v>-1.4986969087298294</v>
      </c>
    </row>
    <row r="2894" spans="6:19" x14ac:dyDescent="0.2">
      <c r="F2894" s="3"/>
      <c r="G2894" s="3"/>
      <c r="H2894" s="3"/>
      <c r="M2894" s="1">
        <f t="shared" si="275"/>
        <v>86.76000000000252</v>
      </c>
      <c r="N2894" s="1">
        <f t="shared" si="276"/>
        <v>-0.61865042562348227</v>
      </c>
      <c r="O2894" s="1">
        <f t="shared" si="277"/>
        <v>-9.0288695781930273E-2</v>
      </c>
      <c r="P2894" s="1">
        <f t="shared" si="278"/>
        <v>4.7513661282197752</v>
      </c>
      <c r="R2894" s="3">
        <f t="shared" si="273"/>
        <v>5.8450919180424665E-2</v>
      </c>
      <c r="S2894" s="3">
        <f t="shared" si="274"/>
        <v>-1.4988607307041451</v>
      </c>
    </row>
    <row r="2895" spans="6:19" x14ac:dyDescent="0.2">
      <c r="F2895" s="3"/>
      <c r="G2895" s="3"/>
      <c r="H2895" s="3"/>
      <c r="M2895" s="1">
        <f t="shared" si="275"/>
        <v>86.790000000002522</v>
      </c>
      <c r="N2895" s="1">
        <f t="shared" si="276"/>
        <v>-0.57638320918387298</v>
      </c>
      <c r="O2895" s="1">
        <f t="shared" si="277"/>
        <v>-0.10758019205744646</v>
      </c>
      <c r="P2895" s="1">
        <f t="shared" si="278"/>
        <v>4.7481387224580516</v>
      </c>
      <c r="R2895" s="3">
        <f t="shared" si="273"/>
        <v>5.3613191403578453E-2</v>
      </c>
      <c r="S2895" s="3">
        <f t="shared" si="274"/>
        <v>-1.4990415690392056</v>
      </c>
    </row>
    <row r="2896" spans="6:19" x14ac:dyDescent="0.2">
      <c r="F2896" s="3"/>
      <c r="G2896" s="3"/>
      <c r="H2896" s="3"/>
      <c r="M2896" s="1">
        <f t="shared" si="275"/>
        <v>86.820000000002523</v>
      </c>
      <c r="N2896" s="1">
        <f t="shared" si="276"/>
        <v>-0.52644969675061437</v>
      </c>
      <c r="O2896" s="1">
        <f t="shared" si="277"/>
        <v>-0.12337368295996488</v>
      </c>
      <c r="P2896" s="1">
        <f t="shared" si="278"/>
        <v>4.7444375119692523</v>
      </c>
      <c r="R2896" s="3">
        <f t="shared" si="273"/>
        <v>4.8064568470640945E-2</v>
      </c>
      <c r="S2896" s="3">
        <f t="shared" si="274"/>
        <v>-1.4992297346496737</v>
      </c>
    </row>
    <row r="2897" spans="6:19" x14ac:dyDescent="0.2">
      <c r="F2897" s="3"/>
      <c r="G2897" s="3"/>
      <c r="H2897" s="3"/>
      <c r="M2897" s="1">
        <f t="shared" si="275"/>
        <v>86.850000000002524</v>
      </c>
      <c r="N2897" s="1">
        <f t="shared" si="276"/>
        <v>-0.46954205324001258</v>
      </c>
      <c r="O2897" s="1">
        <f t="shared" si="277"/>
        <v>-0.13745994455716526</v>
      </c>
      <c r="P2897" s="1">
        <f t="shared" si="278"/>
        <v>4.7403137136325375</v>
      </c>
      <c r="R2897" s="3">
        <f t="shared" si="273"/>
        <v>4.1881656222011288E-2</v>
      </c>
      <c r="S2897" s="3">
        <f t="shared" si="274"/>
        <v>-1.4994151949583883</v>
      </c>
    </row>
    <row r="2898" spans="6:19" x14ac:dyDescent="0.2">
      <c r="F2898" s="3"/>
      <c r="G2898" s="3"/>
      <c r="H2898" s="3"/>
      <c r="M2898" s="1">
        <f t="shared" si="275"/>
        <v>86.880000000002525</v>
      </c>
      <c r="N2898" s="1">
        <f t="shared" si="276"/>
        <v>-0.40644516720996798</v>
      </c>
      <c r="O2898" s="1">
        <f t="shared" si="277"/>
        <v>-0.14965329957346429</v>
      </c>
      <c r="P2898" s="1">
        <f t="shared" si="278"/>
        <v>4.7358241146453333</v>
      </c>
      <c r="R2898" s="3">
        <f t="shared" si="273"/>
        <v>3.5149483803060558E-2</v>
      </c>
      <c r="S2898" s="3">
        <f t="shared" si="274"/>
        <v>-1.4995881147129628</v>
      </c>
    </row>
    <row r="2899" spans="6:19" x14ac:dyDescent="0.2">
      <c r="F2899" s="3"/>
      <c r="G2899" s="3"/>
      <c r="H2899" s="3"/>
      <c r="M2899" s="1">
        <f t="shared" si="275"/>
        <v>86.910000000002526</v>
      </c>
      <c r="N2899" s="1">
        <f t="shared" si="276"/>
        <v>-0.33802604106899375</v>
      </c>
      <c r="O2899" s="1">
        <f t="shared" si="277"/>
        <v>-0.15979408080553412</v>
      </c>
      <c r="P2899" s="1">
        <f t="shared" si="278"/>
        <v>4.7310302922211669</v>
      </c>
      <c r="R2899" s="3">
        <f t="shared" si="273"/>
        <v>2.7960348325845402E-2</v>
      </c>
      <c r="S2899" s="3">
        <f t="shared" si="274"/>
        <v>-1.4997393836668746</v>
      </c>
    </row>
    <row r="2900" spans="6:19" x14ac:dyDescent="0.2">
      <c r="F2900" s="3"/>
      <c r="G2900" s="3"/>
      <c r="H2900" s="3"/>
      <c r="M2900" s="1">
        <f t="shared" si="275"/>
        <v>86.940000000002527</v>
      </c>
      <c r="N2900" s="1">
        <f t="shared" si="276"/>
        <v>-0.26522201598595596</v>
      </c>
      <c r="O2900" s="1">
        <f t="shared" si="277"/>
        <v>-0.1677507412851128</v>
      </c>
      <c r="P2900" s="1">
        <f t="shared" si="278"/>
        <v>4.7259977699826132</v>
      </c>
      <c r="R2900" s="3">
        <f t="shared" si="273"/>
        <v>2.0412554318638365E-2</v>
      </c>
      <c r="S2900" s="3">
        <f t="shared" si="274"/>
        <v>-1.4998611027779167</v>
      </c>
    </row>
    <row r="2901" spans="6:19" x14ac:dyDescent="0.2">
      <c r="F2901" s="3"/>
      <c r="G2901" s="3"/>
      <c r="H2901" s="3"/>
      <c r="M2901" s="1">
        <f t="shared" si="275"/>
        <v>86.970000000002528</v>
      </c>
      <c r="N2901" s="1">
        <f t="shared" si="276"/>
        <v>-0.1890279764707235</v>
      </c>
      <c r="O2901" s="1">
        <f t="shared" si="277"/>
        <v>-0.17342158057923451</v>
      </c>
      <c r="P2901" s="1">
        <f t="shared" si="278"/>
        <v>4.720795122565236</v>
      </c>
      <c r="R2901" s="3">
        <f t="shared" si="273"/>
        <v>1.2609064770062014E-2</v>
      </c>
      <c r="S2901" s="3">
        <f t="shared" si="274"/>
        <v>-1.4999470028923103</v>
      </c>
    </row>
    <row r="2902" spans="6:19" x14ac:dyDescent="0.2">
      <c r="F2902" s="3"/>
      <c r="G2902" s="3"/>
      <c r="H2902" s="3"/>
      <c r="M2902" s="1">
        <f t="shared" si="275"/>
        <v>87.00000000000253</v>
      </c>
      <c r="N2902" s="1">
        <f t="shared" si="276"/>
        <v>-0.11048270544848904</v>
      </c>
      <c r="O2902" s="1">
        <f t="shared" si="277"/>
        <v>-0.17673606174268919</v>
      </c>
      <c r="P2902" s="1">
        <f t="shared" si="278"/>
        <v>4.7154930407129552</v>
      </c>
      <c r="R2902" s="3">
        <f t="shared" si="273"/>
        <v>4.656083015348398E-3</v>
      </c>
      <c r="S2902" s="3">
        <f t="shared" si="274"/>
        <v>-1.4999927736129111</v>
      </c>
    </row>
    <row r="2903" spans="6:19" x14ac:dyDescent="0.2">
      <c r="F2903" s="3"/>
      <c r="G2903" s="3"/>
      <c r="H2903" s="3"/>
      <c r="M2903" s="1">
        <f t="shared" si="275"/>
        <v>87.030000000002531</v>
      </c>
      <c r="N2903" s="1">
        <f t="shared" si="276"/>
        <v>-3.0654584596641953E-2</v>
      </c>
      <c r="O2903" s="1">
        <f t="shared" si="277"/>
        <v>-0.17765569928058844</v>
      </c>
      <c r="P2903" s="1">
        <f t="shared" si="278"/>
        <v>4.7101633697345378</v>
      </c>
      <c r="R2903" s="3">
        <f t="shared" si="273"/>
        <v>-3.3384132191757367E-3</v>
      </c>
      <c r="S2903" s="3">
        <f t="shared" si="274"/>
        <v>-1.499996284994459</v>
      </c>
    </row>
    <row r="2904" spans="6:19" x14ac:dyDescent="0.2">
      <c r="F2904" s="3"/>
      <c r="G2904" s="3"/>
      <c r="H2904" s="3"/>
      <c r="M2904" s="1">
        <f t="shared" si="275"/>
        <v>87.060000000002532</v>
      </c>
      <c r="N2904" s="1">
        <f t="shared" si="276"/>
        <v>4.9373145127010326E-2</v>
      </c>
      <c r="O2904" s="1">
        <f t="shared" si="277"/>
        <v>-0.17617450492677814</v>
      </c>
      <c r="P2904" s="1">
        <f t="shared" si="278"/>
        <v>4.7048781345867345</v>
      </c>
      <c r="R2904" s="3">
        <f t="shared" si="273"/>
        <v>-1.1266162770262662E-2</v>
      </c>
      <c r="S2904" s="3">
        <f t="shared" si="274"/>
        <v>-1.4999576905954495</v>
      </c>
    </row>
    <row r="2905" spans="6:19" x14ac:dyDescent="0.2">
      <c r="F2905" s="3"/>
      <c r="G2905" s="3"/>
      <c r="H2905" s="3"/>
      <c r="M2905" s="1">
        <f t="shared" si="275"/>
        <v>87.090000000002533</v>
      </c>
      <c r="N2905" s="1">
        <f t="shared" si="276"/>
        <v>0.12851733314603667</v>
      </c>
      <c r="O2905" s="1">
        <f t="shared" si="277"/>
        <v>-0.17231898493239703</v>
      </c>
      <c r="P2905" s="1">
        <f t="shared" si="278"/>
        <v>4.6997085650387627</v>
      </c>
      <c r="R2905" s="3">
        <f t="shared" si="273"/>
        <v>-1.9020113292693947E-2</v>
      </c>
      <c r="S2905" s="3">
        <f t="shared" si="274"/>
        <v>-1.4998794069158805</v>
      </c>
    </row>
    <row r="2906" spans="6:19" x14ac:dyDescent="0.2">
      <c r="F2906" s="3"/>
      <c r="G2906" s="3"/>
      <c r="H2906" s="3"/>
      <c r="M2906" s="1">
        <f t="shared" si="275"/>
        <v>87.120000000002534</v>
      </c>
      <c r="N2906" s="1">
        <f t="shared" si="276"/>
        <v>0.20570984157085523</v>
      </c>
      <c r="O2906" s="1">
        <f t="shared" si="277"/>
        <v>-0.16614768968527138</v>
      </c>
      <c r="P2906" s="1">
        <f t="shared" si="278"/>
        <v>4.6947241343482045</v>
      </c>
      <c r="R2906" s="3">
        <f t="shared" si="273"/>
        <v>-2.6495891011623494E-2</v>
      </c>
      <c r="S2906" s="3">
        <f t="shared" si="274"/>
        <v>-1.4997659709966418</v>
      </c>
    </row>
    <row r="2907" spans="6:19" x14ac:dyDescent="0.2">
      <c r="F2907" s="3"/>
      <c r="G2907" s="3"/>
      <c r="H2907" s="3"/>
      <c r="M2907" s="1">
        <f t="shared" si="275"/>
        <v>87.150000000002535</v>
      </c>
      <c r="N2907" s="1">
        <f t="shared" si="276"/>
        <v>0.27991220218790935</v>
      </c>
      <c r="O2907" s="1">
        <f t="shared" si="277"/>
        <v>-0.15775032361963409</v>
      </c>
      <c r="P2907" s="1">
        <f t="shared" si="278"/>
        <v>4.6899916246396156</v>
      </c>
      <c r="R2907" s="3">
        <f t="shared" si="273"/>
        <v>-3.3593224827031157E-2</v>
      </c>
      <c r="S2907" s="3">
        <f t="shared" si="274"/>
        <v>-1.4996237845692233</v>
      </c>
    </row>
    <row r="2908" spans="6:19" x14ac:dyDescent="0.2">
      <c r="F2908" s="3"/>
      <c r="G2908" s="3"/>
      <c r="H2908" s="3"/>
      <c r="M2908" s="1">
        <f t="shared" si="275"/>
        <v>87.180000000002536</v>
      </c>
      <c r="N2908" s="1">
        <f t="shared" si="276"/>
        <v>0.35012977739607859</v>
      </c>
      <c r="O2908" s="1">
        <f t="shared" si="277"/>
        <v>-0.14724643029775172</v>
      </c>
      <c r="P2908" s="1">
        <f t="shared" si="278"/>
        <v>4.6855742317306834</v>
      </c>
      <c r="R2908" s="3">
        <f t="shared" si="273"/>
        <v>-4.0217302997120771E-2</v>
      </c>
      <c r="S2908" s="3">
        <f t="shared" si="274"/>
        <v>-1.4994607592530182</v>
      </c>
    </row>
    <row r="2909" spans="6:19" x14ac:dyDescent="0.2">
      <c r="F2909" s="3"/>
      <c r="G2909" s="3"/>
      <c r="H2909" s="3"/>
      <c r="M2909" s="1">
        <f t="shared" si="275"/>
        <v>87.210000000002537</v>
      </c>
      <c r="N2909" s="1">
        <f t="shared" si="276"/>
        <v>0.41542520869800542</v>
      </c>
      <c r="O2909" s="1">
        <f t="shared" si="277"/>
        <v>-0.13478367403681157</v>
      </c>
      <c r="P2909" s="1">
        <f t="shared" si="278"/>
        <v>4.6815307215095787</v>
      </c>
      <c r="R2909" s="3">
        <f t="shared" si="273"/>
        <v>-4.6280042605938806E-2</v>
      </c>
      <c r="S2909" s="3">
        <f t="shared" si="274"/>
        <v>-1.4992858825642268</v>
      </c>
    </row>
    <row r="2910" spans="6:19" x14ac:dyDescent="0.2">
      <c r="F2910" s="3"/>
      <c r="G2910" s="3"/>
      <c r="H2910" s="3"/>
      <c r="M2910" s="1">
        <f t="shared" si="275"/>
        <v>87.240000000002539</v>
      </c>
      <c r="N2910" s="1">
        <f t="shared" si="276"/>
        <v>0.47493095672270108</v>
      </c>
      <c r="O2910" s="1">
        <f t="shared" si="277"/>
        <v>-0.12053574533513053</v>
      </c>
      <c r="P2910" s="1">
        <f t="shared" si="278"/>
        <v>4.6779146491495247</v>
      </c>
      <c r="R2910" s="3">
        <f t="shared" si="273"/>
        <v>-5.1701254452301899E-2</v>
      </c>
      <c r="S2910" s="3">
        <f t="shared" si="274"/>
        <v>-1.4991087286411411</v>
      </c>
    </row>
    <row r="2911" spans="6:19" x14ac:dyDescent="0.2">
      <c r="F2911" s="3"/>
      <c r="G2911" s="3"/>
      <c r="H2911" s="3"/>
      <c r="M2911" s="1">
        <f t="shared" si="275"/>
        <v>87.27000000000254</v>
      </c>
      <c r="N2911" s="1">
        <f t="shared" si="276"/>
        <v>0.52786076160318074</v>
      </c>
      <c r="O2911" s="1">
        <f t="shared" si="277"/>
        <v>-0.10469992248703511</v>
      </c>
      <c r="P2911" s="1">
        <f t="shared" si="278"/>
        <v>4.6747736514749141</v>
      </c>
      <c r="R2911" s="3">
        <f t="shared" si="273"/>
        <v>-5.6409688701768726E-2</v>
      </c>
      <c r="S2911" s="3">
        <f t="shared" si="274"/>
        <v>-1.4989389403910254</v>
      </c>
    </row>
    <row r="2912" spans="6:19" x14ac:dyDescent="0.2">
      <c r="F2912" s="3"/>
      <c r="G2912" s="3"/>
      <c r="H2912" s="3"/>
      <c r="M2912" s="1">
        <f t="shared" si="275"/>
        <v>87.300000000002541</v>
      </c>
      <c r="N2912" s="1">
        <f t="shared" si="276"/>
        <v>0.57351988004152055</v>
      </c>
      <c r="O2912" s="1">
        <f t="shared" si="277"/>
        <v>-8.7494326085789498E-2</v>
      </c>
      <c r="P2912" s="1">
        <f t="shared" si="278"/>
        <v>4.6721488216923408</v>
      </c>
      <c r="R2912" s="3">
        <f t="shared" si="273"/>
        <v>-6.0343949433182713E-2</v>
      </c>
      <c r="S2912" s="3">
        <f t="shared" si="274"/>
        <v>-1.4987857110897493</v>
      </c>
    </row>
    <row r="2913" spans="6:19" x14ac:dyDescent="0.2">
      <c r="F2913" s="3"/>
      <c r="G2913" s="3"/>
      <c r="H2913" s="3"/>
      <c r="M2913" s="1">
        <f t="shared" si="275"/>
        <v>87.330000000002542</v>
      </c>
      <c r="N2913" s="1">
        <f t="shared" si="276"/>
        <v>0.61131398367954815</v>
      </c>
      <c r="O2913" s="1">
        <f t="shared" si="277"/>
        <v>-6.9154906575403047E-2</v>
      </c>
      <c r="P2913" s="1">
        <f t="shared" si="278"/>
        <v>4.6700741744950784</v>
      </c>
      <c r="R2913" s="3">
        <f t="shared" si="273"/>
        <v>-6.345326891240563E-2</v>
      </c>
      <c r="S2913" s="3">
        <f t="shared" si="274"/>
        <v>-1.4986572932676536</v>
      </c>
    </row>
    <row r="2914" spans="6:19" x14ac:dyDescent="0.2">
      <c r="F2914" s="3"/>
      <c r="G2914" s="3"/>
      <c r="H2914" s="3"/>
      <c r="M2914" s="1">
        <f t="shared" si="275"/>
        <v>87.360000000002543</v>
      </c>
      <c r="N2914" s="1">
        <f t="shared" si="276"/>
        <v>0.64075663071584266</v>
      </c>
      <c r="O2914" s="1">
        <f t="shared" si="277"/>
        <v>-4.9932207653927765E-2</v>
      </c>
      <c r="P2914" s="1">
        <f t="shared" si="278"/>
        <v>4.6685762082654607</v>
      </c>
      <c r="R2914" s="3">
        <f t="shared" si="273"/>
        <v>-6.5698134896449156E-2</v>
      </c>
      <c r="S2914" s="3">
        <f t="shared" si="274"/>
        <v>-1.4985605610288588</v>
      </c>
    </row>
    <row r="2915" spans="6:19" x14ac:dyDescent="0.2">
      <c r="F2915" s="3"/>
      <c r="G2915" s="3"/>
      <c r="H2915" s="3"/>
      <c r="M2915" s="1">
        <f t="shared" si="275"/>
        <v>87.390000000002544</v>
      </c>
      <c r="N2915" s="1">
        <f t="shared" si="276"/>
        <v>0.66147524765334509</v>
      </c>
      <c r="O2915" s="1">
        <f t="shared" si="277"/>
        <v>-3.0087950224327413E-2</v>
      </c>
      <c r="P2915" s="1">
        <f t="shared" si="278"/>
        <v>4.6676735697587306</v>
      </c>
      <c r="R2915" s="3">
        <f t="shared" si="273"/>
        <v>-6.7050766415837765E-2</v>
      </c>
      <c r="S2915" s="3">
        <f t="shared" si="274"/>
        <v>-1.4985006488897656</v>
      </c>
    </row>
    <row r="2916" spans="6:19" x14ac:dyDescent="0.2">
      <c r="F2916" s="3"/>
      <c r="G2916" s="3"/>
      <c r="H2916" s="3"/>
      <c r="M2916" s="1">
        <f t="shared" si="275"/>
        <v>87.420000000002545</v>
      </c>
      <c r="N2916" s="1">
        <f t="shared" si="276"/>
        <v>0.67321557967856704</v>
      </c>
      <c r="O2916" s="1">
        <f t="shared" si="277"/>
        <v>-9.8914828339704032E-3</v>
      </c>
      <c r="P2916" s="1">
        <f t="shared" si="278"/>
        <v>4.6673768252737116</v>
      </c>
      <c r="R2916" s="3">
        <f t="shared" si="273"/>
        <v>-6.7495435260512798E-2</v>
      </c>
      <c r="S2916" s="3">
        <f t="shared" si="274"/>
        <v>-1.4984806859679554</v>
      </c>
    </row>
    <row r="2917" spans="6:19" x14ac:dyDescent="0.2">
      <c r="F2917" s="3"/>
      <c r="G2917" s="3"/>
      <c r="H2917" s="3"/>
      <c r="M2917" s="1">
        <f t="shared" si="275"/>
        <v>87.450000000002547</v>
      </c>
      <c r="N2917" s="1">
        <f t="shared" si="276"/>
        <v>0.67584458606018527</v>
      </c>
      <c r="O2917" s="1">
        <f t="shared" si="277"/>
        <v>1.0383854747835153E-2</v>
      </c>
      <c r="P2917" s="1">
        <f t="shared" si="278"/>
        <v>4.6676883409161469</v>
      </c>
      <c r="R2917" s="3">
        <f t="shared" si="273"/>
        <v>-6.702863181955053E-2</v>
      </c>
      <c r="S2917" s="3">
        <f t="shared" si="274"/>
        <v>-1.4985016391437145</v>
      </c>
    </row>
    <row r="2918" spans="6:19" x14ac:dyDescent="0.2">
      <c r="F2918" s="3"/>
      <c r="G2918" s="3"/>
      <c r="H2918" s="3"/>
      <c r="M2918" s="1">
        <f t="shared" si="275"/>
        <v>87.480000000002548</v>
      </c>
      <c r="N2918" s="1">
        <f t="shared" si="276"/>
        <v>0.66935177126820011</v>
      </c>
      <c r="O2918" s="1">
        <f t="shared" si="277"/>
        <v>3.0464407885881156E-2</v>
      </c>
      <c r="P2918" s="1">
        <f t="shared" si="278"/>
        <v>4.6686022731527235</v>
      </c>
      <c r="R2918" s="3">
        <f t="shared" si="273"/>
        <v>-6.5659075062056996E-2</v>
      </c>
      <c r="S2918" s="3">
        <f t="shared" si="274"/>
        <v>-1.4985622729342931</v>
      </c>
    </row>
    <row r="2919" spans="6:19" x14ac:dyDescent="0.2">
      <c r="F2919" s="3"/>
      <c r="G2919" s="3"/>
      <c r="H2919" s="3"/>
      <c r="M2919" s="1">
        <f t="shared" si="275"/>
        <v>87.510000000002549</v>
      </c>
      <c r="N2919" s="1">
        <f t="shared" si="276"/>
        <v>0.65384895391084075</v>
      </c>
      <c r="O2919" s="1">
        <f t="shared" si="277"/>
        <v>5.0079876503206375E-2</v>
      </c>
      <c r="P2919" s="1">
        <f t="shared" si="278"/>
        <v>4.6701046694478201</v>
      </c>
      <c r="R2919" s="3">
        <f t="shared" si="273"/>
        <v>-6.3407567399574649E-2</v>
      </c>
      <c r="S2919" s="3">
        <f t="shared" si="274"/>
        <v>-1.4986592275752579</v>
      </c>
    </row>
    <row r="2920" spans="6:19" x14ac:dyDescent="0.2">
      <c r="F2920" s="3"/>
      <c r="G2920" s="3"/>
      <c r="H2920" s="3"/>
      <c r="M2920" s="1">
        <f t="shared" si="275"/>
        <v>87.54000000000255</v>
      </c>
      <c r="N2920" s="1">
        <f t="shared" si="276"/>
        <v>0.62956848511045793</v>
      </c>
      <c r="O2920" s="1">
        <f t="shared" si="277"/>
        <v>6.8966931056520117E-2</v>
      </c>
      <c r="P2920" s="1">
        <f t="shared" si="278"/>
        <v>4.6721736773795159</v>
      </c>
      <c r="R2920" s="3">
        <f t="shared" si="273"/>
        <v>-6.0306696065768731E-2</v>
      </c>
      <c r="S2920" s="3">
        <f t="shared" si="274"/>
        <v>-1.4987872105171003</v>
      </c>
    </row>
    <row r="2921" spans="6:19" x14ac:dyDescent="0.2">
      <c r="F2921" s="3"/>
      <c r="G2921" s="3"/>
      <c r="H2921" s="3"/>
      <c r="M2921" s="1">
        <f t="shared" si="275"/>
        <v>87.570000000002551</v>
      </c>
      <c r="N2921" s="1">
        <f t="shared" si="276"/>
        <v>0.59685993686260042</v>
      </c>
      <c r="O2921" s="1">
        <f t="shared" si="277"/>
        <v>8.6872729162398132E-2</v>
      </c>
      <c r="P2921" s="1">
        <f t="shared" si="278"/>
        <v>4.6747798592543877</v>
      </c>
      <c r="R2921" s="3">
        <f t="shared" si="273"/>
        <v>-5.6400383618295559E-2</v>
      </c>
      <c r="S2921" s="3">
        <f t="shared" si="274"/>
        <v>-1.498939290541051</v>
      </c>
    </row>
    <row r="2922" spans="6:19" x14ac:dyDescent="0.2">
      <c r="F2922" s="3"/>
      <c r="G2922" s="3"/>
      <c r="H2922" s="3"/>
      <c r="M2922" s="1">
        <f t="shared" si="275"/>
        <v>87.600000000002552</v>
      </c>
      <c r="N2922" s="1">
        <f t="shared" si="276"/>
        <v>0.55618529055833976</v>
      </c>
      <c r="O2922" s="1">
        <f t="shared" si="277"/>
        <v>0.10355828787914832</v>
      </c>
      <c r="P2922" s="1">
        <f t="shared" si="278"/>
        <v>4.6778866078907617</v>
      </c>
      <c r="R2922" s="3">
        <f t="shared" si="273"/>
        <v>-5.1743291327743413E-2</v>
      </c>
      <c r="S2922" s="3">
        <f t="shared" si="274"/>
        <v>-1.4991072782835029</v>
      </c>
    </row>
    <row r="2923" spans="6:19" x14ac:dyDescent="0.2">
      <c r="F2923" s="3"/>
      <c r="G2923" s="3"/>
      <c r="H2923" s="3"/>
      <c r="M2923" s="1">
        <f t="shared" si="275"/>
        <v>87.630000000002553</v>
      </c>
      <c r="N2923" s="1">
        <f t="shared" si="276"/>
        <v>0.50811266736831073</v>
      </c>
      <c r="O2923" s="1">
        <f t="shared" si="277"/>
        <v>0.11880166790019764</v>
      </c>
      <c r="P2923" s="1">
        <f t="shared" si="278"/>
        <v>4.6814506579277673</v>
      </c>
      <c r="R2923" s="3">
        <f t="shared" si="273"/>
        <v>-4.6400080655396359E-2</v>
      </c>
      <c r="S2923" s="3">
        <f t="shared" si="274"/>
        <v>-1.4992821724129093</v>
      </c>
    </row>
    <row r="2924" spans="6:19" x14ac:dyDescent="0.2">
      <c r="F2924" s="3"/>
      <c r="G2924" s="3"/>
      <c r="H2924" s="3"/>
      <c r="M2924" s="1">
        <f t="shared" si="275"/>
        <v>87.660000000002555</v>
      </c>
      <c r="N2924" s="1">
        <f t="shared" si="276"/>
        <v>0.45330865644294588</v>
      </c>
      <c r="O2924" s="1">
        <f t="shared" si="277"/>
        <v>0.13240092759348601</v>
      </c>
      <c r="P2924" s="1">
        <f t="shared" si="278"/>
        <v>4.6854226857555714</v>
      </c>
      <c r="R2924" s="3">
        <f t="shared" si="273"/>
        <v>-4.0444539777335226E-2</v>
      </c>
      <c r="S2924" s="3">
        <f t="shared" si="274"/>
        <v>-1.4994546472641976</v>
      </c>
    </row>
    <row r="2925" spans="6:19" x14ac:dyDescent="0.2">
      <c r="F2925" s="3"/>
      <c r="G2925" s="3"/>
      <c r="H2925" s="3"/>
      <c r="M2925" s="1">
        <f t="shared" si="275"/>
        <v>87.690000000002556</v>
      </c>
      <c r="N2925" s="1">
        <f t="shared" si="276"/>
        <v>0.39252931428993859</v>
      </c>
      <c r="O2925" s="1">
        <f t="shared" si="277"/>
        <v>0.14417680702218416</v>
      </c>
      <c r="P2925" s="1">
        <f t="shared" si="278"/>
        <v>4.6897479899662367</v>
      </c>
      <c r="R2925" s="3">
        <f t="shared" si="273"/>
        <v>-3.3958584177350627E-2</v>
      </c>
      <c r="S2925" s="3">
        <f t="shared" si="274"/>
        <v>-1.4996155555877211</v>
      </c>
    </row>
    <row r="2926" spans="6:19" x14ac:dyDescent="0.2">
      <c r="F2926" s="3"/>
      <c r="G2926" s="3"/>
      <c r="H2926" s="3"/>
      <c r="M2926" s="1">
        <f t="shared" si="275"/>
        <v>87.720000000002557</v>
      </c>
      <c r="N2926" s="1">
        <f t="shared" si="276"/>
        <v>0.32660992914150966</v>
      </c>
      <c r="O2926" s="1">
        <f t="shared" si="277"/>
        <v>0.15397510489642946</v>
      </c>
      <c r="P2926" s="1">
        <f t="shared" si="278"/>
        <v>4.6943672431131294</v>
      </c>
      <c r="R2926" s="3">
        <f t="shared" si="273"/>
        <v>-2.7031142642564693E-2</v>
      </c>
      <c r="S2926" s="3">
        <f t="shared" si="274"/>
        <v>-1.4997564193319652</v>
      </c>
    </row>
    <row r="2927" spans="6:19" x14ac:dyDescent="0.2">
      <c r="F2927" s="3"/>
      <c r="G2927" s="3"/>
      <c r="H2927" s="3"/>
      <c r="M2927" s="1">
        <f t="shared" si="275"/>
        <v>87.750000000002558</v>
      </c>
      <c r="N2927" s="1">
        <f t="shared" si="276"/>
        <v>0.2564536669849683</v>
      </c>
      <c r="O2927" s="1">
        <f t="shared" si="277"/>
        <v>0.16166871490597851</v>
      </c>
      <c r="P2927" s="1">
        <f t="shared" si="278"/>
        <v>4.6992173045603085</v>
      </c>
      <c r="R2927" s="3">
        <f t="shared" si="273"/>
        <v>-1.9756942442994412E-2</v>
      </c>
      <c r="S2927" s="3">
        <f t="shared" si="274"/>
        <v>-1.4998698820982119</v>
      </c>
    </row>
    <row r="2928" spans="6:19" x14ac:dyDescent="0.2">
      <c r="F2928" s="3"/>
      <c r="G2928" s="3"/>
      <c r="H2928" s="3"/>
      <c r="M2928" s="1">
        <f t="shared" si="275"/>
        <v>87.780000000002559</v>
      </c>
      <c r="N2928" s="1">
        <f t="shared" si="276"/>
        <v>0.18301924008840606</v>
      </c>
      <c r="O2928" s="1">
        <f t="shared" si="277"/>
        <v>0.16715929210863067</v>
      </c>
      <c r="P2928" s="1">
        <f t="shared" si="278"/>
        <v>4.7042320833235678</v>
      </c>
      <c r="R2928" s="3">
        <f t="shared" si="273"/>
        <v>-1.2235209912409836E-2</v>
      </c>
      <c r="S2928" s="3">
        <f t="shared" si="274"/>
        <v>-1.4999500990494314</v>
      </c>
    </row>
    <row r="2929" spans="6:19" x14ac:dyDescent="0.2">
      <c r="F2929" s="3"/>
      <c r="G2929" s="3"/>
      <c r="H2929" s="3"/>
      <c r="M2929" s="1">
        <f t="shared" si="275"/>
        <v>87.81000000000256</v>
      </c>
      <c r="N2929" s="1">
        <f t="shared" si="276"/>
        <v>0.1073077628343216</v>
      </c>
      <c r="O2929" s="1">
        <f t="shared" si="277"/>
        <v>0.17037852499366032</v>
      </c>
      <c r="P2929" s="1">
        <f t="shared" si="278"/>
        <v>4.7093434390733773</v>
      </c>
      <c r="R2929" s="3">
        <f t="shared" si="273"/>
        <v>-4.5683049048781694E-3</v>
      </c>
      <c r="S2929" s="3">
        <f t="shared" si="274"/>
        <v>-1.4999930435139679</v>
      </c>
    </row>
    <row r="2930" spans="6:19" x14ac:dyDescent="0.2">
      <c r="F2930" s="3"/>
      <c r="G2930" s="3"/>
      <c r="H2930" s="3"/>
      <c r="M2930" s="1">
        <f t="shared" si="275"/>
        <v>87.840000000002561</v>
      </c>
      <c r="N2930" s="1">
        <f t="shared" si="276"/>
        <v>3.0348981799352262E-2</v>
      </c>
      <c r="O2930" s="1">
        <f t="shared" si="277"/>
        <v>0.1712889944476409</v>
      </c>
      <c r="P2930" s="1">
        <f t="shared" si="278"/>
        <v>4.7144821089068065</v>
      </c>
      <c r="R2930" s="3">
        <f t="shared" si="273"/>
        <v>3.1396904905786277E-3</v>
      </c>
      <c r="S2930" s="3">
        <f t="shared" si="274"/>
        <v>-1.4999967141109423</v>
      </c>
    </row>
    <row r="2931" spans="6:19" x14ac:dyDescent="0.2">
      <c r="F2931" s="3"/>
      <c r="G2931" s="3"/>
      <c r="H2931" s="3"/>
      <c r="M2931" s="1">
        <f t="shared" si="275"/>
        <v>87.870000000002563</v>
      </c>
      <c r="N2931" s="1">
        <f t="shared" si="276"/>
        <v>-4.6812914406073956E-2</v>
      </c>
      <c r="O2931" s="1">
        <f t="shared" si="277"/>
        <v>0.16988460701545868</v>
      </c>
      <c r="P2931" s="1">
        <f t="shared" si="278"/>
        <v>4.7195786471172703</v>
      </c>
      <c r="R2931" s="3">
        <f t="shared" si="273"/>
        <v>1.0784407188291866E-2</v>
      </c>
      <c r="S2931" s="3">
        <f t="shared" si="274"/>
        <v>-1.499961231686205</v>
      </c>
    </row>
    <row r="2932" spans="6:19" x14ac:dyDescent="0.2">
      <c r="F2932" s="3"/>
      <c r="G2932" s="3"/>
      <c r="H2932" s="3"/>
      <c r="M2932" s="1">
        <f t="shared" si="275"/>
        <v>87.900000000002564</v>
      </c>
      <c r="N2932" s="1">
        <f t="shared" si="276"/>
        <v>-0.12313368651430993</v>
      </c>
      <c r="O2932" s="1">
        <f t="shared" si="277"/>
        <v>0.1661905964200294</v>
      </c>
      <c r="P2932" s="1">
        <f t="shared" si="278"/>
        <v>4.7245643650098712</v>
      </c>
      <c r="R2932" s="3">
        <f t="shared" si="273"/>
        <v>1.826262572139033E-2</v>
      </c>
      <c r="S2932" s="3">
        <f t="shared" si="274"/>
        <v>-1.4998888213803583</v>
      </c>
    </row>
    <row r="2933" spans="6:19" x14ac:dyDescent="0.2">
      <c r="F2933" s="3"/>
      <c r="G2933" s="3"/>
      <c r="H2933" s="3"/>
      <c r="M2933" s="1">
        <f t="shared" si="275"/>
        <v>87.930000000002565</v>
      </c>
      <c r="N2933" s="1">
        <f t="shared" si="276"/>
        <v>-0.19758341089170595</v>
      </c>
      <c r="O2933" s="1">
        <f t="shared" si="277"/>
        <v>0.16026309409327821</v>
      </c>
      <c r="P2933" s="1">
        <f t="shared" si="278"/>
        <v>4.7293722578326696</v>
      </c>
      <c r="R2933" s="3">
        <f t="shared" si="273"/>
        <v>2.5473691560679395E-2</v>
      </c>
      <c r="S2933" s="3">
        <f t="shared" si="274"/>
        <v>-1.4997836814148471</v>
      </c>
    </row>
    <row r="2934" spans="6:19" x14ac:dyDescent="0.2">
      <c r="F2934" s="3"/>
      <c r="G2934" s="3"/>
      <c r="H2934" s="3"/>
      <c r="M2934" s="1">
        <f t="shared" si="275"/>
        <v>87.960000000002566</v>
      </c>
      <c r="N2934" s="1">
        <f t="shared" si="276"/>
        <v>-0.269160594075189</v>
      </c>
      <c r="O2934" s="1">
        <f t="shared" si="277"/>
        <v>0.15218827627102255</v>
      </c>
      <c r="P2934" s="1">
        <f t="shared" si="278"/>
        <v>4.7339379061208007</v>
      </c>
      <c r="R2934" s="3">
        <f t="shared" si="273"/>
        <v>3.232088706792785E-2</v>
      </c>
      <c r="S2934" s="3">
        <f t="shared" si="274"/>
        <v>-1.4996517463261738</v>
      </c>
    </row>
    <row r="2935" spans="6:19" x14ac:dyDescent="0.2">
      <c r="F2935" s="3"/>
      <c r="G2935" s="3"/>
      <c r="H2935" s="3"/>
      <c r="M2935" s="1">
        <f t="shared" si="275"/>
        <v>87.990000000002567</v>
      </c>
      <c r="N2935" s="1">
        <f t="shared" si="276"/>
        <v>-0.33690581554367055</v>
      </c>
      <c r="O2935" s="1">
        <f t="shared" si="277"/>
        <v>0.14208110180471242</v>
      </c>
      <c r="P2935" s="1">
        <f t="shared" si="278"/>
        <v>4.7382003391749423</v>
      </c>
      <c r="R2935" s="3">
        <f t="shared" si="273"/>
        <v>3.8712739277437659E-2</v>
      </c>
      <c r="S2935" s="3">
        <f t="shared" si="274"/>
        <v>-1.4995003580585227</v>
      </c>
    </row>
    <row r="2936" spans="6:19" x14ac:dyDescent="0.2">
      <c r="F2936" s="3"/>
      <c r="G2936" s="3"/>
      <c r="H2936" s="3"/>
      <c r="M2936" s="1">
        <f t="shared" si="275"/>
        <v>88.020000000002568</v>
      </c>
      <c r="N2936" s="1">
        <f t="shared" si="276"/>
        <v>-0.39991469193680068</v>
      </c>
      <c r="O2936" s="1">
        <f t="shared" si="277"/>
        <v>0.1300836610466084</v>
      </c>
      <c r="P2936" s="1">
        <f t="shared" si="278"/>
        <v>4.7421028490063408</v>
      </c>
      <c r="R2936" s="3">
        <f t="shared" si="273"/>
        <v>4.4564244524444296E-2</v>
      </c>
      <c r="S2936" s="3">
        <f t="shared" si="274"/>
        <v>-1.4993378632282872</v>
      </c>
    </row>
    <row r="2937" spans="6:19" x14ac:dyDescent="0.2">
      <c r="F2937" s="3"/>
      <c r="G2937" s="3"/>
      <c r="H2937" s="3"/>
      <c r="M2937" s="1">
        <f t="shared" si="275"/>
        <v>88.050000000002569</v>
      </c>
      <c r="N2937" s="1">
        <f t="shared" si="276"/>
        <v>-0.45734997473863764</v>
      </c>
      <c r="O2937" s="1">
        <f t="shared" si="277"/>
        <v>0.11636316180444928</v>
      </c>
      <c r="P2937" s="1">
        <f t="shared" si="278"/>
        <v>4.7455937438604741</v>
      </c>
      <c r="R2937" s="3">
        <f t="shared" si="273"/>
        <v>4.9797993187786875E-2</v>
      </c>
      <c r="S2937" s="3">
        <f t="shared" si="274"/>
        <v>-1.4991731587359978</v>
      </c>
    </row>
    <row r="2938" spans="6:19" x14ac:dyDescent="0.2">
      <c r="F2938" s="3"/>
      <c r="G2938" s="3"/>
      <c r="H2938" s="3"/>
      <c r="M2938" s="1">
        <f t="shared" si="275"/>
        <v>88.08000000000257</v>
      </c>
      <c r="N2938" s="1">
        <f t="shared" si="276"/>
        <v>-0.50845261644026918</v>
      </c>
      <c r="O2938" s="1">
        <f t="shared" si="277"/>
        <v>0.1011095833112412</v>
      </c>
      <c r="P2938" s="1">
        <f t="shared" si="278"/>
        <v>4.7486270313598116</v>
      </c>
      <c r="R2938" s="3">
        <f t="shared" si="273"/>
        <v>5.4345180324844158E-2</v>
      </c>
      <c r="S2938" s="3">
        <f t="shared" si="274"/>
        <v>-1.4990152105217147</v>
      </c>
    </row>
    <row r="2939" spans="6:19" x14ac:dyDescent="0.2">
      <c r="F2939" s="3"/>
      <c r="G2939" s="3"/>
      <c r="H2939" s="3"/>
      <c r="M2939" s="1">
        <f t="shared" si="275"/>
        <v>88.110000000002572</v>
      </c>
      <c r="N2939" s="1">
        <f t="shared" si="276"/>
        <v>-0.55255166574645331</v>
      </c>
      <c r="O2939" s="1">
        <f t="shared" si="277"/>
        <v>8.4533033338847596E-2</v>
      </c>
      <c r="P2939" s="1">
        <f t="shared" si="278"/>
        <v>4.751163022359977</v>
      </c>
      <c r="R2939" s="3">
        <f t="shared" si="273"/>
        <v>5.8146490579481888E-2</v>
      </c>
      <c r="S2939" s="3">
        <f t="shared" si="274"/>
        <v>-1.4988725715127655</v>
      </c>
    </row>
    <row r="2940" spans="6:19" x14ac:dyDescent="0.2">
      <c r="F2940" s="3"/>
      <c r="G2940" s="3"/>
      <c r="H2940" s="3"/>
      <c r="M2940" s="1">
        <f t="shared" si="275"/>
        <v>88.140000000002573</v>
      </c>
      <c r="N2940" s="1">
        <f t="shared" si="276"/>
        <v>-0.58907287879531522</v>
      </c>
      <c r="O2940" s="1">
        <f t="shared" si="277"/>
        <v>6.6860846974988147E-2</v>
      </c>
      <c r="P2940" s="1">
        <f t="shared" si="278"/>
        <v>4.7531688477692269</v>
      </c>
      <c r="R2940" s="3">
        <f t="shared" si="273"/>
        <v>6.1152848281256764E-2</v>
      </c>
      <c r="S2940" s="3">
        <f t="shared" si="274"/>
        <v>-1.4987529246500537</v>
      </c>
    </row>
    <row r="2941" spans="6:19" x14ac:dyDescent="0.2">
      <c r="F2941" s="3"/>
      <c r="G2941" s="3"/>
      <c r="H2941" s="3"/>
      <c r="M2941" s="1">
        <f t="shared" si="275"/>
        <v>88.170000000002574</v>
      </c>
      <c r="N2941" s="1">
        <f t="shared" si="276"/>
        <v>-0.61754595904031662</v>
      </c>
      <c r="O2941" s="1">
        <f t="shared" si="277"/>
        <v>4.8334468203778652E-2</v>
      </c>
      <c r="P2941" s="1">
        <f t="shared" si="278"/>
        <v>4.7546188818153405</v>
      </c>
      <c r="R2941" s="3">
        <f t="shared" si="273"/>
        <v>6.3326025997196139E-2</v>
      </c>
      <c r="S2941" s="3">
        <f t="shared" si="274"/>
        <v>-1.4986626753313776</v>
      </c>
    </row>
    <row r="2942" spans="6:19" x14ac:dyDescent="0.2">
      <c r="F2942" s="3"/>
      <c r="G2942" s="3"/>
      <c r="H2942" s="3"/>
      <c r="M2942" s="1">
        <f t="shared" si="275"/>
        <v>88.200000000002575</v>
      </c>
      <c r="N2942" s="1">
        <f t="shared" si="276"/>
        <v>-0.63761036211030153</v>
      </c>
      <c r="O2942" s="1">
        <f t="shared" si="277"/>
        <v>2.9206157340469607E-2</v>
      </c>
      <c r="P2942" s="1">
        <f t="shared" si="278"/>
        <v>4.7554950665355546</v>
      </c>
      <c r="R2942" s="3">
        <f t="shared" si="273"/>
        <v>6.4639106858382062E-2</v>
      </c>
      <c r="S2942" s="3">
        <f t="shared" si="274"/>
        <v>-1.4986066147807271</v>
      </c>
    </row>
    <row r="2943" spans="6:19" x14ac:dyDescent="0.2">
      <c r="F2943" s="3"/>
      <c r="G2943" s="3"/>
      <c r="H2943" s="3"/>
      <c r="M2943" s="1">
        <f t="shared" si="275"/>
        <v>88.230000000002576</v>
      </c>
      <c r="N2943" s="1">
        <f t="shared" si="276"/>
        <v>-0.64901962274446279</v>
      </c>
      <c r="O2943" s="1">
        <f t="shared" si="277"/>
        <v>9.735568658135723E-3</v>
      </c>
      <c r="P2943" s="1">
        <f t="shared" si="278"/>
        <v>4.755787133595299</v>
      </c>
      <c r="R2943" s="3">
        <f t="shared" si="273"/>
        <v>6.5076797722891516E-2</v>
      </c>
      <c r="S2943" s="3">
        <f t="shared" si="274"/>
        <v>-1.498587671909166</v>
      </c>
    </row>
    <row r="2944" spans="6:19" x14ac:dyDescent="0.2">
      <c r="F2944" s="3"/>
      <c r="G2944" s="3"/>
      <c r="H2944" s="3"/>
      <c r="M2944" s="1">
        <f t="shared" si="275"/>
        <v>88.260000000002577</v>
      </c>
      <c r="N2944" s="1">
        <f t="shared" si="276"/>
        <v>-0.65164417840814748</v>
      </c>
      <c r="O2944" s="1">
        <f t="shared" si="277"/>
        <v>-9.8137566941087009E-3</v>
      </c>
      <c r="P2944" s="1">
        <f t="shared" si="278"/>
        <v>4.7554927208944759</v>
      </c>
      <c r="R2944" s="3">
        <f t="shared" si="273"/>
        <v>6.4635591664967795E-2</v>
      </c>
      <c r="S2944" s="3">
        <f t="shared" si="274"/>
        <v>-1.4986067663967488</v>
      </c>
    </row>
    <row r="2945" spans="6:19" x14ac:dyDescent="0.2">
      <c r="F2945" s="3"/>
      <c r="G2945" s="3"/>
      <c r="H2945" s="3"/>
      <c r="M2945" s="1">
        <f t="shared" si="275"/>
        <v>88.290000000002578</v>
      </c>
      <c r="N2945" s="1">
        <f t="shared" si="276"/>
        <v>-0.64547267854720813</v>
      </c>
      <c r="O2945" s="1">
        <f t="shared" si="277"/>
        <v>-2.9177937050524943E-2</v>
      </c>
      <c r="P2945" s="1">
        <f t="shared" si="278"/>
        <v>4.7546173827829605</v>
      </c>
      <c r="R2945" s="3">
        <f t="shared" si="273"/>
        <v>6.3323779453247964E-2</v>
      </c>
      <c r="S2945" s="3">
        <f t="shared" si="274"/>
        <v>-1.4986627702574573</v>
      </c>
    </row>
    <row r="2946" spans="6:19" x14ac:dyDescent="0.2">
      <c r="F2946" s="3"/>
      <c r="G2946" s="3"/>
      <c r="H2946" s="3"/>
      <c r="M2946" s="1">
        <f t="shared" si="275"/>
        <v>88.32000000000258</v>
      </c>
      <c r="N2946" s="1">
        <f t="shared" si="276"/>
        <v>-0.6306117801979324</v>
      </c>
      <c r="O2946" s="1">
        <f t="shared" si="277"/>
        <v>-4.8096290456462916E-2</v>
      </c>
      <c r="P2946" s="1">
        <f t="shared" si="278"/>
        <v>4.7531744940692668</v>
      </c>
      <c r="R2946" s="3">
        <f t="shared" ref="R2946:R3009" si="279">$B$3*COS(P2946)</f>
        <v>6.1161310688980272E-2</v>
      </c>
      <c r="S2946" s="3">
        <f t="shared" ref="S2946:S3009" si="280">$B$3*SIN(P2946)</f>
        <v>-1.4987525793388334</v>
      </c>
    </row>
    <row r="2947" spans="6:19" x14ac:dyDescent="0.2">
      <c r="F2947" s="3"/>
      <c r="G2947" s="3"/>
      <c r="H2947" s="3"/>
      <c r="M2947" s="1">
        <f t="shared" ref="M2947:M3010" si="281">M2946+B$13</f>
        <v>88.350000000002581</v>
      </c>
      <c r="N2947" s="1">
        <f t="shared" ref="N2947:N3010" si="282">-$B$12*$B$3*COS(P2946)-B$10*O2946</f>
        <v>-0.60728444074872101</v>
      </c>
      <c r="O2947" s="1">
        <f t="shared" ref="O2947:O3010" si="283">N2947*$B$13+O2946</f>
        <v>-6.631482367892455E-2</v>
      </c>
      <c r="P2947" s="1">
        <f t="shared" ref="P2947:P3010" si="284">O2947*$B$13+P2946</f>
        <v>4.7511850493588987</v>
      </c>
      <c r="R2947" s="3">
        <f t="shared" si="279"/>
        <v>5.8179506229889724E-2</v>
      </c>
      <c r="S2947" s="3">
        <f t="shared" si="280"/>
        <v>-1.4988712903564623</v>
      </c>
    </row>
    <row r="2948" spans="6:19" x14ac:dyDescent="0.2">
      <c r="F2948" s="3"/>
      <c r="G2948" s="3"/>
      <c r="H2948" s="3"/>
      <c r="M2948" s="1">
        <f t="shared" si="281"/>
        <v>88.380000000002582</v>
      </c>
      <c r="N2948" s="1">
        <f t="shared" si="282"/>
        <v>-0.57582672816779412</v>
      </c>
      <c r="O2948" s="1">
        <f t="shared" si="283"/>
        <v>-8.3589625523958377E-2</v>
      </c>
      <c r="P2948" s="1">
        <f t="shared" si="284"/>
        <v>4.74867736059318</v>
      </c>
      <c r="R2948" s="3">
        <f t="shared" si="279"/>
        <v>5.4420624542336482E-2</v>
      </c>
      <c r="S2948" s="3">
        <f t="shared" si="280"/>
        <v>-1.4990124734719261</v>
      </c>
    </row>
    <row r="2949" spans="6:19" x14ac:dyDescent="0.2">
      <c r="F2949" s="3"/>
      <c r="G2949" s="3"/>
      <c r="H2949" s="3"/>
      <c r="M2949" s="1">
        <f t="shared" si="281"/>
        <v>88.410000000002583</v>
      </c>
      <c r="N2949" s="1">
        <f t="shared" si="282"/>
        <v>-0.53668317912620855</v>
      </c>
      <c r="O2949" s="1">
        <f t="shared" si="283"/>
        <v>-9.9690120897744636E-2</v>
      </c>
      <c r="P2949" s="1">
        <f t="shared" si="284"/>
        <v>4.7456866569662477</v>
      </c>
      <c r="R2949" s="3">
        <f t="shared" si="279"/>
        <v>4.993728580690792E-2</v>
      </c>
      <c r="S2949" s="3">
        <f t="shared" si="280"/>
        <v>-1.4991685253787312</v>
      </c>
    </row>
    <row r="2950" spans="6:19" x14ac:dyDescent="0.2">
      <c r="F2950" s="3"/>
      <c r="G2950" s="3"/>
      <c r="H2950" s="3"/>
      <c r="M2950" s="1">
        <f t="shared" si="281"/>
        <v>88.440000000002584</v>
      </c>
      <c r="N2950" s="1">
        <f t="shared" si="282"/>
        <v>-0.49040074718828219</v>
      </c>
      <c r="O2950" s="1">
        <f t="shared" si="283"/>
        <v>-0.1144021433133931</v>
      </c>
      <c r="P2950" s="1">
        <f t="shared" si="284"/>
        <v>4.7422545926668462</v>
      </c>
      <c r="R2950" s="3">
        <f t="shared" si="279"/>
        <v>4.4791759026200549E-2</v>
      </c>
      <c r="S2950" s="3">
        <f t="shared" si="280"/>
        <v>-1.4993310836247407</v>
      </c>
    </row>
    <row r="2951" spans="6:19" x14ac:dyDescent="0.2">
      <c r="F2951" s="3"/>
      <c r="G2951" s="3"/>
      <c r="H2951" s="3"/>
      <c r="M2951" s="1">
        <f t="shared" si="281"/>
        <v>88.470000000002585</v>
      </c>
      <c r="N2951" s="1">
        <f t="shared" si="282"/>
        <v>-0.43762139736380012</v>
      </c>
      <c r="O2951" s="1">
        <f t="shared" si="283"/>
        <v>-0.12753078523430711</v>
      </c>
      <c r="P2951" s="1">
        <f t="shared" si="284"/>
        <v>4.7384286691098172</v>
      </c>
      <c r="R2951" s="3">
        <f t="shared" si="279"/>
        <v>3.9055119084427235E-2</v>
      </c>
      <c r="S2951" s="3">
        <f t="shared" si="280"/>
        <v>-1.4994914796934664</v>
      </c>
    </row>
    <row r="2952" spans="6:19" x14ac:dyDescent="0.2">
      <c r="F2952" s="3"/>
      <c r="G2952" s="3"/>
      <c r="H2952" s="3"/>
      <c r="M2952" s="1">
        <f t="shared" si="281"/>
        <v>88.500000000002586</v>
      </c>
      <c r="N2952" s="1">
        <f t="shared" si="282"/>
        <v>-0.37907342017318474</v>
      </c>
      <c r="O2952" s="1">
        <f t="shared" si="283"/>
        <v>-0.13890298783950264</v>
      </c>
      <c r="P2952" s="1">
        <f t="shared" si="284"/>
        <v>4.7342615794746319</v>
      </c>
      <c r="R2952" s="3">
        <f t="shared" si="279"/>
        <v>3.2806282676724877E-2</v>
      </c>
      <c r="S2952" s="3">
        <f t="shared" si="280"/>
        <v>-1.4996412063613533</v>
      </c>
    </row>
    <row r="2953" spans="6:19" x14ac:dyDescent="0.2">
      <c r="F2953" s="3"/>
      <c r="G2953" s="3"/>
      <c r="H2953" s="3"/>
      <c r="M2953" s="1">
        <f t="shared" si="281"/>
        <v>88.530000000002588</v>
      </c>
      <c r="N2953" s="1">
        <f t="shared" si="282"/>
        <v>-0.31556155786169349</v>
      </c>
      <c r="O2953" s="1">
        <f t="shared" si="283"/>
        <v>-0.14836983457535344</v>
      </c>
      <c r="P2953" s="1">
        <f t="shared" si="284"/>
        <v>4.7298104844373716</v>
      </c>
      <c r="R2953" s="3">
        <f t="shared" si="279"/>
        <v>2.6130934204120472E-2</v>
      </c>
      <c r="S2953" s="3">
        <f t="shared" si="280"/>
        <v>-1.4997723741546982</v>
      </c>
    </row>
    <row r="2954" spans="6:19" x14ac:dyDescent="0.2">
      <c r="F2954" s="3"/>
      <c r="G2954" s="3"/>
      <c r="H2954" s="3"/>
      <c r="M2954" s="1">
        <f t="shared" si="281"/>
        <v>88.560000000002589</v>
      </c>
      <c r="N2954" s="1">
        <f t="shared" si="282"/>
        <v>-0.24795605692942291</v>
      </c>
      <c r="O2954" s="1">
        <f t="shared" si="283"/>
        <v>-0.15580851628323614</v>
      </c>
      <c r="P2954" s="1">
        <f t="shared" si="284"/>
        <v>4.725136228948875</v>
      </c>
      <c r="R2954" s="3">
        <f t="shared" si="279"/>
        <v>1.9120355017903923E-2</v>
      </c>
      <c r="S2954" s="3">
        <f t="shared" si="280"/>
        <v>-1.4998781323907584</v>
      </c>
    </row>
    <row r="2955" spans="6:19" x14ac:dyDescent="0.2">
      <c r="F2955" s="3"/>
      <c r="G2955" s="3"/>
      <c r="H2955" s="3"/>
      <c r="M2955" s="1">
        <f t="shared" si="281"/>
        <v>88.59000000000259</v>
      </c>
      <c r="N2955" s="1">
        <f t="shared" si="282"/>
        <v>-0.17718078371354798</v>
      </c>
      <c r="O2955" s="1">
        <f t="shared" si="283"/>
        <v>-0.16112393979464257</v>
      </c>
      <c r="P2955" s="1">
        <f t="shared" si="284"/>
        <v>4.7203025107550358</v>
      </c>
      <c r="R2955" s="3">
        <f t="shared" si="279"/>
        <v>1.1870171661748752E-2</v>
      </c>
      <c r="S2955" s="3">
        <f t="shared" si="280"/>
        <v>-1.4999530322729178</v>
      </c>
    </row>
    <row r="2956" spans="6:19" x14ac:dyDescent="0.2">
      <c r="F2956" s="3"/>
      <c r="G2956" s="3"/>
      <c r="H2956" s="3"/>
      <c r="M2956" s="1">
        <f t="shared" si="281"/>
        <v>88.620000000002591</v>
      </c>
      <c r="N2956" s="1">
        <f t="shared" si="282"/>
        <v>-0.1042005620359697</v>
      </c>
      <c r="O2956" s="1">
        <f t="shared" si="283"/>
        <v>-0.16424995665572165</v>
      </c>
      <c r="P2956" s="1">
        <f t="shared" si="284"/>
        <v>4.7153750120553646</v>
      </c>
      <c r="R2956" s="3">
        <f t="shared" si="279"/>
        <v>4.4790408498629457E-3</v>
      </c>
      <c r="S2956" s="3">
        <f t="shared" si="280"/>
        <v>-1.4999933127161151</v>
      </c>
    </row>
    <row r="2957" spans="6:19" x14ac:dyDescent="0.2">
      <c r="F2957" s="3"/>
      <c r="G2957" s="3"/>
      <c r="H2957" s="3"/>
      <c r="M2957" s="1">
        <f t="shared" si="281"/>
        <v>88.650000000002592</v>
      </c>
      <c r="N2957" s="1">
        <f t="shared" si="282"/>
        <v>-3.0007912399614513E-2</v>
      </c>
      <c r="O2957" s="1">
        <f t="shared" si="283"/>
        <v>-0.16515019402771008</v>
      </c>
      <c r="P2957" s="1">
        <f t="shared" si="284"/>
        <v>4.7104205062345335</v>
      </c>
      <c r="R2957" s="3">
        <f t="shared" si="279"/>
        <v>-2.9527093183295368E-3</v>
      </c>
      <c r="S2957" s="3">
        <f t="shared" si="280"/>
        <v>-1.4999970938330787</v>
      </c>
    </row>
    <row r="2958" spans="6:19" x14ac:dyDescent="0.2">
      <c r="F2958" s="3"/>
      <c r="G2958" s="3"/>
      <c r="H2958" s="3"/>
      <c r="M2958" s="1">
        <f t="shared" si="281"/>
        <v>88.680000000002593</v>
      </c>
      <c r="N2958" s="1">
        <f t="shared" si="282"/>
        <v>4.439061064578928E-2</v>
      </c>
      <c r="O2958" s="1">
        <f t="shared" si="283"/>
        <v>-0.16381847570833641</v>
      </c>
      <c r="P2958" s="1">
        <f t="shared" si="284"/>
        <v>4.7055059519632838</v>
      </c>
      <c r="R2958" s="3">
        <f t="shared" si="279"/>
        <v>-1.0324461109575475E-2</v>
      </c>
      <c r="S2958" s="3">
        <f t="shared" si="280"/>
        <v>-1.4999644680800932</v>
      </c>
    </row>
    <row r="2959" spans="6:19" x14ac:dyDescent="0.2">
      <c r="F2959" s="3"/>
      <c r="G2959" s="3"/>
      <c r="H2959" s="3"/>
      <c r="M2959" s="1">
        <f t="shared" si="281"/>
        <v>88.710000000002594</v>
      </c>
      <c r="N2959" s="1">
        <f t="shared" si="282"/>
        <v>0.11798827390950503</v>
      </c>
      <c r="O2959" s="1">
        <f t="shared" si="283"/>
        <v>-0.16027882749105127</v>
      </c>
      <c r="P2959" s="1">
        <f t="shared" si="284"/>
        <v>4.7006975871385519</v>
      </c>
      <c r="R2959" s="3">
        <f t="shared" si="279"/>
        <v>-1.7536690351671463E-2</v>
      </c>
      <c r="S2959" s="3">
        <f t="shared" si="280"/>
        <v>-1.4998974846607049</v>
      </c>
    </row>
    <row r="2960" spans="6:19" x14ac:dyDescent="0.2">
      <c r="F2960" s="3"/>
      <c r="G2960" s="3"/>
      <c r="H2960" s="3"/>
      <c r="M2960" s="1">
        <f t="shared" si="281"/>
        <v>88.740000000002595</v>
      </c>
      <c r="N2960" s="1">
        <f t="shared" si="282"/>
        <v>0.18979199799090923</v>
      </c>
      <c r="O2960" s="1">
        <f t="shared" si="283"/>
        <v>-0.15458506755132398</v>
      </c>
      <c r="P2960" s="1">
        <f t="shared" si="284"/>
        <v>4.6960600351120121</v>
      </c>
      <c r="R2960" s="3">
        <f t="shared" si="279"/>
        <v>-2.4492329458677031E-2</v>
      </c>
      <c r="S2960" s="3">
        <f t="shared" si="280"/>
        <v>-1.4998000286030426</v>
      </c>
    </row>
    <row r="2961" spans="6:19" x14ac:dyDescent="0.2">
      <c r="F2961" s="3"/>
      <c r="G2961" s="3"/>
      <c r="H2961" s="3"/>
      <c r="M2961" s="1">
        <f t="shared" si="281"/>
        <v>88.770000000002597</v>
      </c>
      <c r="N2961" s="1">
        <f t="shared" si="282"/>
        <v>0.25883595066638948</v>
      </c>
      <c r="O2961" s="1">
        <f t="shared" si="283"/>
        <v>-0.14681998903133228</v>
      </c>
      <c r="P2961" s="1">
        <f t="shared" si="284"/>
        <v>4.6916554354410724</v>
      </c>
      <c r="R2961" s="3">
        <f t="shared" si="279"/>
        <v>-3.1098089229835452E-2</v>
      </c>
      <c r="S2961" s="3">
        <f t="shared" si="280"/>
        <v>-1.4996776016351825</v>
      </c>
    </row>
    <row r="2962" spans="6:19" x14ac:dyDescent="0.2">
      <c r="F2962" s="3"/>
      <c r="G2962" s="3"/>
      <c r="H2962" s="3"/>
      <c r="M2962" s="1">
        <f t="shared" si="281"/>
        <v>88.800000000002598</v>
      </c>
      <c r="N2962" s="1">
        <f t="shared" si="282"/>
        <v>0.3241946913111744</v>
      </c>
      <c r="O2962" s="1">
        <f t="shared" si="283"/>
        <v>-0.13709414829199706</v>
      </c>
      <c r="P2962" s="1">
        <f t="shared" si="284"/>
        <v>4.6875426109923124</v>
      </c>
      <c r="R2962" s="3">
        <f t="shared" si="279"/>
        <v>-3.7265719529639349E-2</v>
      </c>
      <c r="S2962" s="3">
        <f t="shared" si="280"/>
        <v>-1.4995370172649751</v>
      </c>
    </row>
    <row r="2963" spans="6:19" x14ac:dyDescent="0.2">
      <c r="F2963" s="3"/>
      <c r="G2963" s="3"/>
      <c r="H2963" s="3"/>
      <c r="M2963" s="1">
        <f t="shared" si="281"/>
        <v>88.830000000002599</v>
      </c>
      <c r="N2963" s="1">
        <f t="shared" si="282"/>
        <v>0.38499566864267321</v>
      </c>
      <c r="O2963" s="1">
        <f t="shared" si="283"/>
        <v>-0.12554427823271685</v>
      </c>
      <c r="P2963" s="1">
        <f t="shared" si="284"/>
        <v>4.6837762826453311</v>
      </c>
      <c r="R2963" s="3">
        <f t="shared" si="279"/>
        <v>-4.291319064161226E-2</v>
      </c>
      <c r="S2963" s="3">
        <f t="shared" si="280"/>
        <v>-1.4993860270353849</v>
      </c>
    </row>
    <row r="2964" spans="6:19" x14ac:dyDescent="0.2">
      <c r="F2964" s="3"/>
      <c r="G2964" s="3"/>
      <c r="H2964" s="3"/>
      <c r="M2964" s="1">
        <f t="shared" si="281"/>
        <v>88.8600000000026</v>
      </c>
      <c r="N2964" s="1">
        <f t="shared" si="282"/>
        <v>0.4404308914570671</v>
      </c>
      <c r="O2964" s="1">
        <f t="shared" si="283"/>
        <v>-0.11233135148900485</v>
      </c>
      <c r="P2964" s="1">
        <f t="shared" si="284"/>
        <v>4.6804063421006612</v>
      </c>
      <c r="R2964" s="3">
        <f t="shared" si="279"/>
        <v>-4.7965779170891495E-2</v>
      </c>
      <c r="S2964" s="3">
        <f t="shared" si="280"/>
        <v>-1.4992328985279535</v>
      </c>
    </row>
    <row r="2965" spans="6:19" x14ac:dyDescent="0.2">
      <c r="F2965" s="3"/>
      <c r="G2965" s="3"/>
      <c r="H2965" s="3"/>
      <c r="M2965" s="1">
        <f t="shared" si="281"/>
        <v>88.890000000002601</v>
      </c>
      <c r="N2965" s="1">
        <f t="shared" si="282"/>
        <v>0.4897676133429254</v>
      </c>
      <c r="O2965" s="1">
        <f t="shared" si="283"/>
        <v>-9.7638323088717088E-2</v>
      </c>
      <c r="P2965" s="1">
        <f t="shared" si="284"/>
        <v>4.6774771924079994</v>
      </c>
      <c r="R2965" s="3">
        <f t="shared" si="279"/>
        <v>-5.2357044704015851E-2</v>
      </c>
      <c r="S2965" s="3">
        <f t="shared" si="280"/>
        <v>-1.4990859681385393</v>
      </c>
    </row>
    <row r="2966" spans="6:19" x14ac:dyDescent="0.2">
      <c r="F2966" s="3"/>
      <c r="G2966" s="3"/>
      <c r="H2966" s="3"/>
      <c r="M2966" s="1">
        <f t="shared" si="281"/>
        <v>88.920000000002602</v>
      </c>
      <c r="N2966" s="1">
        <f t="shared" si="282"/>
        <v>0.5323578961181431</v>
      </c>
      <c r="O2966" s="1">
        <f t="shared" si="283"/>
        <v>-8.1667586205172796E-2</v>
      </c>
      <c r="P2966" s="1">
        <f t="shared" si="284"/>
        <v>4.6750271648218442</v>
      </c>
      <c r="R2966" s="3">
        <f t="shared" si="279"/>
        <v>-5.6029685865519055E-2</v>
      </c>
      <c r="S2966" s="3">
        <f t="shared" si="280"/>
        <v>-1.4989531928321882</v>
      </c>
    </row>
    <row r="2967" spans="6:19" x14ac:dyDescent="0.2">
      <c r="F2967" s="3"/>
      <c r="G2967" s="3"/>
      <c r="H2967" s="3"/>
      <c r="M2967" s="1">
        <f t="shared" si="281"/>
        <v>88.950000000002603</v>
      </c>
      <c r="N2967" s="1">
        <f t="shared" si="282"/>
        <v>0.56764694141365613</v>
      </c>
      <c r="O2967" s="1">
        <f t="shared" si="283"/>
        <v>-6.463817796276311E-2</v>
      </c>
      <c r="P2967" s="1">
        <f t="shared" si="284"/>
        <v>4.6730880194829609</v>
      </c>
      <c r="R2967" s="3">
        <f t="shared" si="279"/>
        <v>-5.8936266797191009E-2</v>
      </c>
      <c r="S2967" s="3">
        <f t="shared" si="280"/>
        <v>-1.498841724951641</v>
      </c>
    </row>
    <row r="2968" spans="6:19" x14ac:dyDescent="0.2">
      <c r="F2968" s="3"/>
      <c r="G2968" s="3"/>
      <c r="H2968" s="3"/>
      <c r="M2968" s="1">
        <f t="shared" si="281"/>
        <v>88.980000000002605</v>
      </c>
      <c r="N2968" s="1">
        <f t="shared" si="282"/>
        <v>0.5951801039885587</v>
      </c>
      <c r="O2968" s="1">
        <f t="shared" si="283"/>
        <v>-4.6782774843106348E-2</v>
      </c>
      <c r="P2968" s="1">
        <f t="shared" si="284"/>
        <v>4.6716845362376676</v>
      </c>
      <c r="R2968" s="3">
        <f t="shared" si="279"/>
        <v>-6.1039807309613163E-2</v>
      </c>
      <c r="S2968" s="3">
        <f t="shared" si="280"/>
        <v>-1.4987575327328984</v>
      </c>
    </row>
    <row r="2969" spans="6:19" x14ac:dyDescent="0.2">
      <c r="F2969" s="3"/>
      <c r="G2969" s="3"/>
      <c r="H2969" s="3"/>
      <c r="M2969" s="1">
        <f t="shared" si="281"/>
        <v>89.010000000002606</v>
      </c>
      <c r="N2969" s="1">
        <f t="shared" si="282"/>
        <v>0.61460852283201117</v>
      </c>
      <c r="O2969" s="1">
        <f t="shared" si="283"/>
        <v>-2.8344519158146012E-2</v>
      </c>
      <c r="P2969" s="1">
        <f t="shared" si="284"/>
        <v>4.6708342006629229</v>
      </c>
      <c r="R2969" s="3">
        <f t="shared" si="279"/>
        <v>-6.2314231935983261E-2</v>
      </c>
      <c r="S2969" s="3">
        <f t="shared" si="280"/>
        <v>-1.4987050865658089</v>
      </c>
    </row>
    <row r="2970" spans="6:19" x14ac:dyDescent="0.2">
      <c r="F2970" s="3"/>
      <c r="G2970" s="3"/>
      <c r="H2970" s="3"/>
      <c r="M2970" s="1">
        <f t="shared" si="281"/>
        <v>89.040000000002607</v>
      </c>
      <c r="N2970" s="1">
        <f t="shared" si="282"/>
        <v>0.6256933260840658</v>
      </c>
      <c r="O2970" s="1">
        <f t="shared" si="283"/>
        <v>-9.5737193756240402E-3</v>
      </c>
      <c r="P2970" s="1">
        <f t="shared" si="284"/>
        <v>4.6705469890816538</v>
      </c>
      <c r="R2970" s="3">
        <f t="shared" si="279"/>
        <v>-6.27446748176681E-2</v>
      </c>
      <c r="S2970" s="3">
        <f t="shared" si="280"/>
        <v>-1.4986871273825051</v>
      </c>
    </row>
    <row r="2971" spans="6:19" x14ac:dyDescent="0.2">
      <c r="F2971" s="3"/>
      <c r="G2971" s="3"/>
      <c r="H2971" s="3"/>
      <c r="M2971" s="1">
        <f t="shared" si="281"/>
        <v>89.070000000002608</v>
      </c>
      <c r="N2971" s="1">
        <f t="shared" si="282"/>
        <v>0.62830838292048719</v>
      </c>
      <c r="O2971" s="1">
        <f t="shared" si="283"/>
        <v>9.2755321119905761E-3</v>
      </c>
      <c r="P2971" s="1">
        <f t="shared" si="284"/>
        <v>4.6708252550450133</v>
      </c>
      <c r="R2971" s="3">
        <f t="shared" si="279"/>
        <v>-6.2327638776553271E-2</v>
      </c>
      <c r="S2971" s="3">
        <f t="shared" si="280"/>
        <v>-1.4987045290665333</v>
      </c>
    </row>
    <row r="2972" spans="6:19" x14ac:dyDescent="0.2">
      <c r="F2972" s="3"/>
      <c r="G2972" s="3"/>
      <c r="H2972" s="3"/>
      <c r="M2972" s="1">
        <f t="shared" si="281"/>
        <v>89.100000000002609</v>
      </c>
      <c r="N2972" s="1">
        <f t="shared" si="282"/>
        <v>0.62244158987545362</v>
      </c>
      <c r="O2972" s="1">
        <f t="shared" si="283"/>
        <v>2.7948779808254182E-2</v>
      </c>
      <c r="P2972" s="1">
        <f t="shared" si="284"/>
        <v>4.6716637184392606</v>
      </c>
      <c r="R2972" s="3">
        <f t="shared" si="279"/>
        <v>-6.1071008128561428E-2</v>
      </c>
      <c r="S2972" s="3">
        <f t="shared" si="280"/>
        <v>-1.4987562616937289</v>
      </c>
    </row>
    <row r="2973" spans="6:19" x14ac:dyDescent="0.2">
      <c r="F2973" s="3"/>
      <c r="G2973" s="3"/>
      <c r="H2973" s="3"/>
      <c r="M2973" s="1">
        <f t="shared" si="281"/>
        <v>89.13000000000261</v>
      </c>
      <c r="N2973" s="1">
        <f t="shared" si="282"/>
        <v>0.6081946911028715</v>
      </c>
      <c r="O2973" s="1">
        <f t="shared" si="283"/>
        <v>4.6194620541340325E-2</v>
      </c>
      <c r="P2973" s="1">
        <f t="shared" si="284"/>
        <v>4.6730495570555011</v>
      </c>
      <c r="R2973" s="3">
        <f t="shared" si="279"/>
        <v>-5.8993915844702635E-2</v>
      </c>
      <c r="S2973" s="3">
        <f t="shared" si="280"/>
        <v>-1.498839457011093</v>
      </c>
    </row>
    <row r="2974" spans="6:19" x14ac:dyDescent="0.2">
      <c r="F2974" s="3"/>
      <c r="G2974" s="3"/>
      <c r="H2974" s="3"/>
      <c r="M2974" s="1">
        <f t="shared" si="281"/>
        <v>89.160000000002611</v>
      </c>
      <c r="N2974" s="1">
        <f t="shared" si="282"/>
        <v>0.58578164259830579</v>
      </c>
      <c r="O2974" s="1">
        <f t="shared" si="283"/>
        <v>6.3768069819289494E-2</v>
      </c>
      <c r="P2974" s="1">
        <f t="shared" si="284"/>
        <v>4.6749625991500796</v>
      </c>
      <c r="R2974" s="3">
        <f t="shared" si="279"/>
        <v>-5.6126466668504522E-2</v>
      </c>
      <c r="S2974" s="3">
        <f t="shared" si="280"/>
        <v>-1.4989495721135215</v>
      </c>
    </row>
    <row r="2975" spans="6:19" x14ac:dyDescent="0.2">
      <c r="F2975" s="3"/>
      <c r="G2975" s="3"/>
      <c r="H2975" s="3"/>
      <c r="M2975" s="1">
        <f t="shared" si="281"/>
        <v>89.190000000002613</v>
      </c>
      <c r="N2975" s="1">
        <f t="shared" si="282"/>
        <v>0.55552554040130919</v>
      </c>
      <c r="O2975" s="1">
        <f t="shared" si="283"/>
        <v>8.0433836031328768E-2</v>
      </c>
      <c r="P2975" s="1">
        <f t="shared" si="284"/>
        <v>4.6773756142310194</v>
      </c>
      <c r="R2975" s="3">
        <f t="shared" si="279"/>
        <v>-5.2509318853420472E-2</v>
      </c>
      <c r="S2975" s="3">
        <f t="shared" si="280"/>
        <v>-1.4990806420715164</v>
      </c>
    </row>
    <row r="2976" spans="6:19" x14ac:dyDescent="0.2">
      <c r="F2976" s="3"/>
      <c r="G2976" s="3"/>
      <c r="H2976" s="3"/>
      <c r="M2976" s="1">
        <f t="shared" si="281"/>
        <v>89.220000000002614</v>
      </c>
      <c r="N2976" s="1">
        <f t="shared" si="282"/>
        <v>0.51785414329138513</v>
      </c>
      <c r="O2976" s="1">
        <f t="shared" si="283"/>
        <v>9.5969460330070325E-2</v>
      </c>
      <c r="P2976" s="1">
        <f t="shared" si="284"/>
        <v>4.6802546980409216</v>
      </c>
      <c r="R2976" s="3">
        <f t="shared" si="279"/>
        <v>-4.8193128381739385E-2</v>
      </c>
      <c r="S2976" s="3">
        <f t="shared" si="280"/>
        <v>-1.4992256075643788</v>
      </c>
    </row>
    <row r="2977" spans="6:19" x14ac:dyDescent="0.2">
      <c r="F2977" s="3"/>
      <c r="G2977" s="3"/>
      <c r="H2977" s="3"/>
      <c r="M2977" s="1">
        <f t="shared" si="281"/>
        <v>89.250000000002615</v>
      </c>
      <c r="N2977" s="1">
        <f t="shared" si="282"/>
        <v>0.47329403238768752</v>
      </c>
      <c r="O2977" s="1">
        <f t="shared" si="283"/>
        <v>0.11016828130170095</v>
      </c>
      <c r="P2977" s="1">
        <f t="shared" si="284"/>
        <v>4.6835597464799728</v>
      </c>
      <c r="R2977" s="3">
        <f t="shared" si="279"/>
        <v>-4.323786093370624E-2</v>
      </c>
      <c r="S2977" s="3">
        <f t="shared" si="280"/>
        <v>-1.4993766996261739</v>
      </c>
    </row>
    <row r="2978" spans="6:19" x14ac:dyDescent="0.2">
      <c r="F2978" s="3"/>
      <c r="G2978" s="3"/>
      <c r="H2978" s="3"/>
      <c r="M2978" s="1">
        <f t="shared" si="281"/>
        <v>89.280000000002616</v>
      </c>
      <c r="N2978" s="1">
        <f t="shared" si="282"/>
        <v>0.42246346401990931</v>
      </c>
      <c r="O2978" s="1">
        <f t="shared" si="283"/>
        <v>0.12284218522229823</v>
      </c>
      <c r="P2978" s="1">
        <f t="shared" si="284"/>
        <v>4.6872450120366418</v>
      </c>
      <c r="R2978" s="3">
        <f t="shared" si="279"/>
        <v>-3.7711978523157844E-2</v>
      </c>
      <c r="S2978" s="3">
        <f t="shared" si="280"/>
        <v>-1.4995258606225732</v>
      </c>
    </row>
    <row r="2979" spans="6:19" x14ac:dyDescent="0.2">
      <c r="F2979" s="3"/>
      <c r="G2979" s="3"/>
      <c r="H2979" s="3"/>
      <c r="M2979" s="1">
        <f t="shared" si="281"/>
        <v>89.310000000002617</v>
      </c>
      <c r="N2979" s="1">
        <f t="shared" si="282"/>
        <v>0.36606398856157157</v>
      </c>
      <c r="O2979" s="1">
        <f t="shared" si="283"/>
        <v>0.13382410487914537</v>
      </c>
      <c r="P2979" s="1">
        <f t="shared" si="284"/>
        <v>4.6912597351830163</v>
      </c>
      <c r="R2979" s="3">
        <f t="shared" si="279"/>
        <v>-3.1691509593668198E-2</v>
      </c>
      <c r="S2979" s="3">
        <f t="shared" si="280"/>
        <v>-1.4996651787047917</v>
      </c>
    </row>
    <row r="2980" spans="6:19" x14ac:dyDescent="0.2">
      <c r="F2980" s="3"/>
      <c r="G2980" s="3"/>
      <c r="H2980" s="3"/>
      <c r="M2980" s="1">
        <f t="shared" si="281"/>
        <v>89.340000000002618</v>
      </c>
      <c r="N2980" s="1">
        <f t="shared" si="282"/>
        <v>0.30487092649755893</v>
      </c>
      <c r="O2980" s="1">
        <f t="shared" si="283"/>
        <v>0.14297023267407213</v>
      </c>
      <c r="P2980" s="1">
        <f t="shared" si="284"/>
        <v>4.6955488421632383</v>
      </c>
      <c r="R2980" s="3">
        <f t="shared" si="279"/>
        <v>-2.5259013424332025E-2</v>
      </c>
      <c r="S2980" s="3">
        <f t="shared" si="280"/>
        <v>-1.4997873123349288</v>
      </c>
    </row>
    <row r="2981" spans="6:19" x14ac:dyDescent="0.2">
      <c r="F2981" s="3"/>
      <c r="G2981" s="3"/>
      <c r="H2981" s="3"/>
      <c r="M2981" s="1">
        <f t="shared" si="281"/>
        <v>89.370000000002619</v>
      </c>
      <c r="N2981" s="1">
        <f t="shared" si="282"/>
        <v>0.23972281330265371</v>
      </c>
      <c r="O2981" s="1">
        <f t="shared" si="283"/>
        <v>0.15016191707315174</v>
      </c>
      <c r="P2981" s="1">
        <f t="shared" si="284"/>
        <v>4.7000536996754327</v>
      </c>
      <c r="R2981" s="3">
        <f t="shared" si="279"/>
        <v>-1.8502451835998079E-2</v>
      </c>
      <c r="S2981" s="3">
        <f t="shared" si="280"/>
        <v>-1.4998858820843859</v>
      </c>
    </row>
    <row r="2982" spans="6:19" x14ac:dyDescent="0.2">
      <c r="F2982" s="3"/>
      <c r="G2982" s="3"/>
      <c r="H2982" s="3"/>
      <c r="M2982" s="1">
        <f t="shared" si="281"/>
        <v>89.40000000000262</v>
      </c>
      <c r="N2982" s="1">
        <f t="shared" si="282"/>
        <v>0.17150994582339715</v>
      </c>
      <c r="O2982" s="1">
        <f t="shared" si="283"/>
        <v>0.15530721544785364</v>
      </c>
      <c r="P2982" s="1">
        <f t="shared" si="284"/>
        <v>4.7047129161388686</v>
      </c>
      <c r="R2982" s="3">
        <f t="shared" si="279"/>
        <v>-1.1513983296873045E-2</v>
      </c>
      <c r="S2982" s="3">
        <f t="shared" si="280"/>
        <v>-1.4999558087452574</v>
      </c>
    </row>
    <row r="2983" spans="6:19" x14ac:dyDescent="0.2">
      <c r="F2983" s="3"/>
      <c r="G2983" s="3"/>
      <c r="H2983" s="3"/>
      <c r="M2983" s="1">
        <f t="shared" si="281"/>
        <v>89.430000000002622</v>
      </c>
      <c r="N2983" s="1">
        <f t="shared" si="282"/>
        <v>0.10116218357842363</v>
      </c>
      <c r="O2983" s="1">
        <f t="shared" si="283"/>
        <v>0.15834208095520635</v>
      </c>
      <c r="P2983" s="1">
        <f t="shared" si="284"/>
        <v>4.7094631785675247</v>
      </c>
      <c r="R2983" s="3">
        <f t="shared" si="279"/>
        <v>-4.3886964643031576E-3</v>
      </c>
      <c r="S2983" s="3">
        <f t="shared" si="280"/>
        <v>-1.4999935797673749</v>
      </c>
    </row>
    <row r="2984" spans="6:19" x14ac:dyDescent="0.2">
      <c r="F2984" s="3"/>
      <c r="G2984" s="3"/>
      <c r="H2984" s="3"/>
      <c r="M2984" s="1">
        <f t="shared" si="281"/>
        <v>89.460000000002623</v>
      </c>
      <c r="N2984" s="1">
        <f t="shared" si="282"/>
        <v>2.9636177357063004E-2</v>
      </c>
      <c r="O2984" s="1">
        <f t="shared" si="283"/>
        <v>0.15923116627591824</v>
      </c>
      <c r="P2984" s="1">
        <f t="shared" si="284"/>
        <v>4.7142401135558023</v>
      </c>
      <c r="R2984" s="3">
        <f t="shared" si="279"/>
        <v>2.7766981708521989E-3</v>
      </c>
      <c r="S2984" s="3">
        <f t="shared" si="280"/>
        <v>-1.499997429980221</v>
      </c>
    </row>
    <row r="2985" spans="6:19" x14ac:dyDescent="0.2">
      <c r="F2985" s="3"/>
      <c r="G2985" s="3"/>
      <c r="H2985" s="3"/>
      <c r="M2985" s="1">
        <f t="shared" si="281"/>
        <v>89.490000000002624</v>
      </c>
      <c r="N2985" s="1">
        <f t="shared" si="282"/>
        <v>-4.2097786673354627E-2</v>
      </c>
      <c r="O2985" s="1">
        <f t="shared" si="283"/>
        <v>0.15796823267571761</v>
      </c>
      <c r="P2985" s="1">
        <f t="shared" si="284"/>
        <v>4.7189791605360742</v>
      </c>
      <c r="R2985" s="3">
        <f t="shared" si="279"/>
        <v>9.8851986735693283E-3</v>
      </c>
      <c r="S2985" s="3">
        <f t="shared" si="280"/>
        <v>-1.4999674272620669</v>
      </c>
    </row>
    <row r="2986" spans="6:19" x14ac:dyDescent="0.2">
      <c r="F2986" s="3"/>
      <c r="G2986" s="3"/>
      <c r="H2986" s="3"/>
      <c r="M2986" s="1">
        <f t="shared" si="281"/>
        <v>89.520000000002625</v>
      </c>
      <c r="N2986" s="1">
        <f t="shared" si="282"/>
        <v>-0.11306912767650787</v>
      </c>
      <c r="O2986" s="1">
        <f t="shared" si="283"/>
        <v>0.15457615884542236</v>
      </c>
      <c r="P2986" s="1">
        <f t="shared" si="284"/>
        <v>4.7236164453014373</v>
      </c>
      <c r="R2986" s="3">
        <f t="shared" si="279"/>
        <v>1.6840843555110403E-2</v>
      </c>
      <c r="S2986" s="3">
        <f t="shared" si="280"/>
        <v>-1.4999054590167851</v>
      </c>
    </row>
    <row r="2987" spans="6:19" x14ac:dyDescent="0.2">
      <c r="F2987" s="3"/>
      <c r="G2987" s="3"/>
      <c r="H2987" s="3"/>
      <c r="M2987" s="1">
        <f t="shared" si="281"/>
        <v>89.550000000002626</v>
      </c>
      <c r="N2987" s="1">
        <f t="shared" si="282"/>
        <v>-0.18232028984719204</v>
      </c>
      <c r="O2987" s="1">
        <f t="shared" si="283"/>
        <v>0.14910655015000659</v>
      </c>
      <c r="P2987" s="1">
        <f t="shared" si="284"/>
        <v>4.7280896418059379</v>
      </c>
      <c r="R2987" s="3">
        <f t="shared" si="279"/>
        <v>2.3550024548267739E-2</v>
      </c>
      <c r="S2987" s="3">
        <f t="shared" si="280"/>
        <v>-1.4998151207211428</v>
      </c>
    </row>
    <row r="2988" spans="6:19" x14ac:dyDescent="0.2">
      <c r="F2988" s="3"/>
      <c r="G2988" s="3"/>
      <c r="H2988" s="3"/>
      <c r="M2988" s="1">
        <f t="shared" si="281"/>
        <v>89.580000000002627</v>
      </c>
      <c r="N2988" s="1">
        <f t="shared" si="282"/>
        <v>-0.24891983499617798</v>
      </c>
      <c r="O2988" s="1">
        <f t="shared" si="283"/>
        <v>0.14163895510012126</v>
      </c>
      <c r="P2988" s="1">
        <f t="shared" si="284"/>
        <v>4.7323388104589412</v>
      </c>
      <c r="R2988" s="3">
        <f t="shared" si="279"/>
        <v>2.9922760164131458E-2</v>
      </c>
      <c r="S2988" s="3">
        <f t="shared" si="280"/>
        <v>-1.4997015131099121</v>
      </c>
    </row>
    <row r="2989" spans="6:19" x14ac:dyDescent="0.2">
      <c r="F2989" s="3"/>
      <c r="G2989" s="3"/>
      <c r="H2989" s="3"/>
      <c r="M2989" s="1">
        <f t="shared" si="281"/>
        <v>89.610000000002628</v>
      </c>
      <c r="N2989" s="1">
        <f t="shared" si="282"/>
        <v>-0.31197510760032554</v>
      </c>
      <c r="O2989" s="1">
        <f t="shared" si="283"/>
        <v>0.13227970187211149</v>
      </c>
      <c r="P2989" s="1">
        <f t="shared" si="284"/>
        <v>4.7363072015151042</v>
      </c>
      <c r="R2989" s="3">
        <f t="shared" si="279"/>
        <v>3.5873911001697026E-2</v>
      </c>
      <c r="S2989" s="3">
        <f t="shared" si="280"/>
        <v>-1.499570959477891</v>
      </c>
    </row>
    <row r="2990" spans="6:19" x14ac:dyDescent="0.2">
      <c r="F2990" s="3"/>
      <c r="G2990" s="3"/>
      <c r="H2990" s="3"/>
      <c r="M2990" s="1">
        <f t="shared" si="281"/>
        <v>89.64000000000263</v>
      </c>
      <c r="N2990" s="1">
        <f t="shared" si="282"/>
        <v>-0.37064428318546028</v>
      </c>
      <c r="O2990" s="1">
        <f t="shared" si="283"/>
        <v>0.12116037337654768</v>
      </c>
      <c r="P2990" s="1">
        <f t="shared" si="284"/>
        <v>4.7399420127164005</v>
      </c>
      <c r="R2990" s="3">
        <f t="shared" si="279"/>
        <v>4.1324319339991485E-2</v>
      </c>
      <c r="S2990" s="3">
        <f t="shared" si="280"/>
        <v>-1.4994306588272386</v>
      </c>
    </row>
    <row r="2991" spans="6:19" x14ac:dyDescent="0.2">
      <c r="F2991" s="3"/>
      <c r="G2991" s="3"/>
      <c r="H2991" s="3"/>
      <c r="M2991" s="1">
        <f t="shared" si="281"/>
        <v>89.670000000002631</v>
      </c>
      <c r="N2991" s="1">
        <f t="shared" si="282"/>
        <v>-0.42414762700380415</v>
      </c>
      <c r="O2991" s="1">
        <f t="shared" si="283"/>
        <v>0.10843594456643356</v>
      </c>
      <c r="P2991" s="1">
        <f t="shared" si="284"/>
        <v>4.7431950910533933</v>
      </c>
      <c r="R2991" s="3">
        <f t="shared" si="279"/>
        <v>4.620185747337837E-2</v>
      </c>
      <c r="S2991" s="3">
        <f t="shared" si="280"/>
        <v>-1.4992882939468344</v>
      </c>
    </row>
    <row r="2992" spans="6:19" x14ac:dyDescent="0.2">
      <c r="F2992" s="3"/>
      <c r="G2992" s="3"/>
      <c r="H2992" s="3"/>
      <c r="M2992" s="1">
        <f t="shared" si="281"/>
        <v>89.700000000002632</v>
      </c>
      <c r="N2992" s="1">
        <f t="shared" si="282"/>
        <v>-0.47177780974476274</v>
      </c>
      <c r="O2992" s="1">
        <f t="shared" si="283"/>
        <v>9.4282610274090684E-2</v>
      </c>
      <c r="P2992" s="1">
        <f t="shared" si="284"/>
        <v>4.7460235693616157</v>
      </c>
      <c r="R2992" s="3">
        <f t="shared" si="279"/>
        <v>5.0442371422108528E-2</v>
      </c>
      <c r="S2992" s="3">
        <f t="shared" si="280"/>
        <v>-1.4991516158031895</v>
      </c>
    </row>
    <row r="2993" spans="6:19" x14ac:dyDescent="0.2">
      <c r="F2993" s="3"/>
      <c r="G2993" s="3"/>
      <c r="H2993" s="3"/>
      <c r="M2993" s="1">
        <f t="shared" si="281"/>
        <v>89.730000000002633</v>
      </c>
      <c r="N2993" s="1">
        <f t="shared" si="282"/>
        <v>-0.51290914914575336</v>
      </c>
      <c r="O2993" s="1">
        <f t="shared" si="283"/>
        <v>7.889533579971808E-2</v>
      </c>
      <c r="P2993" s="1">
        <f t="shared" si="284"/>
        <v>4.7483904294356076</v>
      </c>
      <c r="R2993" s="3">
        <f t="shared" si="279"/>
        <v>5.3990508923798475E-2</v>
      </c>
      <c r="S2993" s="3">
        <f t="shared" si="280"/>
        <v>-1.4990280267380425</v>
      </c>
    </row>
    <row r="2994" spans="6:19" x14ac:dyDescent="0.2">
      <c r="F2994" s="3"/>
      <c r="G2994" s="3"/>
      <c r="H2994" s="3"/>
      <c r="M2994" s="1">
        <f t="shared" si="281"/>
        <v>89.760000000002634</v>
      </c>
      <c r="N2994" s="1">
        <f t="shared" si="282"/>
        <v>-0.54700566945995932</v>
      </c>
      <c r="O2994" s="1">
        <f t="shared" si="283"/>
        <v>6.2485165715919305E-2</v>
      </c>
      <c r="P2994" s="1">
        <f t="shared" si="284"/>
        <v>4.7502649844070852</v>
      </c>
      <c r="R2994" s="3">
        <f t="shared" si="279"/>
        <v>5.680042285787798E-2</v>
      </c>
      <c r="S2994" s="3">
        <f t="shared" si="280"/>
        <v>-1.4989241848616515</v>
      </c>
    </row>
    <row r="2995" spans="6:19" x14ac:dyDescent="0.2">
      <c r="F2995" s="3"/>
      <c r="G2995" s="3"/>
      <c r="H2995" s="3"/>
      <c r="M2995" s="1">
        <f t="shared" si="281"/>
        <v>89.790000000002635</v>
      </c>
      <c r="N2995" s="1">
        <f t="shared" si="282"/>
        <v>-0.57362789349321264</v>
      </c>
      <c r="O2995" s="1">
        <f t="shared" si="283"/>
        <v>4.5276328911122932E-2</v>
      </c>
      <c r="P2995" s="1">
        <f t="shared" si="284"/>
        <v>4.7516232742744187</v>
      </c>
      <c r="R2995" s="3">
        <f t="shared" si="279"/>
        <v>5.8836343367030551E-2</v>
      </c>
      <c r="S2995" s="3">
        <f t="shared" si="280"/>
        <v>-1.49884565072565</v>
      </c>
    </row>
    <row r="2996" spans="6:19" x14ac:dyDescent="0.2">
      <c r="F2996" s="3"/>
      <c r="G2996" s="3"/>
      <c r="H2996" s="3"/>
      <c r="M2996" s="1">
        <f t="shared" si="281"/>
        <v>89.820000000002636</v>
      </c>
      <c r="N2996" s="1">
        <f t="shared" si="282"/>
        <v>-0.59243830327230662</v>
      </c>
      <c r="O2996" s="1">
        <f t="shared" si="283"/>
        <v>2.7503179812953735E-2</v>
      </c>
      <c r="P2996" s="1">
        <f t="shared" si="284"/>
        <v>4.7524483696688069</v>
      </c>
      <c r="R2996" s="3">
        <f t="shared" si="279"/>
        <v>6.007301384265093E-2</v>
      </c>
      <c r="S2996" s="3">
        <f t="shared" si="280"/>
        <v>-1.4987965949413753</v>
      </c>
    </row>
    <row r="2997" spans="6:19" x14ac:dyDescent="0.2">
      <c r="F2997" s="3"/>
      <c r="G2997" s="3"/>
      <c r="H2997" s="3"/>
      <c r="M2997" s="1">
        <f t="shared" si="281"/>
        <v>89.850000000002638</v>
      </c>
      <c r="N2997" s="1">
        <f t="shared" si="282"/>
        <v>-0.60320542460967508</v>
      </c>
      <c r="O2997" s="1">
        <f t="shared" si="283"/>
        <v>9.4070170746634839E-3</v>
      </c>
      <c r="P2997" s="1">
        <f t="shared" si="284"/>
        <v>4.7527305801810469</v>
      </c>
      <c r="R2997" s="3">
        <f t="shared" si="279"/>
        <v>6.0495987599647673E-2</v>
      </c>
      <c r="S2997" s="3">
        <f t="shared" si="280"/>
        <v>-1.4987795820214336</v>
      </c>
    </row>
    <row r="2998" spans="6:19" x14ac:dyDescent="0.2">
      <c r="F2998" s="3"/>
      <c r="G2998" s="3"/>
      <c r="H2998" s="3"/>
      <c r="M2998" s="1">
        <f t="shared" si="281"/>
        <v>89.880000000002639</v>
      </c>
      <c r="N2998" s="1">
        <f t="shared" si="282"/>
        <v>-0.60580650753319643</v>
      </c>
      <c r="O2998" s="1">
        <f t="shared" si="283"/>
        <v>-8.7671781513324089E-3</v>
      </c>
      <c r="P2998" s="1">
        <f t="shared" si="284"/>
        <v>4.7524675648365067</v>
      </c>
      <c r="R2998" s="3">
        <f t="shared" si="279"/>
        <v>6.0101783483569815E-2</v>
      </c>
      <c r="S2998" s="3">
        <f t="shared" si="280"/>
        <v>-1.4987954415536813</v>
      </c>
    </row>
    <row r="2999" spans="6:19" x14ac:dyDescent="0.2">
      <c r="F2999" s="3"/>
      <c r="G2999" s="3"/>
      <c r="H2999" s="3"/>
      <c r="M2999" s="1">
        <f t="shared" si="281"/>
        <v>89.91000000000264</v>
      </c>
      <c r="N2999" s="1">
        <f t="shared" si="282"/>
        <v>-0.60022878880207819</v>
      </c>
      <c r="O2999" s="1">
        <f t="shared" si="283"/>
        <v>-2.6774041815394754E-2</v>
      </c>
      <c r="P2999" s="1">
        <f t="shared" si="284"/>
        <v>4.7516643435820445</v>
      </c>
      <c r="R2999" s="3">
        <f t="shared" si="279"/>
        <v>5.8897899870507239E-2</v>
      </c>
      <c r="S2999" s="3">
        <f t="shared" si="280"/>
        <v>-1.4988432330937229</v>
      </c>
    </row>
    <row r="3000" spans="6:19" x14ac:dyDescent="0.2">
      <c r="F3000" s="3"/>
      <c r="G3000" s="3"/>
      <c r="H3000" s="3"/>
      <c r="M3000" s="1">
        <f t="shared" si="281"/>
        <v>89.940000000002641</v>
      </c>
      <c r="N3000" s="1">
        <f t="shared" si="282"/>
        <v>-0.58656933494168695</v>
      </c>
      <c r="O3000" s="1">
        <f t="shared" si="283"/>
        <v>-4.4371121863645363E-2</v>
      </c>
      <c r="P3000" s="1">
        <f t="shared" si="284"/>
        <v>4.7503332099261355</v>
      </c>
      <c r="R3000" s="3">
        <f t="shared" si="279"/>
        <v>5.6902687606132776E-2</v>
      </c>
      <c r="S3000" s="3">
        <f t="shared" si="280"/>
        <v>-1.4989203061347856</v>
      </c>
    </row>
    <row r="3001" spans="6:19" x14ac:dyDescent="0.2">
      <c r="F3001" s="3"/>
      <c r="G3001" s="3"/>
      <c r="H3001" s="3"/>
      <c r="M3001" s="1">
        <f t="shared" si="281"/>
        <v>89.970000000002642</v>
      </c>
      <c r="N3001" s="1">
        <f t="shared" si="282"/>
        <v>-0.5650334750935998</v>
      </c>
      <c r="O3001" s="1">
        <f t="shared" si="283"/>
        <v>-6.1322126116453352E-2</v>
      </c>
      <c r="P3001" s="1">
        <f t="shared" si="284"/>
        <v>4.7484935461426421</v>
      </c>
      <c r="R3001" s="3">
        <f t="shared" si="279"/>
        <v>5.4145083470352073E-2</v>
      </c>
      <c r="S3001" s="3">
        <f t="shared" si="280"/>
        <v>-1.4990224514449371</v>
      </c>
    </row>
    <row r="3002" spans="6:19" x14ac:dyDescent="0.2">
      <c r="F3002" s="3"/>
      <c r="G3002" s="3"/>
      <c r="H3002" s="3"/>
      <c r="M3002" s="1">
        <f t="shared" si="281"/>
        <v>90.000000000002643</v>
      </c>
      <c r="N3002" s="1">
        <f t="shared" si="282"/>
        <v>-0.53593184335303989</v>
      </c>
      <c r="O3002" s="1">
        <f t="shared" si="283"/>
        <v>-7.7400081417044547E-2</v>
      </c>
      <c r="P3002" s="1">
        <f t="shared" si="284"/>
        <v>4.7461715437001306</v>
      </c>
      <c r="R3002" s="3">
        <f t="shared" si="279"/>
        <v>5.0664206837727654E-2</v>
      </c>
      <c r="S3002" s="3">
        <f t="shared" si="280"/>
        <v>-1.4991441352136572</v>
      </c>
    </row>
    <row r="3003" spans="6:19" x14ac:dyDescent="0.2">
      <c r="F3003" s="3"/>
      <c r="G3003" s="3"/>
      <c r="H3003" s="3"/>
      <c r="M3003" s="1">
        <f t="shared" si="281"/>
        <v>90.030000000002644</v>
      </c>
      <c r="N3003" s="1">
        <f t="shared" si="282"/>
        <v>-0.49967606104974255</v>
      </c>
      <c r="O3003" s="1">
        <f t="shared" si="283"/>
        <v>-9.2390363248536819E-2</v>
      </c>
      <c r="P3003" s="1">
        <f t="shared" si="284"/>
        <v>4.7433998328026741</v>
      </c>
      <c r="R3003" s="3">
        <f t="shared" si="279"/>
        <v>4.6508823410840498E-2</v>
      </c>
      <c r="S3003" s="3">
        <f t="shared" si="280"/>
        <v>-1.4992788030733106</v>
      </c>
    </row>
    <row r="3004" spans="6:19" x14ac:dyDescent="0.2">
      <c r="F3004" s="3"/>
      <c r="G3004" s="3"/>
      <c r="H3004" s="3"/>
      <c r="M3004" s="1">
        <f t="shared" si="281"/>
        <v>90.060000000002645</v>
      </c>
      <c r="N3004" s="1">
        <f t="shared" si="282"/>
        <v>-0.45677310141603666</v>
      </c>
      <c r="O3004" s="1">
        <f t="shared" si="283"/>
        <v>-0.10609355629101792</v>
      </c>
      <c r="P3004" s="1">
        <f t="shared" si="284"/>
        <v>4.7402170261139434</v>
      </c>
      <c r="R3004" s="3">
        <f t="shared" si="279"/>
        <v>4.1736681291929444E-2</v>
      </c>
      <c r="S3004" s="3">
        <f t="shared" si="280"/>
        <v>-1.499419237383173</v>
      </c>
    </row>
    <row r="3005" spans="6:19" x14ac:dyDescent="0.2">
      <c r="F3005" s="3"/>
      <c r="G3005" s="3"/>
      <c r="H3005" s="3"/>
      <c r="M3005" s="1">
        <f t="shared" si="281"/>
        <v>90.090000000002647</v>
      </c>
      <c r="N3005" s="1">
        <f t="shared" si="282"/>
        <v>-0.40781839285310278</v>
      </c>
      <c r="O3005" s="1">
        <f t="shared" si="283"/>
        <v>-0.11832810807661101</v>
      </c>
      <c r="P3005" s="1">
        <f t="shared" si="284"/>
        <v>4.7366671828716447</v>
      </c>
      <c r="R3005" s="3">
        <f t="shared" si="279"/>
        <v>3.6413726253871084E-2</v>
      </c>
      <c r="S3005" s="3">
        <f t="shared" si="280"/>
        <v>-1.4995579483768902</v>
      </c>
    </row>
    <row r="3006" spans="6:19" x14ac:dyDescent="0.2">
      <c r="F3006" s="3"/>
      <c r="G3006" s="3"/>
      <c r="H3006" s="3"/>
      <c r="M3006" s="1">
        <f t="shared" si="281"/>
        <v>90.120000000002648</v>
      </c>
      <c r="N3006" s="1">
        <f t="shared" si="282"/>
        <v>-0.35348773281181584</v>
      </c>
      <c r="O3006" s="1">
        <f t="shared" si="283"/>
        <v>-0.12893274006096547</v>
      </c>
      <c r="P3006" s="1">
        <f t="shared" si="284"/>
        <v>4.7327992006698159</v>
      </c>
      <c r="R3006" s="3">
        <f t="shared" si="279"/>
        <v>3.0613204864408716E-2</v>
      </c>
      <c r="S3006" s="3">
        <f t="shared" si="280"/>
        <v>-1.4996875780268135</v>
      </c>
    </row>
    <row r="3007" spans="6:19" x14ac:dyDescent="0.2">
      <c r="F3007" s="3"/>
      <c r="G3007" s="3"/>
      <c r="H3007" s="3"/>
      <c r="M3007" s="1">
        <f t="shared" si="281"/>
        <v>90.150000000002649</v>
      </c>
      <c r="N3007" s="1">
        <f t="shared" si="282"/>
        <v>-0.29452810203860025</v>
      </c>
      <c r="O3007" s="1">
        <f t="shared" si="283"/>
        <v>-0.13776858312212348</v>
      </c>
      <c r="P3007" s="1">
        <f t="shared" si="284"/>
        <v>4.7286661431761523</v>
      </c>
      <c r="R3007" s="3">
        <f t="shared" si="279"/>
        <v>2.441466605906668E-2</v>
      </c>
      <c r="S3007" s="3">
        <f t="shared" si="280"/>
        <v>-1.4998012948658312</v>
      </c>
    </row>
    <row r="3008" spans="6:19" x14ac:dyDescent="0.2">
      <c r="F3008" s="3"/>
      <c r="G3008" s="3"/>
      <c r="H3008" s="3"/>
      <c r="M3008" s="1">
        <f t="shared" si="281"/>
        <v>90.18000000000265</v>
      </c>
      <c r="N3008" s="1">
        <f t="shared" si="282"/>
        <v>-0.23174748810967569</v>
      </c>
      <c r="O3008" s="1">
        <f t="shared" si="283"/>
        <v>-0.14472100776541375</v>
      </c>
      <c r="P3008" s="1">
        <f t="shared" si="284"/>
        <v>4.7243245129431894</v>
      </c>
      <c r="R3008" s="3">
        <f t="shared" si="279"/>
        <v>1.7902873765923324E-2</v>
      </c>
      <c r="S3008" s="3">
        <f t="shared" si="280"/>
        <v>-1.4998931585652764</v>
      </c>
    </row>
    <row r="3009" spans="6:19" x14ac:dyDescent="0.2">
      <c r="F3009" s="3"/>
      <c r="G3009" s="3"/>
      <c r="H3009" s="3"/>
      <c r="M3009" s="1">
        <f t="shared" si="281"/>
        <v>90.210000000002651</v>
      </c>
      <c r="N3009" s="1">
        <f t="shared" si="282"/>
        <v>-0.16600384696034598</v>
      </c>
      <c r="O3009" s="1">
        <f t="shared" si="283"/>
        <v>-0.14970112317422413</v>
      </c>
      <c r="P3009" s="1">
        <f t="shared" si="284"/>
        <v>4.7198334792479626</v>
      </c>
      <c r="R3009" s="3">
        <f t="shared" si="279"/>
        <v>1.1166645150614749E-2</v>
      </c>
      <c r="S3009" s="3">
        <f t="shared" si="280"/>
        <v>-1.4999584347694705</v>
      </c>
    </row>
    <row r="3010" spans="6:19" x14ac:dyDescent="0.2">
      <c r="F3010" s="3"/>
      <c r="G3010" s="3"/>
      <c r="H3010" s="3"/>
      <c r="M3010" s="1">
        <f t="shared" si="281"/>
        <v>90.240000000002652</v>
      </c>
      <c r="N3010" s="1">
        <f t="shared" si="282"/>
        <v>-9.8193350420467326E-2</v>
      </c>
      <c r="O3010" s="1">
        <f t="shared" si="283"/>
        <v>-0.15264692368683816</v>
      </c>
      <c r="P3010" s="1">
        <f t="shared" si="284"/>
        <v>4.7152540715373572</v>
      </c>
      <c r="R3010" s="3">
        <f t="shared" ref="R3010:R3024" si="285">$B$3*COS(P3010)</f>
        <v>4.2976308493011097E-3</v>
      </c>
      <c r="S3010" s="3">
        <f t="shared" ref="S3010:S3024" si="286">$B$3*SIN(P3010)</f>
        <v>-1.4999938434437268</v>
      </c>
    </row>
    <row r="3011" spans="6:19" x14ac:dyDescent="0.2">
      <c r="F3011" s="3"/>
      <c r="G3011" s="3"/>
      <c r="H3011" s="3"/>
      <c r="M3011" s="1">
        <f t="shared" ref="M3011:M3024" si="287">M3010+B$13</f>
        <v>90.270000000002653</v>
      </c>
      <c r="N3011" s="1">
        <f t="shared" ref="N3011:N3024" si="288">-$B$12*$B$3*COS(P3010)-B$10*O3010</f>
        <v>-2.9238085361195661E-2</v>
      </c>
      <c r="O3011" s="1">
        <f t="shared" ref="O3011:O3024" si="289">N3011*$B$13+O3010</f>
        <v>-0.15352406624767403</v>
      </c>
      <c r="P3011" s="1">
        <f t="shared" ref="P3011:P3024" si="290">O3011*$B$13+P3010</f>
        <v>4.7106483495499267</v>
      </c>
      <c r="R3011" s="3">
        <f t="shared" si="285"/>
        <v>-2.610944933705939E-3</v>
      </c>
      <c r="S3011" s="3">
        <f t="shared" si="286"/>
        <v>-1.4999977276537964</v>
      </c>
    </row>
    <row r="3012" spans="6:19" x14ac:dyDescent="0.2">
      <c r="F3012" s="3"/>
      <c r="G3012" s="3"/>
      <c r="H3012" s="3"/>
      <c r="M3012" s="1">
        <f t="shared" si="287"/>
        <v>90.300000000002655</v>
      </c>
      <c r="N3012" s="1">
        <f t="shared" si="288"/>
        <v>3.992661529935005E-2</v>
      </c>
      <c r="O3012" s="1">
        <f t="shared" si="289"/>
        <v>-0.15232626778869354</v>
      </c>
      <c r="P3012" s="1">
        <f t="shared" si="290"/>
        <v>4.7060785615162661</v>
      </c>
      <c r="R3012" s="3">
        <f t="shared" si="285"/>
        <v>-9.4655654803538075E-3</v>
      </c>
      <c r="S3012" s="3">
        <f t="shared" si="286"/>
        <v>-1.4999701340593876</v>
      </c>
    </row>
    <row r="3013" spans="6:19" x14ac:dyDescent="0.2">
      <c r="F3013" s="3"/>
      <c r="G3013" s="3"/>
      <c r="H3013" s="3"/>
      <c r="M3013" s="1">
        <f t="shared" si="287"/>
        <v>90.330000000002656</v>
      </c>
      <c r="N3013" s="1">
        <f t="shared" si="288"/>
        <v>0.10836501890452049</v>
      </c>
      <c r="O3013" s="1">
        <f t="shared" si="289"/>
        <v>-0.14907531722155792</v>
      </c>
      <c r="P3013" s="1">
        <f t="shared" si="290"/>
        <v>4.701606301999619</v>
      </c>
      <c r="R3013" s="3">
        <f t="shared" si="285"/>
        <v>-1.6173704164294058E-2</v>
      </c>
      <c r="S3013" s="3">
        <f t="shared" si="286"/>
        <v>-1.4999128012299936</v>
      </c>
    </row>
    <row r="3014" spans="6:19" x14ac:dyDescent="0.2">
      <c r="F3014" s="3"/>
      <c r="G3014" s="3"/>
      <c r="H3014" s="3"/>
      <c r="M3014" s="1">
        <f t="shared" si="287"/>
        <v>90.360000000002657</v>
      </c>
      <c r="N3014" s="1">
        <f t="shared" si="288"/>
        <v>0.17515382019288081</v>
      </c>
      <c r="O3014" s="1">
        <f t="shared" si="289"/>
        <v>-0.14382070261577151</v>
      </c>
      <c r="P3014" s="1">
        <f t="shared" si="290"/>
        <v>4.697291680921146</v>
      </c>
      <c r="R3014" s="3">
        <f t="shared" si="285"/>
        <v>-2.2645088929099177E-2</v>
      </c>
      <c r="S3014" s="3">
        <f t="shared" si="286"/>
        <v>-1.4998290569086175</v>
      </c>
    </row>
    <row r="3015" spans="6:19" x14ac:dyDescent="0.2">
      <c r="F3015" s="3"/>
      <c r="G3015" s="3"/>
      <c r="H3015" s="3"/>
      <c r="M3015" s="1">
        <f t="shared" si="287"/>
        <v>90.390000000002658</v>
      </c>
      <c r="N3015" s="1">
        <f t="shared" si="288"/>
        <v>0.23939475252641121</v>
      </c>
      <c r="O3015" s="1">
        <f t="shared" si="289"/>
        <v>-0.13663886003997919</v>
      </c>
      <c r="P3015" s="1">
        <f t="shared" si="290"/>
        <v>4.6931925151199465</v>
      </c>
      <c r="R3015" s="3">
        <f t="shared" si="285"/>
        <v>-2.8792929434803334E-2</v>
      </c>
      <c r="S3015" s="3">
        <f t="shared" si="286"/>
        <v>-1.4997236302781132</v>
      </c>
    </row>
    <row r="3016" spans="6:19" x14ac:dyDescent="0.2">
      <c r="F3016" s="3"/>
      <c r="G3016" s="3"/>
      <c r="H3016" s="3"/>
      <c r="M3016" s="1">
        <f t="shared" si="287"/>
        <v>90.420000000002659</v>
      </c>
      <c r="N3016" s="1">
        <f t="shared" si="288"/>
        <v>0.30022679175163147</v>
      </c>
      <c r="O3016" s="1">
        <f t="shared" si="289"/>
        <v>-0.12763205628743024</v>
      </c>
      <c r="P3016" s="1">
        <f t="shared" si="290"/>
        <v>4.6893635534313232</v>
      </c>
      <c r="R3016" s="3">
        <f t="shared" si="285"/>
        <v>-3.4535088661648512E-2</v>
      </c>
      <c r="S3016" s="3">
        <f t="shared" si="286"/>
        <v>-1.4996023898524342</v>
      </c>
    </row>
    <row r="3017" spans="6:19" x14ac:dyDescent="0.2">
      <c r="F3017" s="3"/>
      <c r="G3017" s="3"/>
      <c r="H3017" s="3"/>
      <c r="M3017" s="1">
        <f t="shared" si="287"/>
        <v>90.45000000000266</v>
      </c>
      <c r="N3017" s="1">
        <f t="shared" si="288"/>
        <v>0.35683777168235381</v>
      </c>
      <c r="O3017" s="1">
        <f t="shared" si="289"/>
        <v>-0.11692692313695963</v>
      </c>
      <c r="P3017" s="1">
        <f t="shared" si="290"/>
        <v>4.6858557457372143</v>
      </c>
      <c r="R3017" s="3">
        <f t="shared" si="285"/>
        <v>-3.9795182203109784E-2</v>
      </c>
      <c r="S3017" s="3">
        <f t="shared" si="286"/>
        <v>-1.4994720215707331</v>
      </c>
    </row>
    <row r="3018" spans="6:19" x14ac:dyDescent="0.2">
      <c r="F3018" s="3"/>
      <c r="G3018" s="3"/>
      <c r="H3018" s="3"/>
      <c r="M3018" s="1">
        <f t="shared" si="287"/>
        <v>90.480000000002661</v>
      </c>
      <c r="N3018" s="1">
        <f t="shared" si="288"/>
        <v>0.4084752451134242</v>
      </c>
      <c r="O3018" s="1">
        <f t="shared" si="289"/>
        <v>-0.1046726657835569</v>
      </c>
      <c r="P3018" s="1">
        <f t="shared" si="290"/>
        <v>4.6827155657637078</v>
      </c>
      <c r="R3018" s="3">
        <f t="shared" si="285"/>
        <v>-4.4503590273073532E-2</v>
      </c>
      <c r="S3018" s="3">
        <f t="shared" si="286"/>
        <v>-1.4993396648034114</v>
      </c>
    </row>
    <row r="3019" spans="6:19" x14ac:dyDescent="0.2">
      <c r="F3019" s="3"/>
      <c r="G3019" s="3"/>
      <c r="H3019" s="3"/>
      <c r="M3019" s="1">
        <f t="shared" si="287"/>
        <v>90.510000000002663</v>
      </c>
      <c r="N3019" s="1">
        <f t="shared" si="288"/>
        <v>0.45445644265125545</v>
      </c>
      <c r="O3019" s="1">
        <f t="shared" si="289"/>
        <v>-9.1038972504019239E-2</v>
      </c>
      <c r="P3019" s="1">
        <f t="shared" si="290"/>
        <v>4.679984396588587</v>
      </c>
      <c r="R3019" s="3">
        <f t="shared" si="285"/>
        <v>-4.8598369475342372E-2</v>
      </c>
      <c r="S3019" s="3">
        <f t="shared" si="286"/>
        <v>-1.4992125261230771</v>
      </c>
    </row>
    <row r="3020" spans="6:19" x14ac:dyDescent="0.2">
      <c r="F3020" s="3"/>
      <c r="G3020" s="3"/>
      <c r="H3020" s="3"/>
      <c r="M3020" s="1">
        <f t="shared" si="287"/>
        <v>90.540000000002664</v>
      </c>
      <c r="N3020" s="1">
        <f t="shared" si="288"/>
        <v>0.49417720227878548</v>
      </c>
      <c r="O3020" s="1">
        <f t="shared" si="289"/>
        <v>-7.6213656435655669E-2</v>
      </c>
      <c r="P3020" s="1">
        <f t="shared" si="290"/>
        <v>4.6776979868955175</v>
      </c>
      <c r="R3020" s="3">
        <f t="shared" si="285"/>
        <v>-5.2026053512416084E-2</v>
      </c>
      <c r="S3020" s="3">
        <f t="shared" si="286"/>
        <v>-1.4990974917449242</v>
      </c>
    </row>
    <row r="3021" spans="6:19" x14ac:dyDescent="0.2">
      <c r="F3021" s="3"/>
      <c r="G3021" s="3"/>
      <c r="H3021" s="3"/>
      <c r="M3021" s="1">
        <f t="shared" si="287"/>
        <v>90.570000000002665</v>
      </c>
      <c r="N3021" s="1">
        <f t="shared" si="288"/>
        <v>0.52711976420336981</v>
      </c>
      <c r="O3021" s="1">
        <f t="shared" si="289"/>
        <v>-6.0400063509554576E-2</v>
      </c>
      <c r="P3021" s="1">
        <f t="shared" si="290"/>
        <v>4.6758859849902308</v>
      </c>
      <c r="R3021" s="3">
        <f t="shared" si="285"/>
        <v>-5.4742334127332509E-2</v>
      </c>
      <c r="S3021" s="3">
        <f t="shared" si="286"/>
        <v>-1.4990007594575432</v>
      </c>
    </row>
    <row r="3022" spans="6:19" x14ac:dyDescent="0.2">
      <c r="F3022" s="3"/>
      <c r="G3022" s="3"/>
      <c r="H3022" s="3"/>
      <c r="M3022" s="1">
        <f t="shared" si="287"/>
        <v>90.600000000002666</v>
      </c>
      <c r="N3022" s="1">
        <f t="shared" si="288"/>
        <v>0.55285934698918504</v>
      </c>
      <c r="O3022" s="1">
        <f t="shared" si="289"/>
        <v>-4.3814283099879024E-2</v>
      </c>
      <c r="P3022" s="1">
        <f t="shared" si="290"/>
        <v>4.6745715564972343</v>
      </c>
      <c r="R3022" s="3">
        <f t="shared" si="285"/>
        <v>-5.6712615579455353E-2</v>
      </c>
      <c r="S3022" s="3">
        <f t="shared" si="286"/>
        <v>-1.4989275096662069</v>
      </c>
    </row>
    <row r="3023" spans="6:19" x14ac:dyDescent="0.2">
      <c r="F3023" s="3"/>
      <c r="G3023" s="3"/>
      <c r="H3023" s="3"/>
      <c r="M3023" s="1">
        <f t="shared" si="287"/>
        <v>90.630000000002667</v>
      </c>
      <c r="N3023" s="1">
        <f t="shared" si="288"/>
        <v>0.57106944127354264</v>
      </c>
      <c r="O3023" s="1">
        <f t="shared" si="289"/>
        <v>-2.6682199861672747E-2</v>
      </c>
      <c r="P3023" s="1">
        <f t="shared" si="290"/>
        <v>4.6737710905013845</v>
      </c>
      <c r="R3023" s="3">
        <f t="shared" si="285"/>
        <v>-5.7912437783870431E-2</v>
      </c>
      <c r="S3023" s="3">
        <f t="shared" si="286"/>
        <v>-1.4988816329350123</v>
      </c>
    </row>
    <row r="3024" spans="6:19" x14ac:dyDescent="0.2">
      <c r="F3024" s="3"/>
      <c r="G3024" s="3"/>
      <c r="H3024" s="3"/>
      <c r="M3024" s="1">
        <f t="shared" si="287"/>
        <v>90.660000000002668</v>
      </c>
      <c r="N3024" s="1">
        <f t="shared" si="288"/>
        <v>0.58152577582625486</v>
      </c>
      <c r="O3024" s="1">
        <f t="shared" si="289"/>
        <v>-9.236426586885102E-3</v>
      </c>
      <c r="P3024" s="1">
        <f t="shared" si="290"/>
        <v>4.6734939977037779</v>
      </c>
      <c r="R3024" s="3">
        <f t="shared" si="285"/>
        <v>-5.8327764860236053E-2</v>
      </c>
      <c r="S3024" s="3">
        <f t="shared" si="286"/>
        <v>-1.4988655282734369</v>
      </c>
    </row>
    <row r="3025" spans="6:8" x14ac:dyDescent="0.2">
      <c r="F3025" s="3"/>
      <c r="G3025" s="3"/>
      <c r="H3025" s="3"/>
    </row>
    <row r="3026" spans="6:8" x14ac:dyDescent="0.2">
      <c r="F3026" s="3"/>
      <c r="G3026" s="3"/>
      <c r="H3026" s="3"/>
    </row>
    <row r="3027" spans="6:8" x14ac:dyDescent="0.2">
      <c r="F3027" s="3"/>
      <c r="G3027" s="3"/>
      <c r="H3027" s="3"/>
    </row>
    <row r="3028" spans="6:8" x14ac:dyDescent="0.2">
      <c r="F3028" s="3"/>
      <c r="G3028" s="3"/>
      <c r="H3028" s="3"/>
    </row>
    <row r="3029" spans="6:8" x14ac:dyDescent="0.2">
      <c r="F3029" s="3"/>
      <c r="G3029" s="3"/>
      <c r="H3029" s="3"/>
    </row>
    <row r="3030" spans="6:8" x14ac:dyDescent="0.2">
      <c r="F3030" s="3"/>
      <c r="G3030" s="3"/>
      <c r="H3030" s="3"/>
    </row>
    <row r="3031" spans="6:8" x14ac:dyDescent="0.2">
      <c r="F3031" s="3"/>
      <c r="G3031" s="3"/>
      <c r="H3031" s="3"/>
    </row>
    <row r="3032" spans="6:8" x14ac:dyDescent="0.2">
      <c r="F3032" s="3"/>
      <c r="G3032" s="3"/>
      <c r="H3032" s="3"/>
    </row>
    <row r="3033" spans="6:8" x14ac:dyDescent="0.2">
      <c r="F3033" s="3"/>
      <c r="G3033" s="3"/>
      <c r="H3033" s="3"/>
    </row>
    <row r="3034" spans="6:8" x14ac:dyDescent="0.2">
      <c r="F3034" s="3"/>
      <c r="G3034" s="3"/>
      <c r="H3034" s="3"/>
    </row>
    <row r="3035" spans="6:8" x14ac:dyDescent="0.2">
      <c r="F3035" s="3"/>
      <c r="G3035" s="3"/>
      <c r="H3035" s="3"/>
    </row>
    <row r="3036" spans="6:8" x14ac:dyDescent="0.2">
      <c r="F3036" s="3"/>
      <c r="G3036" s="3"/>
      <c r="H3036" s="3"/>
    </row>
    <row r="3037" spans="6:8" x14ac:dyDescent="0.2">
      <c r="F3037" s="3"/>
      <c r="G3037" s="3"/>
      <c r="H3037" s="3"/>
    </row>
    <row r="3038" spans="6:8" x14ac:dyDescent="0.2">
      <c r="F3038" s="3"/>
      <c r="G3038" s="3"/>
      <c r="H3038" s="3"/>
    </row>
    <row r="3039" spans="6:8" x14ac:dyDescent="0.2">
      <c r="F3039" s="3"/>
      <c r="G3039" s="3"/>
      <c r="H3039" s="3"/>
    </row>
    <row r="3040" spans="6:8" x14ac:dyDescent="0.2">
      <c r="F3040" s="3"/>
      <c r="G3040" s="3"/>
      <c r="H3040" s="3"/>
    </row>
    <row r="3041" spans="6:8" x14ac:dyDescent="0.2">
      <c r="F3041" s="3"/>
      <c r="G3041" s="3"/>
      <c r="H3041" s="3"/>
    </row>
    <row r="3042" spans="6:8" x14ac:dyDescent="0.2">
      <c r="F3042" s="3"/>
      <c r="G3042" s="3"/>
      <c r="H3042" s="3"/>
    </row>
    <row r="3043" spans="6:8" x14ac:dyDescent="0.2">
      <c r="F3043" s="3"/>
      <c r="G3043" s="3"/>
      <c r="H3043" s="3"/>
    </row>
    <row r="3044" spans="6:8" x14ac:dyDescent="0.2">
      <c r="F3044" s="3"/>
      <c r="G3044" s="3"/>
      <c r="H3044" s="3"/>
    </row>
    <row r="3045" spans="6:8" x14ac:dyDescent="0.2">
      <c r="F3045" s="3"/>
      <c r="G3045" s="3"/>
      <c r="H3045" s="3"/>
    </row>
    <row r="3046" spans="6:8" x14ac:dyDescent="0.2">
      <c r="F3046" s="3"/>
      <c r="G3046" s="3"/>
      <c r="H3046" s="3"/>
    </row>
    <row r="3047" spans="6:8" x14ac:dyDescent="0.2">
      <c r="F3047" s="3"/>
      <c r="G3047" s="3"/>
      <c r="H3047" s="3"/>
    </row>
    <row r="3048" spans="6:8" x14ac:dyDescent="0.2">
      <c r="F3048" s="3"/>
      <c r="G3048" s="3"/>
      <c r="H3048" s="3"/>
    </row>
    <row r="3049" spans="6:8" x14ac:dyDescent="0.2">
      <c r="F3049" s="3"/>
      <c r="G3049" s="3"/>
      <c r="H3049" s="3"/>
    </row>
    <row r="3050" spans="6:8" x14ac:dyDescent="0.2">
      <c r="F3050" s="3"/>
      <c r="G3050" s="3"/>
      <c r="H3050" s="3"/>
    </row>
  </sheetData>
  <mergeCells count="2">
    <mergeCell ref="W11:W15"/>
    <mergeCell ref="L11:L15"/>
  </mergeCells>
  <phoneticPr fontId="0" type="noConversion"/>
  <dataValidations count="2">
    <dataValidation type="list" allowBlank="1" showInputMessage="1" showErrorMessage="1" sqref="B11">
      <formula1>"0,0.1,0.2,0.5,1,2,4,10"</formula1>
    </dataValidation>
    <dataValidation type="list" allowBlank="1" showInputMessage="1" showErrorMessage="1" sqref="B13">
      <formula1>"0.005,0.01,0.02,0.03,0.04,0.05,0.1,0.15,0.2"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73" r:id="rId4" name="Reset_">
          <controlPr defaultSize="0" autoLine="0" r:id="rId5">
            <anchor moveWithCells="1">
              <from>
                <xdr:col>0</xdr:col>
                <xdr:colOff>285750</xdr:colOff>
                <xdr:row>21</xdr:row>
                <xdr:rowOff>123825</xdr:rowOff>
              </from>
              <to>
                <xdr:col>0</xdr:col>
                <xdr:colOff>895350</xdr:colOff>
                <xdr:row>22</xdr:row>
                <xdr:rowOff>200025</xdr:rowOff>
              </to>
            </anchor>
          </controlPr>
        </control>
      </mc:Choice>
      <mc:Fallback>
        <control shapeId="66573" r:id="rId4" name="Reset_"/>
      </mc:Fallback>
    </mc:AlternateContent>
    <mc:AlternateContent xmlns:mc="http://schemas.openxmlformats.org/markup-compatibility/2006">
      <mc:Choice Requires="x14">
        <control shapeId="66570" r:id="rId6" name="Release_">
          <controlPr defaultSize="0" autoLine="0" r:id="rId7">
            <anchor moveWithCells="1">
              <from>
                <xdr:col>0</xdr:col>
                <xdr:colOff>38100</xdr:colOff>
                <xdr:row>20</xdr:row>
                <xdr:rowOff>19050</xdr:rowOff>
              </from>
              <to>
                <xdr:col>0</xdr:col>
                <xdr:colOff>1133475</xdr:colOff>
                <xdr:row>21</xdr:row>
                <xdr:rowOff>28575</xdr:rowOff>
              </to>
            </anchor>
          </controlPr>
        </control>
      </mc:Choice>
      <mc:Fallback>
        <control shapeId="66570" r:id="rId6" name="Release_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Gerry</cp:lastModifiedBy>
  <dcterms:created xsi:type="dcterms:W3CDTF">2009-04-11T04:20:36Z</dcterms:created>
  <dcterms:modified xsi:type="dcterms:W3CDTF">2016-11-09T12:10:42Z</dcterms:modified>
</cp:coreProperties>
</file>