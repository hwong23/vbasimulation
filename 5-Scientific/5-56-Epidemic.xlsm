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5-Scientific\"/>
    </mc:Choice>
  </mc:AlternateContent>
  <bookViews>
    <workbookView xWindow="720" yWindow="330" windowWidth="22755" windowHeight="9750"/>
  </bookViews>
  <sheets>
    <sheet name="Epidemic" sheetId="24" r:id="rId1"/>
  </sheets>
  <calcPr calcId="152511"/>
</workbook>
</file>

<file path=xl/calcChain.xml><?xml version="1.0" encoding="utf-8"?>
<calcChain xmlns="http://schemas.openxmlformats.org/spreadsheetml/2006/main">
  <c r="E302" i="24" l="1"/>
  <c r="D302" i="24"/>
  <c r="C302" i="24"/>
  <c r="B302" i="24"/>
  <c r="A302" i="24"/>
  <c r="E301" i="24"/>
  <c r="D301" i="24"/>
  <c r="C301" i="24"/>
  <c r="B301" i="24"/>
  <c r="A301" i="24"/>
  <c r="E300" i="24"/>
  <c r="D300" i="24"/>
  <c r="C300" i="24"/>
  <c r="B300" i="24"/>
  <c r="A300" i="24"/>
  <c r="E299" i="24"/>
  <c r="D299" i="24"/>
  <c r="C299" i="24"/>
  <c r="B299" i="24"/>
  <c r="A299" i="24"/>
  <c r="E298" i="24"/>
  <c r="D298" i="24"/>
  <c r="C298" i="24"/>
  <c r="B298" i="24"/>
  <c r="A298" i="24"/>
  <c r="E297" i="24"/>
  <c r="D297" i="24"/>
  <c r="C297" i="24"/>
  <c r="B297" i="24"/>
  <c r="A297" i="24"/>
  <c r="E296" i="24"/>
  <c r="D296" i="24"/>
  <c r="C296" i="24"/>
  <c r="B296" i="24"/>
  <c r="A296" i="24"/>
  <c r="E295" i="24"/>
  <c r="D295" i="24"/>
  <c r="C295" i="24"/>
  <c r="B295" i="24"/>
  <c r="A295" i="24"/>
  <c r="E294" i="24"/>
  <c r="D294" i="24"/>
  <c r="C294" i="24"/>
  <c r="B294" i="24"/>
  <c r="A294" i="24"/>
  <c r="E293" i="24"/>
  <c r="D293" i="24"/>
  <c r="C293" i="24"/>
  <c r="B293" i="24"/>
  <c r="A293" i="24"/>
  <c r="E292" i="24"/>
  <c r="D292" i="24"/>
  <c r="C292" i="24"/>
  <c r="B292" i="24"/>
  <c r="A292" i="24"/>
  <c r="E291" i="24"/>
  <c r="D291" i="24"/>
  <c r="C291" i="24"/>
  <c r="B291" i="24"/>
  <c r="A291" i="24"/>
  <c r="E290" i="24"/>
  <c r="D290" i="24"/>
  <c r="C290" i="24"/>
  <c r="B290" i="24"/>
  <c r="A290" i="24"/>
  <c r="E289" i="24"/>
  <c r="D289" i="24"/>
  <c r="C289" i="24"/>
  <c r="B289" i="24"/>
  <c r="A289" i="24"/>
  <c r="E288" i="24"/>
  <c r="D288" i="24"/>
  <c r="C288" i="24"/>
  <c r="B288" i="24"/>
  <c r="A288" i="24"/>
  <c r="E287" i="24"/>
  <c r="D287" i="24"/>
  <c r="C287" i="24"/>
  <c r="B287" i="24"/>
  <c r="A287" i="24"/>
  <c r="E286" i="24"/>
  <c r="D286" i="24"/>
  <c r="C286" i="24"/>
  <c r="B286" i="24"/>
  <c r="A286" i="24"/>
  <c r="E285" i="24"/>
  <c r="D285" i="24"/>
  <c r="C285" i="24"/>
  <c r="B285" i="24"/>
  <c r="A285" i="24"/>
  <c r="E284" i="24"/>
  <c r="D284" i="24"/>
  <c r="C284" i="24"/>
  <c r="B284" i="24"/>
  <c r="A284" i="24"/>
  <c r="E283" i="24"/>
  <c r="D283" i="24"/>
  <c r="C283" i="24"/>
  <c r="B283" i="24"/>
  <c r="A283" i="24"/>
  <c r="E282" i="24"/>
  <c r="D282" i="24"/>
  <c r="C282" i="24"/>
  <c r="B282" i="24"/>
  <c r="A282" i="24"/>
  <c r="E281" i="24"/>
  <c r="D281" i="24"/>
  <c r="C281" i="24"/>
  <c r="B281" i="24"/>
  <c r="A281" i="24"/>
  <c r="E280" i="24"/>
  <c r="D280" i="24"/>
  <c r="C280" i="24"/>
  <c r="B280" i="24"/>
  <c r="A280" i="24"/>
  <c r="E279" i="24"/>
  <c r="D279" i="24"/>
  <c r="C279" i="24"/>
  <c r="B279" i="24"/>
  <c r="A279" i="24"/>
  <c r="E278" i="24"/>
  <c r="D278" i="24"/>
  <c r="C278" i="24"/>
  <c r="B278" i="24"/>
  <c r="A278" i="24"/>
  <c r="E277" i="24"/>
  <c r="D277" i="24"/>
  <c r="C277" i="24"/>
  <c r="B277" i="24"/>
  <c r="A277" i="24"/>
  <c r="E276" i="24"/>
  <c r="D276" i="24"/>
  <c r="C276" i="24"/>
  <c r="B276" i="24"/>
  <c r="A276" i="24"/>
  <c r="E275" i="24"/>
  <c r="D275" i="24"/>
  <c r="C275" i="24"/>
  <c r="B275" i="24"/>
  <c r="A275" i="24"/>
  <c r="E274" i="24"/>
  <c r="D274" i="24"/>
  <c r="C274" i="24"/>
  <c r="B274" i="24"/>
  <c r="A274" i="24"/>
  <c r="E273" i="24"/>
  <c r="D273" i="24"/>
  <c r="C273" i="24"/>
  <c r="B273" i="24"/>
  <c r="A273" i="24"/>
  <c r="E272" i="24"/>
  <c r="D272" i="24"/>
  <c r="C272" i="24"/>
  <c r="B272" i="24"/>
  <c r="A272" i="24"/>
  <c r="E271" i="24"/>
  <c r="D271" i="24"/>
  <c r="C271" i="24"/>
  <c r="B271" i="24"/>
  <c r="A271" i="24"/>
  <c r="E270" i="24"/>
  <c r="D270" i="24"/>
  <c r="C270" i="24"/>
  <c r="B270" i="24"/>
  <c r="A270" i="24"/>
  <c r="E269" i="24"/>
  <c r="D269" i="24"/>
  <c r="C269" i="24"/>
  <c r="B269" i="24"/>
  <c r="A269" i="24"/>
  <c r="E268" i="24"/>
  <c r="D268" i="24"/>
  <c r="C268" i="24"/>
  <c r="B268" i="24"/>
  <c r="A268" i="24"/>
  <c r="E267" i="24"/>
  <c r="D267" i="24"/>
  <c r="C267" i="24"/>
  <c r="B267" i="24"/>
  <c r="A267" i="24"/>
  <c r="E266" i="24"/>
  <c r="D266" i="24"/>
  <c r="C266" i="24"/>
  <c r="B266" i="24"/>
  <c r="A266" i="24"/>
  <c r="E265" i="24"/>
  <c r="D265" i="24"/>
  <c r="C265" i="24"/>
  <c r="B265" i="24"/>
  <c r="A265" i="24"/>
  <c r="E264" i="24"/>
  <c r="D264" i="24"/>
  <c r="C264" i="24"/>
  <c r="B264" i="24"/>
  <c r="A264" i="24"/>
  <c r="E263" i="24"/>
  <c r="D263" i="24"/>
  <c r="C263" i="24"/>
  <c r="B263" i="24"/>
  <c r="A263" i="24"/>
  <c r="E262" i="24"/>
  <c r="D262" i="24"/>
  <c r="C262" i="24"/>
  <c r="B262" i="24"/>
  <c r="A262" i="24"/>
  <c r="E261" i="24"/>
  <c r="D261" i="24"/>
  <c r="C261" i="24"/>
  <c r="B261" i="24"/>
  <c r="A261" i="24"/>
  <c r="E260" i="24"/>
  <c r="D260" i="24"/>
  <c r="C260" i="24"/>
  <c r="B260" i="24"/>
  <c r="A260" i="24"/>
  <c r="E259" i="24"/>
  <c r="D259" i="24"/>
  <c r="C259" i="24"/>
  <c r="B259" i="24"/>
  <c r="A259" i="24"/>
  <c r="E258" i="24"/>
  <c r="D258" i="24"/>
  <c r="C258" i="24"/>
  <c r="B258" i="24"/>
  <c r="A258" i="24"/>
  <c r="E257" i="24"/>
  <c r="D257" i="24"/>
  <c r="C257" i="24"/>
  <c r="B257" i="24"/>
  <c r="A257" i="24"/>
  <c r="E256" i="24"/>
  <c r="D256" i="24"/>
  <c r="C256" i="24"/>
  <c r="B256" i="24"/>
  <c r="A256" i="24"/>
  <c r="E255" i="24"/>
  <c r="D255" i="24"/>
  <c r="C255" i="24"/>
  <c r="B255" i="24"/>
  <c r="A255" i="24"/>
  <c r="E254" i="24"/>
  <c r="D254" i="24"/>
  <c r="C254" i="24"/>
  <c r="B254" i="24"/>
  <c r="A254" i="24"/>
  <c r="E253" i="24"/>
  <c r="D253" i="24"/>
  <c r="C253" i="24"/>
  <c r="B253" i="24"/>
  <c r="A253" i="24"/>
  <c r="E252" i="24"/>
  <c r="D252" i="24"/>
  <c r="C252" i="24"/>
  <c r="B252" i="24"/>
  <c r="A252" i="24"/>
  <c r="E251" i="24"/>
  <c r="D251" i="24"/>
  <c r="C251" i="24"/>
  <c r="B251" i="24"/>
  <c r="A251" i="24"/>
  <c r="E250" i="24"/>
  <c r="D250" i="24"/>
  <c r="C250" i="24"/>
  <c r="B250" i="24"/>
  <c r="A250" i="24"/>
  <c r="E249" i="24"/>
  <c r="D249" i="24"/>
  <c r="C249" i="24"/>
  <c r="B249" i="24"/>
  <c r="A249" i="24"/>
  <c r="E248" i="24"/>
  <c r="D248" i="24"/>
  <c r="C248" i="24"/>
  <c r="B248" i="24"/>
  <c r="A248" i="24"/>
  <c r="E247" i="24"/>
  <c r="D247" i="24"/>
  <c r="C247" i="24"/>
  <c r="B247" i="24"/>
  <c r="A247" i="24"/>
  <c r="E246" i="24"/>
  <c r="D246" i="24"/>
  <c r="C246" i="24"/>
  <c r="B246" i="24"/>
  <c r="A246" i="24"/>
  <c r="E245" i="24"/>
  <c r="D245" i="24"/>
  <c r="C245" i="24"/>
  <c r="B245" i="24"/>
  <c r="A245" i="24"/>
  <c r="E244" i="24"/>
  <c r="D244" i="24"/>
  <c r="C244" i="24"/>
  <c r="B244" i="24"/>
  <c r="A244" i="24"/>
  <c r="E243" i="24"/>
  <c r="D243" i="24"/>
  <c r="C243" i="24"/>
  <c r="B243" i="24"/>
  <c r="A243" i="24"/>
  <c r="E242" i="24"/>
  <c r="D242" i="24"/>
  <c r="C242" i="24"/>
  <c r="B242" i="24"/>
  <c r="A242" i="24"/>
  <c r="E241" i="24"/>
  <c r="D241" i="24"/>
  <c r="C241" i="24"/>
  <c r="B241" i="24"/>
  <c r="A241" i="24"/>
  <c r="E240" i="24"/>
  <c r="D240" i="24"/>
  <c r="C240" i="24"/>
  <c r="B240" i="24"/>
  <c r="A240" i="24"/>
  <c r="E239" i="24"/>
  <c r="D239" i="24"/>
  <c r="C239" i="24"/>
  <c r="B239" i="24"/>
  <c r="A239" i="24"/>
  <c r="E238" i="24"/>
  <c r="D238" i="24"/>
  <c r="C238" i="24"/>
  <c r="B238" i="24"/>
  <c r="A238" i="24"/>
  <c r="E237" i="24"/>
  <c r="D237" i="24"/>
  <c r="C237" i="24"/>
  <c r="B237" i="24"/>
  <c r="A237" i="24"/>
  <c r="E236" i="24"/>
  <c r="D236" i="24"/>
  <c r="C236" i="24"/>
  <c r="B236" i="24"/>
  <c r="A236" i="24"/>
  <c r="E235" i="24"/>
  <c r="D235" i="24"/>
  <c r="C235" i="24"/>
  <c r="B235" i="24"/>
  <c r="A235" i="24"/>
  <c r="E234" i="24"/>
  <c r="D234" i="24"/>
  <c r="C234" i="24"/>
  <c r="B234" i="24"/>
  <c r="A234" i="24"/>
  <c r="E233" i="24"/>
  <c r="D233" i="24"/>
  <c r="C233" i="24"/>
  <c r="B233" i="24"/>
  <c r="A233" i="24"/>
  <c r="E232" i="24"/>
  <c r="D232" i="24"/>
  <c r="C232" i="24"/>
  <c r="B232" i="24"/>
  <c r="A232" i="24"/>
  <c r="E231" i="24"/>
  <c r="D231" i="24"/>
  <c r="C231" i="24"/>
  <c r="B231" i="24"/>
  <c r="A231" i="24"/>
  <c r="E230" i="24"/>
  <c r="D230" i="24"/>
  <c r="C230" i="24"/>
  <c r="B230" i="24"/>
  <c r="A230" i="24"/>
  <c r="E229" i="24"/>
  <c r="D229" i="24"/>
  <c r="C229" i="24"/>
  <c r="B229" i="24"/>
  <c r="A229" i="24"/>
  <c r="E228" i="24"/>
  <c r="D228" i="24"/>
  <c r="C228" i="24"/>
  <c r="B228" i="24"/>
  <c r="A228" i="24"/>
  <c r="E227" i="24"/>
  <c r="D227" i="24"/>
  <c r="C227" i="24"/>
  <c r="B227" i="24"/>
  <c r="A227" i="24"/>
  <c r="E226" i="24"/>
  <c r="D226" i="24"/>
  <c r="C226" i="24"/>
  <c r="B226" i="24"/>
  <c r="A226" i="24"/>
  <c r="E225" i="24"/>
  <c r="D225" i="24"/>
  <c r="C225" i="24"/>
  <c r="B225" i="24"/>
  <c r="A225" i="24"/>
  <c r="E224" i="24"/>
  <c r="D224" i="24"/>
  <c r="C224" i="24"/>
  <c r="B224" i="24"/>
  <c r="A224" i="24"/>
  <c r="E223" i="24"/>
  <c r="D223" i="24"/>
  <c r="C223" i="24"/>
  <c r="B223" i="24"/>
  <c r="A223" i="24"/>
  <c r="E222" i="24"/>
  <c r="D222" i="24"/>
  <c r="C222" i="24"/>
  <c r="B222" i="24"/>
  <c r="A222" i="24"/>
  <c r="E221" i="24"/>
  <c r="D221" i="24"/>
  <c r="C221" i="24"/>
  <c r="B221" i="24"/>
  <c r="A221" i="24"/>
  <c r="E220" i="24"/>
  <c r="D220" i="24"/>
  <c r="C220" i="24"/>
  <c r="B220" i="24"/>
  <c r="A220" i="24"/>
  <c r="E219" i="24"/>
  <c r="D219" i="24"/>
  <c r="C219" i="24"/>
  <c r="B219" i="24"/>
  <c r="A219" i="24"/>
  <c r="E218" i="24"/>
  <c r="D218" i="24"/>
  <c r="C218" i="24"/>
  <c r="B218" i="24"/>
  <c r="A218" i="24"/>
  <c r="E217" i="24"/>
  <c r="D217" i="24"/>
  <c r="C217" i="24"/>
  <c r="B217" i="24"/>
  <c r="A217" i="24"/>
  <c r="E216" i="24"/>
  <c r="D216" i="24"/>
  <c r="C216" i="24"/>
  <c r="B216" i="24"/>
  <c r="A216" i="24"/>
  <c r="E215" i="24"/>
  <c r="D215" i="24"/>
  <c r="C215" i="24"/>
  <c r="B215" i="24"/>
  <c r="A215" i="24"/>
  <c r="E214" i="24"/>
  <c r="D214" i="24"/>
  <c r="C214" i="24"/>
  <c r="B214" i="24"/>
  <c r="A214" i="24"/>
  <c r="E213" i="24"/>
  <c r="D213" i="24"/>
  <c r="C213" i="24"/>
  <c r="B213" i="24"/>
  <c r="A213" i="24"/>
  <c r="E212" i="24"/>
  <c r="D212" i="24"/>
  <c r="C212" i="24"/>
  <c r="B212" i="24"/>
  <c r="A212" i="24"/>
  <c r="E211" i="24"/>
  <c r="D211" i="24"/>
  <c r="C211" i="24"/>
  <c r="B211" i="24"/>
  <c r="A211" i="24"/>
  <c r="E210" i="24"/>
  <c r="D210" i="24"/>
  <c r="C210" i="24"/>
  <c r="B210" i="24"/>
  <c r="A210" i="24"/>
  <c r="E209" i="24"/>
  <c r="D209" i="24"/>
  <c r="C209" i="24"/>
  <c r="B209" i="24"/>
  <c r="A209" i="24"/>
  <c r="E208" i="24"/>
  <c r="D208" i="24"/>
  <c r="C208" i="24"/>
  <c r="B208" i="24"/>
  <c r="A208" i="24"/>
  <c r="E207" i="24"/>
  <c r="D207" i="24"/>
  <c r="C207" i="24"/>
  <c r="B207" i="24"/>
  <c r="A207" i="24"/>
  <c r="E206" i="24"/>
  <c r="D206" i="24"/>
  <c r="C206" i="24"/>
  <c r="B206" i="24"/>
  <c r="A206" i="24"/>
  <c r="E205" i="24"/>
  <c r="D205" i="24"/>
  <c r="C205" i="24"/>
  <c r="B205" i="24"/>
  <c r="A205" i="24"/>
  <c r="E204" i="24"/>
  <c r="D204" i="24"/>
  <c r="C204" i="24"/>
  <c r="B204" i="24"/>
  <c r="A204" i="24"/>
  <c r="E203" i="24"/>
  <c r="D203" i="24"/>
  <c r="C203" i="24"/>
  <c r="B203" i="24"/>
  <c r="A203" i="24"/>
  <c r="E202" i="24"/>
  <c r="D202" i="24"/>
  <c r="C202" i="24"/>
  <c r="B202" i="24"/>
  <c r="A202" i="24"/>
  <c r="E201" i="24"/>
  <c r="D201" i="24"/>
  <c r="C201" i="24"/>
  <c r="B201" i="24"/>
  <c r="A201" i="24"/>
  <c r="E200" i="24"/>
  <c r="D200" i="24"/>
  <c r="C200" i="24"/>
  <c r="B200" i="24"/>
  <c r="A200" i="24"/>
  <c r="E199" i="24"/>
  <c r="D199" i="24"/>
  <c r="C199" i="24"/>
  <c r="B199" i="24"/>
  <c r="A199" i="24"/>
  <c r="E198" i="24"/>
  <c r="D198" i="24"/>
  <c r="C198" i="24"/>
  <c r="B198" i="24"/>
  <c r="A198" i="24"/>
  <c r="E197" i="24"/>
  <c r="D197" i="24"/>
  <c r="C197" i="24"/>
  <c r="B197" i="24"/>
  <c r="A197" i="24"/>
  <c r="E196" i="24"/>
  <c r="D196" i="24"/>
  <c r="C196" i="24"/>
  <c r="B196" i="24"/>
  <c r="A196" i="24"/>
  <c r="E195" i="24"/>
  <c r="D195" i="24"/>
  <c r="C195" i="24"/>
  <c r="B195" i="24"/>
  <c r="A195" i="24"/>
  <c r="E194" i="24"/>
  <c r="D194" i="24"/>
  <c r="C194" i="24"/>
  <c r="B194" i="24"/>
  <c r="A194" i="24"/>
  <c r="E193" i="24"/>
  <c r="D193" i="24"/>
  <c r="C193" i="24"/>
  <c r="B193" i="24"/>
  <c r="A193" i="24"/>
  <c r="E192" i="24"/>
  <c r="D192" i="24"/>
  <c r="C192" i="24"/>
  <c r="B192" i="24"/>
  <c r="A192" i="24"/>
  <c r="E191" i="24"/>
  <c r="D191" i="24"/>
  <c r="C191" i="24"/>
  <c r="B191" i="24"/>
  <c r="A191" i="24"/>
  <c r="E190" i="24"/>
  <c r="D190" i="24"/>
  <c r="C190" i="24"/>
  <c r="B190" i="24"/>
  <c r="A190" i="24"/>
  <c r="E189" i="24"/>
  <c r="D189" i="24"/>
  <c r="C189" i="24"/>
  <c r="B189" i="24"/>
  <c r="A189" i="24"/>
  <c r="E188" i="24"/>
  <c r="D188" i="24"/>
  <c r="C188" i="24"/>
  <c r="B188" i="24"/>
  <c r="A188" i="24"/>
  <c r="E187" i="24"/>
  <c r="D187" i="24"/>
  <c r="C187" i="24"/>
  <c r="B187" i="24"/>
  <c r="A187" i="24"/>
  <c r="E186" i="24"/>
  <c r="D186" i="24"/>
  <c r="C186" i="24"/>
  <c r="B186" i="24"/>
  <c r="A186" i="24"/>
  <c r="E185" i="24"/>
  <c r="D185" i="24"/>
  <c r="C185" i="24"/>
  <c r="B185" i="24"/>
  <c r="A185" i="24"/>
  <c r="E184" i="24"/>
  <c r="D184" i="24"/>
  <c r="C184" i="24"/>
  <c r="B184" i="24"/>
  <c r="A184" i="24"/>
  <c r="E183" i="24"/>
  <c r="D183" i="24"/>
  <c r="C183" i="24"/>
  <c r="B183" i="24"/>
  <c r="A183" i="24"/>
  <c r="E182" i="24"/>
  <c r="D182" i="24"/>
  <c r="C182" i="24"/>
  <c r="B182" i="24"/>
  <c r="A182" i="24"/>
  <c r="E181" i="24"/>
  <c r="D181" i="24"/>
  <c r="C181" i="24"/>
  <c r="B181" i="24"/>
  <c r="A181" i="24"/>
  <c r="E180" i="24"/>
  <c r="D180" i="24"/>
  <c r="C180" i="24"/>
  <c r="B180" i="24"/>
  <c r="A180" i="24"/>
  <c r="E179" i="24"/>
  <c r="D179" i="24"/>
  <c r="C179" i="24"/>
  <c r="B179" i="24"/>
  <c r="A179" i="24"/>
  <c r="E178" i="24"/>
  <c r="D178" i="24"/>
  <c r="C178" i="24"/>
  <c r="B178" i="24"/>
  <c r="A178" i="24"/>
  <c r="E177" i="24"/>
  <c r="D177" i="24"/>
  <c r="C177" i="24"/>
  <c r="B177" i="24"/>
  <c r="A177" i="24"/>
  <c r="E176" i="24"/>
  <c r="D176" i="24"/>
  <c r="C176" i="24"/>
  <c r="B176" i="24"/>
  <c r="A176" i="24"/>
  <c r="E175" i="24"/>
  <c r="D175" i="24"/>
  <c r="C175" i="24"/>
  <c r="B175" i="24"/>
  <c r="A175" i="24"/>
  <c r="E174" i="24"/>
  <c r="D174" i="24"/>
  <c r="C174" i="24"/>
  <c r="B174" i="24"/>
  <c r="A174" i="24"/>
  <c r="E173" i="24"/>
  <c r="D173" i="24"/>
  <c r="C173" i="24"/>
  <c r="B173" i="24"/>
  <c r="A173" i="24"/>
  <c r="E172" i="24"/>
  <c r="D172" i="24"/>
  <c r="C172" i="24"/>
  <c r="B172" i="24"/>
  <c r="A172" i="24"/>
  <c r="E171" i="24"/>
  <c r="D171" i="24"/>
  <c r="C171" i="24"/>
  <c r="B171" i="24"/>
  <c r="A171" i="24"/>
  <c r="E170" i="24"/>
  <c r="D170" i="24"/>
  <c r="C170" i="24"/>
  <c r="B170" i="24"/>
  <c r="A170" i="24"/>
  <c r="E169" i="24"/>
  <c r="D169" i="24"/>
  <c r="C169" i="24"/>
  <c r="B169" i="24"/>
  <c r="A169" i="24"/>
  <c r="E168" i="24"/>
  <c r="D168" i="24"/>
  <c r="C168" i="24"/>
  <c r="B168" i="24"/>
  <c r="A168" i="24"/>
  <c r="E167" i="24"/>
  <c r="D167" i="24"/>
  <c r="C167" i="24"/>
  <c r="B167" i="24"/>
  <c r="A167" i="24"/>
  <c r="E166" i="24"/>
  <c r="D166" i="24"/>
  <c r="C166" i="24"/>
  <c r="B166" i="24"/>
  <c r="A166" i="24"/>
  <c r="E165" i="24"/>
  <c r="D165" i="24"/>
  <c r="C165" i="24"/>
  <c r="B165" i="24"/>
  <c r="A165" i="24"/>
  <c r="E164" i="24"/>
  <c r="D164" i="24"/>
  <c r="C164" i="24"/>
  <c r="B164" i="24"/>
  <c r="A164" i="24"/>
  <c r="E163" i="24"/>
  <c r="D163" i="24"/>
  <c r="C163" i="24"/>
  <c r="B163" i="24"/>
  <c r="A163" i="24"/>
  <c r="E162" i="24"/>
  <c r="D162" i="24"/>
  <c r="C162" i="24"/>
  <c r="B162" i="24"/>
  <c r="A162" i="24"/>
  <c r="E161" i="24"/>
  <c r="D161" i="24"/>
  <c r="C161" i="24"/>
  <c r="B161" i="24"/>
  <c r="A161" i="24"/>
  <c r="E160" i="24"/>
  <c r="D160" i="24"/>
  <c r="C160" i="24"/>
  <c r="B160" i="24"/>
  <c r="A160" i="24"/>
  <c r="E159" i="24"/>
  <c r="D159" i="24"/>
  <c r="C159" i="24"/>
  <c r="B159" i="24"/>
  <c r="A159" i="24"/>
  <c r="E158" i="24"/>
  <c r="D158" i="24"/>
  <c r="C158" i="24"/>
  <c r="B158" i="24"/>
  <c r="A158" i="24"/>
  <c r="E157" i="24"/>
  <c r="D157" i="24"/>
  <c r="C157" i="24"/>
  <c r="B157" i="24"/>
  <c r="A157" i="24"/>
  <c r="E156" i="24"/>
  <c r="D156" i="24"/>
  <c r="C156" i="24"/>
  <c r="B156" i="24"/>
  <c r="A156" i="24"/>
  <c r="E155" i="24"/>
  <c r="D155" i="24"/>
  <c r="C155" i="24"/>
  <c r="B155" i="24"/>
  <c r="A155" i="24"/>
  <c r="E154" i="24"/>
  <c r="D154" i="24"/>
  <c r="C154" i="24"/>
  <c r="B154" i="24"/>
  <c r="A154" i="24"/>
  <c r="E153" i="24"/>
  <c r="D153" i="24"/>
  <c r="C153" i="24"/>
  <c r="B153" i="24"/>
  <c r="A153" i="24"/>
  <c r="E152" i="24"/>
  <c r="D152" i="24"/>
  <c r="C152" i="24"/>
  <c r="B152" i="24"/>
  <c r="A152" i="24"/>
  <c r="E151" i="24"/>
  <c r="D151" i="24"/>
  <c r="C151" i="24"/>
  <c r="B151" i="24"/>
  <c r="A151" i="24"/>
  <c r="E150" i="24"/>
  <c r="D150" i="24"/>
  <c r="C150" i="24"/>
  <c r="B150" i="24"/>
  <c r="A150" i="24"/>
  <c r="E149" i="24"/>
  <c r="D149" i="24"/>
  <c r="C149" i="24"/>
  <c r="B149" i="24"/>
  <c r="A149" i="24"/>
  <c r="E148" i="24"/>
  <c r="D148" i="24"/>
  <c r="C148" i="24"/>
  <c r="B148" i="24"/>
  <c r="A148" i="24"/>
  <c r="E147" i="24"/>
  <c r="D147" i="24"/>
  <c r="C147" i="24"/>
  <c r="B147" i="24"/>
  <c r="A147" i="24"/>
  <c r="E146" i="24"/>
  <c r="D146" i="24"/>
  <c r="C146" i="24"/>
  <c r="B146" i="24"/>
  <c r="A146" i="24"/>
  <c r="E145" i="24"/>
  <c r="D145" i="24"/>
  <c r="C145" i="24"/>
  <c r="B145" i="24"/>
  <c r="A145" i="24"/>
  <c r="E144" i="24"/>
  <c r="D144" i="24"/>
  <c r="C144" i="24"/>
  <c r="B144" i="24"/>
  <c r="A144" i="24"/>
  <c r="E143" i="24"/>
  <c r="D143" i="24"/>
  <c r="C143" i="24"/>
  <c r="B143" i="24"/>
  <c r="A143" i="24"/>
  <c r="E142" i="24"/>
  <c r="D142" i="24"/>
  <c r="C142" i="24"/>
  <c r="B142" i="24"/>
  <c r="A142" i="24"/>
  <c r="E141" i="24"/>
  <c r="D141" i="24"/>
  <c r="C141" i="24"/>
  <c r="B141" i="24"/>
  <c r="A141" i="24"/>
  <c r="E140" i="24"/>
  <c r="D140" i="24"/>
  <c r="C140" i="24"/>
  <c r="B140" i="24"/>
  <c r="A140" i="24"/>
  <c r="E139" i="24"/>
  <c r="D139" i="24"/>
  <c r="C139" i="24"/>
  <c r="B139" i="24"/>
  <c r="A139" i="24"/>
  <c r="E138" i="24"/>
  <c r="D138" i="24"/>
  <c r="C138" i="24"/>
  <c r="B138" i="24"/>
  <c r="A138" i="24"/>
  <c r="E137" i="24"/>
  <c r="D137" i="24"/>
  <c r="C137" i="24"/>
  <c r="B137" i="24"/>
  <c r="A137" i="24"/>
  <c r="E136" i="24"/>
  <c r="D136" i="24"/>
  <c r="C136" i="24"/>
  <c r="B136" i="24"/>
  <c r="A136" i="24"/>
  <c r="E135" i="24"/>
  <c r="D135" i="24"/>
  <c r="C135" i="24"/>
  <c r="B135" i="24"/>
  <c r="A135" i="24"/>
  <c r="E134" i="24"/>
  <c r="D134" i="24"/>
  <c r="C134" i="24"/>
  <c r="B134" i="24"/>
  <c r="A134" i="24"/>
  <c r="E133" i="24"/>
  <c r="D133" i="24"/>
  <c r="C133" i="24"/>
  <c r="B133" i="24"/>
  <c r="A133" i="24"/>
  <c r="E132" i="24"/>
  <c r="D132" i="24"/>
  <c r="C132" i="24"/>
  <c r="B132" i="24"/>
  <c r="A132" i="24"/>
  <c r="E131" i="24"/>
  <c r="D131" i="24"/>
  <c r="C131" i="24"/>
  <c r="B131" i="24"/>
  <c r="A131" i="24"/>
  <c r="E130" i="24"/>
  <c r="D130" i="24"/>
  <c r="C130" i="24"/>
  <c r="B130" i="24"/>
  <c r="A130" i="24"/>
  <c r="E129" i="24"/>
  <c r="D129" i="24"/>
  <c r="C129" i="24"/>
  <c r="B129" i="24"/>
  <c r="A129" i="24"/>
  <c r="E128" i="24"/>
  <c r="D128" i="24"/>
  <c r="C128" i="24"/>
  <c r="B128" i="24"/>
  <c r="A128" i="24"/>
  <c r="E127" i="24"/>
  <c r="D127" i="24"/>
  <c r="C127" i="24"/>
  <c r="B127" i="24"/>
  <c r="A127" i="24"/>
  <c r="E126" i="24"/>
  <c r="D126" i="24"/>
  <c r="C126" i="24"/>
  <c r="B126" i="24"/>
  <c r="A126" i="24"/>
  <c r="E125" i="24"/>
  <c r="D125" i="24"/>
  <c r="C125" i="24"/>
  <c r="B125" i="24"/>
  <c r="A125" i="24"/>
  <c r="E124" i="24"/>
  <c r="D124" i="24"/>
  <c r="C124" i="24"/>
  <c r="B124" i="24"/>
  <c r="A124" i="24"/>
  <c r="E123" i="24"/>
  <c r="D123" i="24"/>
  <c r="C123" i="24"/>
  <c r="B123" i="24"/>
  <c r="A123" i="24"/>
  <c r="E122" i="24"/>
  <c r="D122" i="24"/>
  <c r="C122" i="24"/>
  <c r="B122" i="24"/>
  <c r="A122" i="24"/>
  <c r="E121" i="24"/>
  <c r="D121" i="24"/>
  <c r="C121" i="24"/>
  <c r="B121" i="24"/>
  <c r="A121" i="24"/>
  <c r="E120" i="24"/>
  <c r="D120" i="24"/>
  <c r="C120" i="24"/>
  <c r="B120" i="24"/>
  <c r="A120" i="24"/>
  <c r="E119" i="24"/>
  <c r="D119" i="24"/>
  <c r="C119" i="24"/>
  <c r="B119" i="24"/>
  <c r="A119" i="24"/>
  <c r="E118" i="24"/>
  <c r="D118" i="24"/>
  <c r="C118" i="24"/>
  <c r="B118" i="24"/>
  <c r="A118" i="24"/>
  <c r="E117" i="24"/>
  <c r="D117" i="24"/>
  <c r="C117" i="24"/>
  <c r="B117" i="24"/>
  <c r="A117" i="24"/>
  <c r="E116" i="24"/>
  <c r="D116" i="24"/>
  <c r="C116" i="24"/>
  <c r="B116" i="24"/>
  <c r="A116" i="24"/>
  <c r="E115" i="24"/>
  <c r="D115" i="24"/>
  <c r="C115" i="24"/>
  <c r="B115" i="24"/>
  <c r="A115" i="24"/>
  <c r="E114" i="24"/>
  <c r="D114" i="24"/>
  <c r="C114" i="24"/>
  <c r="B114" i="24"/>
  <c r="A114" i="24"/>
  <c r="E113" i="24"/>
  <c r="D113" i="24"/>
  <c r="C113" i="24"/>
  <c r="B113" i="24"/>
  <c r="A113" i="24"/>
  <c r="E112" i="24"/>
  <c r="D112" i="24"/>
  <c r="C112" i="24"/>
  <c r="B112" i="24"/>
  <c r="A112" i="24"/>
  <c r="E111" i="24"/>
  <c r="D111" i="24"/>
  <c r="C111" i="24"/>
  <c r="B111" i="24"/>
  <c r="A111" i="24"/>
  <c r="E110" i="24"/>
  <c r="D110" i="24"/>
  <c r="C110" i="24"/>
  <c r="B110" i="24"/>
  <c r="A110" i="24"/>
  <c r="E109" i="24"/>
  <c r="D109" i="24"/>
  <c r="C109" i="24"/>
  <c r="B109" i="24"/>
  <c r="A109" i="24"/>
  <c r="E108" i="24"/>
  <c r="D108" i="24"/>
  <c r="C108" i="24"/>
  <c r="B108" i="24"/>
  <c r="A108" i="24"/>
  <c r="E107" i="24"/>
  <c r="D107" i="24"/>
  <c r="C107" i="24"/>
  <c r="B107" i="24"/>
  <c r="A107" i="24"/>
  <c r="E106" i="24"/>
  <c r="D106" i="24"/>
  <c r="C106" i="24"/>
  <c r="B106" i="24"/>
  <c r="A106" i="24"/>
  <c r="E105" i="24"/>
  <c r="D105" i="24"/>
  <c r="C105" i="24"/>
  <c r="B105" i="24"/>
  <c r="A105" i="24"/>
  <c r="E104" i="24"/>
  <c r="D104" i="24"/>
  <c r="C104" i="24"/>
  <c r="B104" i="24"/>
  <c r="A104" i="24"/>
  <c r="E103" i="24"/>
  <c r="D103" i="24"/>
  <c r="C103" i="24"/>
  <c r="B103" i="24"/>
  <c r="A103" i="24"/>
  <c r="E102" i="24"/>
  <c r="D102" i="24"/>
  <c r="C102" i="24"/>
  <c r="B102" i="24"/>
  <c r="A102" i="24"/>
  <c r="E101" i="24"/>
  <c r="D101" i="24"/>
  <c r="C101" i="24"/>
  <c r="B101" i="24"/>
  <c r="A101" i="24"/>
  <c r="E100" i="24"/>
  <c r="D100" i="24"/>
  <c r="C100" i="24"/>
  <c r="B100" i="24"/>
  <c r="A100" i="24"/>
  <c r="E99" i="24"/>
  <c r="D99" i="24"/>
  <c r="C99" i="24"/>
  <c r="B99" i="24"/>
  <c r="A99" i="24"/>
  <c r="E98" i="24"/>
  <c r="D98" i="24"/>
  <c r="C98" i="24"/>
  <c r="B98" i="24"/>
  <c r="A98" i="24"/>
  <c r="E97" i="24"/>
  <c r="D97" i="24"/>
  <c r="C97" i="24"/>
  <c r="B97" i="24"/>
  <c r="A97" i="24"/>
  <c r="E96" i="24"/>
  <c r="D96" i="24"/>
  <c r="C96" i="24"/>
  <c r="B96" i="24"/>
  <c r="A96" i="24"/>
  <c r="E95" i="24"/>
  <c r="D95" i="24"/>
  <c r="C95" i="24"/>
  <c r="B95" i="24"/>
  <c r="A95" i="24"/>
  <c r="E94" i="24"/>
  <c r="D94" i="24"/>
  <c r="C94" i="24"/>
  <c r="B94" i="24"/>
  <c r="A94" i="24"/>
  <c r="E93" i="24"/>
  <c r="D93" i="24"/>
  <c r="C93" i="24"/>
  <c r="B93" i="24"/>
  <c r="A93" i="24"/>
  <c r="E92" i="24"/>
  <c r="D92" i="24"/>
  <c r="C92" i="24"/>
  <c r="B92" i="24"/>
  <c r="A92" i="24"/>
  <c r="E91" i="24"/>
  <c r="D91" i="24"/>
  <c r="C91" i="24"/>
  <c r="B91" i="24"/>
  <c r="A91" i="24"/>
  <c r="E90" i="24"/>
  <c r="D90" i="24"/>
  <c r="C90" i="24"/>
  <c r="B90" i="24"/>
  <c r="A90" i="24"/>
  <c r="E89" i="24"/>
  <c r="D89" i="24"/>
  <c r="C89" i="24"/>
  <c r="B89" i="24"/>
  <c r="A89" i="24"/>
  <c r="E88" i="24"/>
  <c r="D88" i="24"/>
  <c r="C88" i="24"/>
  <c r="B88" i="24"/>
  <c r="A88" i="24"/>
  <c r="E87" i="24"/>
  <c r="D87" i="24"/>
  <c r="C87" i="24"/>
  <c r="B87" i="24"/>
  <c r="A87" i="24"/>
  <c r="E86" i="24"/>
  <c r="D86" i="24"/>
  <c r="C86" i="24"/>
  <c r="B86" i="24"/>
  <c r="A86" i="24"/>
  <c r="E85" i="24"/>
  <c r="D85" i="24"/>
  <c r="C85" i="24"/>
  <c r="B85" i="24"/>
  <c r="A85" i="24"/>
  <c r="E84" i="24"/>
  <c r="D84" i="24"/>
  <c r="C84" i="24"/>
  <c r="B84" i="24"/>
  <c r="A84" i="24"/>
  <c r="E83" i="24"/>
  <c r="D83" i="24"/>
  <c r="C83" i="24"/>
  <c r="B83" i="24"/>
  <c r="A83" i="24"/>
  <c r="E82" i="24"/>
  <c r="D82" i="24"/>
  <c r="C82" i="24"/>
  <c r="B82" i="24"/>
  <c r="A82" i="24"/>
  <c r="E81" i="24"/>
  <c r="D81" i="24"/>
  <c r="C81" i="24"/>
  <c r="B81" i="24"/>
  <c r="A81" i="24"/>
  <c r="E80" i="24"/>
  <c r="D80" i="24"/>
  <c r="C80" i="24"/>
  <c r="B80" i="24"/>
  <c r="A80" i="24"/>
  <c r="E79" i="24"/>
  <c r="D79" i="24"/>
  <c r="C79" i="24"/>
  <c r="B79" i="24"/>
  <c r="A79" i="24"/>
  <c r="E78" i="24"/>
  <c r="D78" i="24"/>
  <c r="C78" i="24"/>
  <c r="B78" i="24"/>
  <c r="A78" i="24"/>
  <c r="E77" i="24"/>
  <c r="D77" i="24"/>
  <c r="C77" i="24"/>
  <c r="B77" i="24"/>
  <c r="A77" i="24"/>
  <c r="E76" i="24"/>
  <c r="D76" i="24"/>
  <c r="C76" i="24"/>
  <c r="B76" i="24"/>
  <c r="A76" i="24"/>
  <c r="E75" i="24"/>
  <c r="D75" i="24"/>
  <c r="C75" i="24"/>
  <c r="B75" i="24"/>
  <c r="A75" i="24"/>
  <c r="E74" i="24"/>
  <c r="D74" i="24"/>
  <c r="C74" i="24"/>
  <c r="B74" i="24"/>
  <c r="A74" i="24"/>
  <c r="E73" i="24"/>
  <c r="D73" i="24"/>
  <c r="C73" i="24"/>
  <c r="B73" i="24"/>
  <c r="A73" i="24"/>
  <c r="E72" i="24"/>
  <c r="D72" i="24"/>
  <c r="C72" i="24"/>
  <c r="B72" i="24"/>
  <c r="A72" i="24"/>
  <c r="E71" i="24"/>
  <c r="D71" i="24"/>
  <c r="C71" i="24"/>
  <c r="B71" i="24"/>
  <c r="A71" i="24"/>
  <c r="E70" i="24"/>
  <c r="D70" i="24"/>
  <c r="C70" i="24"/>
  <c r="B70" i="24"/>
  <c r="A70" i="24"/>
  <c r="E69" i="24"/>
  <c r="D69" i="24"/>
  <c r="C69" i="24"/>
  <c r="B69" i="24"/>
  <c r="A69" i="24"/>
  <c r="E68" i="24"/>
  <c r="D68" i="24"/>
  <c r="C68" i="24"/>
  <c r="B68" i="24"/>
  <c r="A68" i="24"/>
  <c r="E67" i="24"/>
  <c r="D67" i="24"/>
  <c r="C67" i="24"/>
  <c r="B67" i="24"/>
  <c r="A67" i="24"/>
  <c r="E66" i="24"/>
  <c r="D66" i="24"/>
  <c r="C66" i="24"/>
  <c r="B66" i="24"/>
  <c r="A66" i="24"/>
  <c r="E65" i="24"/>
  <c r="D65" i="24"/>
  <c r="C65" i="24"/>
  <c r="B65" i="24"/>
  <c r="A65" i="24"/>
  <c r="E64" i="24"/>
  <c r="D64" i="24"/>
  <c r="C64" i="24"/>
  <c r="B64" i="24"/>
  <c r="A64" i="24"/>
  <c r="E63" i="24"/>
  <c r="D63" i="24"/>
  <c r="C63" i="24"/>
  <c r="B63" i="24"/>
  <c r="A63" i="24"/>
  <c r="E62" i="24"/>
  <c r="D62" i="24"/>
  <c r="C62" i="24"/>
  <c r="B62" i="24"/>
  <c r="A62" i="24"/>
  <c r="E61" i="24"/>
  <c r="D61" i="24"/>
  <c r="C61" i="24"/>
  <c r="B61" i="24"/>
  <c r="A61" i="24"/>
  <c r="E60" i="24"/>
  <c r="D60" i="24"/>
  <c r="C60" i="24"/>
  <c r="B60" i="24"/>
  <c r="A60" i="24"/>
  <c r="E59" i="24"/>
  <c r="D59" i="24"/>
  <c r="C59" i="24"/>
  <c r="B59" i="24"/>
  <c r="A59" i="24"/>
  <c r="E58" i="24"/>
  <c r="D58" i="24"/>
  <c r="C58" i="24"/>
  <c r="B58" i="24"/>
  <c r="A58" i="24"/>
  <c r="E57" i="24"/>
  <c r="D57" i="24"/>
  <c r="C57" i="24"/>
  <c r="B57" i="24"/>
  <c r="A57" i="24"/>
  <c r="E56" i="24"/>
  <c r="D56" i="24"/>
  <c r="C56" i="24"/>
  <c r="B56" i="24"/>
  <c r="A56" i="24"/>
  <c r="E55" i="24"/>
  <c r="D55" i="24"/>
  <c r="C55" i="24"/>
  <c r="B55" i="24"/>
  <c r="A55" i="24"/>
  <c r="E54" i="24"/>
  <c r="D54" i="24"/>
  <c r="C54" i="24"/>
  <c r="B54" i="24"/>
  <c r="A54" i="24"/>
  <c r="E53" i="24"/>
  <c r="D53" i="24"/>
  <c r="C53" i="24"/>
  <c r="B53" i="24"/>
  <c r="A53" i="24"/>
  <c r="E52" i="24"/>
  <c r="D52" i="24"/>
  <c r="C52" i="24"/>
  <c r="B52" i="24"/>
  <c r="A52" i="24"/>
  <c r="E51" i="24"/>
  <c r="D51" i="24"/>
  <c r="C51" i="24"/>
  <c r="B51" i="24"/>
  <c r="A51" i="24"/>
  <c r="E50" i="24"/>
  <c r="D50" i="24"/>
  <c r="C50" i="24"/>
  <c r="B50" i="24"/>
  <c r="A50" i="24"/>
  <c r="E49" i="24"/>
  <c r="D49" i="24"/>
  <c r="C49" i="24"/>
  <c r="B49" i="24"/>
  <c r="A49" i="24"/>
  <c r="E48" i="24"/>
  <c r="D48" i="24"/>
  <c r="C48" i="24"/>
  <c r="B48" i="24"/>
  <c r="A48" i="24"/>
  <c r="E47" i="24"/>
  <c r="D47" i="24"/>
  <c r="C47" i="24"/>
  <c r="B47" i="24"/>
  <c r="A47" i="24"/>
  <c r="E46" i="24"/>
  <c r="D46" i="24"/>
  <c r="C46" i="24"/>
  <c r="B46" i="24"/>
  <c r="A46" i="24"/>
  <c r="E45" i="24"/>
  <c r="D45" i="24"/>
  <c r="C45" i="24"/>
  <c r="B45" i="24"/>
  <c r="A45" i="24"/>
  <c r="E44" i="24"/>
  <c r="D44" i="24"/>
  <c r="C44" i="24"/>
  <c r="B44" i="24"/>
  <c r="A44" i="24"/>
  <c r="E43" i="24"/>
  <c r="D43" i="24"/>
  <c r="C43" i="24"/>
  <c r="B43" i="24"/>
  <c r="A43" i="24"/>
  <c r="E42" i="24"/>
  <c r="D42" i="24"/>
  <c r="C42" i="24"/>
  <c r="B42" i="24"/>
  <c r="A42" i="24"/>
  <c r="E41" i="24"/>
  <c r="D41" i="24"/>
  <c r="C41" i="24"/>
  <c r="B41" i="24"/>
  <c r="A41" i="24"/>
  <c r="E40" i="24"/>
  <c r="D40" i="24"/>
  <c r="C40" i="24"/>
  <c r="B40" i="24"/>
  <c r="A40" i="24"/>
  <c r="E39" i="24"/>
  <c r="D39" i="24"/>
  <c r="C39" i="24"/>
  <c r="B39" i="24"/>
  <c r="A39" i="24"/>
  <c r="E38" i="24"/>
  <c r="D38" i="24"/>
  <c r="C38" i="24"/>
  <c r="B38" i="24"/>
  <c r="A38" i="24"/>
  <c r="E37" i="24"/>
  <c r="D37" i="24"/>
  <c r="C37" i="24"/>
  <c r="B37" i="24"/>
  <c r="A37" i="24"/>
  <c r="E36" i="24"/>
  <c r="D36" i="24"/>
  <c r="C36" i="24"/>
  <c r="B36" i="24"/>
  <c r="A36" i="24"/>
  <c r="E35" i="24"/>
  <c r="D35" i="24"/>
  <c r="C35" i="24"/>
  <c r="B35" i="24"/>
  <c r="A35" i="24"/>
  <c r="E34" i="24"/>
  <c r="D34" i="24"/>
  <c r="C34" i="24"/>
  <c r="B34" i="24"/>
  <c r="A34" i="24"/>
  <c r="E33" i="24"/>
  <c r="D33" i="24"/>
  <c r="C33" i="24"/>
  <c r="B33" i="24"/>
  <c r="A33" i="24"/>
  <c r="E32" i="24"/>
  <c r="D32" i="24"/>
  <c r="C32" i="24"/>
  <c r="B32" i="24"/>
  <c r="A32" i="24"/>
  <c r="E31" i="24"/>
  <c r="D31" i="24"/>
  <c r="C31" i="24"/>
  <c r="B31" i="24"/>
  <c r="A31" i="24"/>
  <c r="E30" i="24"/>
  <c r="D30" i="24"/>
  <c r="C30" i="24"/>
  <c r="B30" i="24"/>
  <c r="A30" i="24"/>
  <c r="E29" i="24"/>
  <c r="D29" i="24"/>
  <c r="C29" i="24"/>
  <c r="B29" i="24"/>
  <c r="A29" i="24"/>
  <c r="E28" i="24"/>
  <c r="D28" i="24"/>
  <c r="C28" i="24"/>
  <c r="B28" i="24"/>
  <c r="A28" i="24"/>
  <c r="E27" i="24"/>
  <c r="D27" i="24"/>
  <c r="C27" i="24"/>
  <c r="B27" i="24"/>
  <c r="A27" i="24"/>
  <c r="E26" i="24"/>
  <c r="D26" i="24"/>
  <c r="C26" i="24"/>
  <c r="B26" i="24"/>
  <c r="A26" i="24"/>
  <c r="E25" i="24"/>
  <c r="D25" i="24"/>
  <c r="C25" i="24"/>
  <c r="B25" i="24"/>
  <c r="A25" i="24"/>
  <c r="E24" i="24"/>
  <c r="D24" i="24"/>
  <c r="C24" i="24"/>
  <c r="B24" i="24"/>
  <c r="A24" i="24"/>
  <c r="E23" i="24"/>
  <c r="D23" i="24"/>
  <c r="C23" i="24"/>
  <c r="B23" i="24"/>
  <c r="A23" i="24"/>
  <c r="E22" i="24"/>
  <c r="D22" i="24"/>
  <c r="C22" i="24"/>
  <c r="B22" i="24"/>
  <c r="A22" i="24"/>
  <c r="E21" i="24"/>
  <c r="D21" i="24"/>
  <c r="C21" i="24"/>
  <c r="B21" i="24"/>
  <c r="A21" i="24"/>
  <c r="E20" i="24"/>
  <c r="D20" i="24"/>
  <c r="C20" i="24"/>
  <c r="B20" i="24"/>
  <c r="A20" i="24"/>
  <c r="E19" i="24"/>
  <c r="D19" i="24"/>
  <c r="C19" i="24"/>
  <c r="B19" i="24"/>
  <c r="A19" i="24"/>
  <c r="E18" i="24"/>
  <c r="D18" i="24"/>
  <c r="C18" i="24"/>
  <c r="B18" i="24"/>
  <c r="A18" i="24"/>
  <c r="E17" i="24"/>
  <c r="D17" i="24"/>
  <c r="C17" i="24"/>
  <c r="B17" i="24"/>
  <c r="A17" i="24"/>
  <c r="E16" i="24"/>
  <c r="D16" i="24"/>
  <c r="C16" i="24"/>
  <c r="B16" i="24"/>
  <c r="A16" i="24"/>
  <c r="E15" i="24"/>
  <c r="D15" i="24"/>
  <c r="C15" i="24"/>
  <c r="B15" i="24"/>
  <c r="A15" i="24"/>
  <c r="E14" i="24"/>
  <c r="D14" i="24"/>
  <c r="C14" i="24"/>
  <c r="B14" i="24"/>
  <c r="A14" i="24"/>
  <c r="E13" i="24"/>
  <c r="D13" i="24"/>
  <c r="C13" i="24"/>
  <c r="B13" i="24"/>
  <c r="A13" i="24"/>
  <c r="E12" i="24"/>
  <c r="D12" i="24"/>
  <c r="C12" i="24"/>
  <c r="B12" i="24"/>
  <c r="A12" i="24"/>
  <c r="E11" i="24"/>
  <c r="D11" i="24"/>
  <c r="C11" i="24"/>
  <c r="B11" i="24"/>
  <c r="A11" i="24"/>
  <c r="E10" i="24"/>
  <c r="D10" i="24"/>
  <c r="C10" i="24"/>
  <c r="B10" i="24"/>
  <c r="A10" i="24"/>
  <c r="E9" i="24"/>
  <c r="D9" i="24"/>
  <c r="C9" i="24"/>
  <c r="B9" i="24"/>
  <c r="A9" i="24"/>
  <c r="E8" i="24"/>
  <c r="D8" i="24"/>
  <c r="C8" i="24"/>
  <c r="B8" i="24"/>
  <c r="A8" i="24"/>
  <c r="E7" i="24"/>
  <c r="D7" i="24"/>
  <c r="C7" i="24"/>
  <c r="B7" i="24"/>
  <c r="A7" i="24"/>
  <c r="E6" i="24"/>
  <c r="D6" i="24"/>
  <c r="C6" i="24"/>
  <c r="B6" i="24"/>
  <c r="A6" i="24"/>
  <c r="E5" i="24"/>
  <c r="D5" i="24"/>
  <c r="C5" i="24"/>
  <c r="B5" i="24"/>
  <c r="A5" i="24"/>
  <c r="E4" i="24"/>
  <c r="D4" i="24"/>
  <c r="C4" i="24"/>
  <c r="B4" i="24"/>
  <c r="A4" i="24"/>
  <c r="E3" i="24"/>
  <c r="D3" i="24"/>
  <c r="C3" i="24"/>
  <c r="B3" i="24"/>
  <c r="A3" i="24"/>
  <c r="C2" i="24" l="1"/>
  <c r="B2" i="24"/>
</calcChain>
</file>

<file path=xl/sharedStrings.xml><?xml version="1.0" encoding="utf-8"?>
<sst xmlns="http://schemas.openxmlformats.org/spreadsheetml/2006/main" count="14" uniqueCount="14">
  <si>
    <t>death rate:</t>
  </si>
  <si>
    <t>recovery rate:</t>
  </si>
  <si>
    <t>transmission rate:</t>
  </si>
  <si>
    <t>Total # in population:</t>
  </si>
  <si>
    <t>Initial # infected:</t>
  </si>
  <si>
    <t>Initial # susceptible:</t>
  </si>
  <si>
    <t>"step" size</t>
  </si>
  <si>
    <t>died</t>
  </si>
  <si>
    <t>recovered</t>
  </si>
  <si>
    <t>infected</t>
  </si>
  <si>
    <t>susceptible</t>
  </si>
  <si>
    <t>time</t>
  </si>
  <si>
    <t>done 100%</t>
  </si>
  <si>
    <t>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</si>
</sst>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theme="1"/>
      <name val="Arial"/>
      <family val="2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5">
    <xf numFmtId="0" fontId="0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4" borderId="0" applyNumberFormat="0" applyBorder="0" applyAlignment="0" applyProtection="0"/>
    <xf numFmtId="0" fontId="2" fillId="7" borderId="0" applyNumberFormat="0" applyBorder="0" applyAlignment="0" applyProtection="0"/>
    <xf numFmtId="0" fontId="3" fillId="5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>
      <alignment horizontal="center" vertical="center" wrapText="1"/>
    </xf>
    <xf numFmtId="43" fontId="1" fillId="0" borderId="0" applyFont="0" applyFill="0" applyBorder="0" applyAlignment="0" applyProtection="0"/>
    <xf numFmtId="0" fontId="5" fillId="0" borderId="0">
      <alignment horizontal="left" vertical="center" wrapText="1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3" fontId="7" fillId="0" borderId="0">
      <alignment horizontal="left" vertical="center"/>
    </xf>
    <xf numFmtId="0" fontId="4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8" fillId="0" borderId="0">
      <alignment horizontal="right"/>
    </xf>
    <xf numFmtId="0" fontId="16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7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7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  <xf numFmtId="0" fontId="18" fillId="15" borderId="5" applyNumberFormat="0" applyAlignment="0" applyProtection="0"/>
  </cellStyleXfs>
  <cellXfs count="17">
    <xf numFmtId="0" fontId="0" fillId="0" borderId="0" xfId="0"/>
    <xf numFmtId="0" fontId="19" fillId="0" borderId="0" xfId="0" applyFont="1" applyAlignment="1" applyProtection="1">
      <alignment horizontal="center"/>
      <protection locked="0"/>
    </xf>
    <xf numFmtId="0" fontId="19" fillId="0" borderId="0" xfId="0" applyFont="1" applyProtection="1">
      <protection locked="0"/>
    </xf>
    <xf numFmtId="0" fontId="20" fillId="15" borderId="5" xfId="74" applyFont="1" applyProtection="1">
      <protection locked="0"/>
    </xf>
    <xf numFmtId="0" fontId="19" fillId="0" borderId="6" xfId="0" applyFont="1" applyBorder="1" applyProtection="1">
      <protection locked="0"/>
    </xf>
    <xf numFmtId="0" fontId="19" fillId="0" borderId="6" xfId="0" applyFont="1" applyBorder="1" applyProtection="1"/>
    <xf numFmtId="0" fontId="19" fillId="0" borderId="0" xfId="0" applyFont="1" applyProtection="1"/>
    <xf numFmtId="2" fontId="19" fillId="0" borderId="0" xfId="0" applyNumberFormat="1" applyFont="1" applyProtection="1"/>
    <xf numFmtId="0" fontId="21" fillId="16" borderId="7" xfId="0" applyFont="1" applyFill="1" applyBorder="1" applyAlignment="1" applyProtection="1">
      <alignment horizontal="center" vertical="center"/>
      <protection locked="0"/>
    </xf>
    <xf numFmtId="0" fontId="21" fillId="16" borderId="8" xfId="0" applyFont="1" applyFill="1" applyBorder="1" applyAlignment="1" applyProtection="1">
      <alignment horizontal="center" vertical="center"/>
      <protection locked="0"/>
    </xf>
    <xf numFmtId="0" fontId="21" fillId="16" borderId="9" xfId="0" applyFont="1" applyFill="1" applyBorder="1" applyAlignment="1" applyProtection="1">
      <alignment horizontal="center" vertical="center"/>
      <protection locked="0"/>
    </xf>
    <xf numFmtId="0" fontId="21" fillId="16" borderId="10" xfId="0" applyFont="1" applyFill="1" applyBorder="1" applyAlignment="1" applyProtection="1">
      <alignment horizontal="center" vertical="center"/>
      <protection locked="0"/>
    </xf>
    <xf numFmtId="0" fontId="21" fillId="16" borderId="11" xfId="0" applyFont="1" applyFill="1" applyBorder="1" applyAlignment="1" applyProtection="1">
      <alignment horizontal="center" vertical="center"/>
      <protection locked="0"/>
    </xf>
    <xf numFmtId="0" fontId="21" fillId="16" borderId="12" xfId="0" applyFont="1" applyFill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locked="0"/>
    </xf>
    <xf numFmtId="0" fontId="19" fillId="0" borderId="14" xfId="0" applyFont="1" applyBorder="1" applyAlignment="1" applyProtection="1">
      <alignment horizontal="center"/>
      <protection locked="0"/>
    </xf>
    <xf numFmtId="0" fontId="19" fillId="0" borderId="15" xfId="0" applyFont="1" applyBorder="1" applyAlignment="1" applyProtection="1">
      <alignment horizontal="center"/>
      <protection locked="0"/>
    </xf>
  </cellXfs>
  <cellStyles count="75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Input" xfId="74" builtinId="20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Epidemic!$B$1</c:f>
              <c:strCache>
                <c:ptCount val="1"/>
                <c:pt idx="0">
                  <c:v>susceptible</c:v>
                </c:pt>
              </c:strCache>
            </c:strRef>
          </c:tx>
          <c:marker>
            <c:symbol val="none"/>
          </c:marker>
          <c:dLbls>
            <c:dLbl>
              <c:idx val="9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Epidemic!$A$2:$A$302</c:f>
              <c:numCache>
                <c:formatCode>General</c:formatCode>
                <c:ptCount val="30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  <c:pt idx="121">
                  <c:v>605</c:v>
                </c:pt>
                <c:pt idx="122">
                  <c:v>610</c:v>
                </c:pt>
                <c:pt idx="123">
                  <c:v>615</c:v>
                </c:pt>
                <c:pt idx="124">
                  <c:v>620</c:v>
                </c:pt>
                <c:pt idx="125">
                  <c:v>625</c:v>
                </c:pt>
                <c:pt idx="126">
                  <c:v>630</c:v>
                </c:pt>
                <c:pt idx="127">
                  <c:v>635</c:v>
                </c:pt>
                <c:pt idx="128">
                  <c:v>640</c:v>
                </c:pt>
                <c:pt idx="129">
                  <c:v>645</c:v>
                </c:pt>
                <c:pt idx="130">
                  <c:v>650</c:v>
                </c:pt>
                <c:pt idx="131">
                  <c:v>655</c:v>
                </c:pt>
                <c:pt idx="132">
                  <c:v>660</c:v>
                </c:pt>
                <c:pt idx="133">
                  <c:v>665</c:v>
                </c:pt>
                <c:pt idx="134">
                  <c:v>670</c:v>
                </c:pt>
                <c:pt idx="135">
                  <c:v>675</c:v>
                </c:pt>
                <c:pt idx="136">
                  <c:v>680</c:v>
                </c:pt>
                <c:pt idx="137">
                  <c:v>685</c:v>
                </c:pt>
                <c:pt idx="138">
                  <c:v>690</c:v>
                </c:pt>
                <c:pt idx="139">
                  <c:v>695</c:v>
                </c:pt>
                <c:pt idx="140">
                  <c:v>700</c:v>
                </c:pt>
                <c:pt idx="141">
                  <c:v>705</c:v>
                </c:pt>
                <c:pt idx="142">
                  <c:v>710</c:v>
                </c:pt>
                <c:pt idx="143">
                  <c:v>715</c:v>
                </c:pt>
                <c:pt idx="144">
                  <c:v>720</c:v>
                </c:pt>
                <c:pt idx="145">
                  <c:v>725</c:v>
                </c:pt>
                <c:pt idx="146">
                  <c:v>730</c:v>
                </c:pt>
                <c:pt idx="147">
                  <c:v>735</c:v>
                </c:pt>
                <c:pt idx="148">
                  <c:v>740</c:v>
                </c:pt>
                <c:pt idx="149">
                  <c:v>745</c:v>
                </c:pt>
                <c:pt idx="150">
                  <c:v>750</c:v>
                </c:pt>
                <c:pt idx="151">
                  <c:v>755</c:v>
                </c:pt>
                <c:pt idx="152">
                  <c:v>760</c:v>
                </c:pt>
                <c:pt idx="153">
                  <c:v>765</c:v>
                </c:pt>
                <c:pt idx="154">
                  <c:v>770</c:v>
                </c:pt>
                <c:pt idx="155">
                  <c:v>775</c:v>
                </c:pt>
                <c:pt idx="156">
                  <c:v>780</c:v>
                </c:pt>
                <c:pt idx="157">
                  <c:v>785</c:v>
                </c:pt>
                <c:pt idx="158">
                  <c:v>790</c:v>
                </c:pt>
                <c:pt idx="159">
                  <c:v>795</c:v>
                </c:pt>
                <c:pt idx="160">
                  <c:v>800</c:v>
                </c:pt>
                <c:pt idx="161">
                  <c:v>805</c:v>
                </c:pt>
                <c:pt idx="162">
                  <c:v>810</c:v>
                </c:pt>
                <c:pt idx="163">
                  <c:v>815</c:v>
                </c:pt>
                <c:pt idx="164">
                  <c:v>820</c:v>
                </c:pt>
                <c:pt idx="165">
                  <c:v>825</c:v>
                </c:pt>
                <c:pt idx="166">
                  <c:v>830</c:v>
                </c:pt>
                <c:pt idx="167">
                  <c:v>835</c:v>
                </c:pt>
                <c:pt idx="168">
                  <c:v>840</c:v>
                </c:pt>
                <c:pt idx="169">
                  <c:v>845</c:v>
                </c:pt>
                <c:pt idx="170">
                  <c:v>850</c:v>
                </c:pt>
                <c:pt idx="171">
                  <c:v>855</c:v>
                </c:pt>
                <c:pt idx="172">
                  <c:v>860</c:v>
                </c:pt>
                <c:pt idx="173">
                  <c:v>865</c:v>
                </c:pt>
                <c:pt idx="174">
                  <c:v>870</c:v>
                </c:pt>
                <c:pt idx="175">
                  <c:v>875</c:v>
                </c:pt>
                <c:pt idx="176">
                  <c:v>880</c:v>
                </c:pt>
                <c:pt idx="177">
                  <c:v>885</c:v>
                </c:pt>
                <c:pt idx="178">
                  <c:v>890</c:v>
                </c:pt>
                <c:pt idx="179">
                  <c:v>895</c:v>
                </c:pt>
                <c:pt idx="180">
                  <c:v>900</c:v>
                </c:pt>
                <c:pt idx="181">
                  <c:v>905</c:v>
                </c:pt>
                <c:pt idx="182">
                  <c:v>910</c:v>
                </c:pt>
                <c:pt idx="183">
                  <c:v>915</c:v>
                </c:pt>
                <c:pt idx="184">
                  <c:v>920</c:v>
                </c:pt>
                <c:pt idx="185">
                  <c:v>925</c:v>
                </c:pt>
                <c:pt idx="186">
                  <c:v>930</c:v>
                </c:pt>
                <c:pt idx="187">
                  <c:v>935</c:v>
                </c:pt>
                <c:pt idx="188">
                  <c:v>940</c:v>
                </c:pt>
                <c:pt idx="189">
                  <c:v>945</c:v>
                </c:pt>
                <c:pt idx="190">
                  <c:v>950</c:v>
                </c:pt>
                <c:pt idx="191">
                  <c:v>955</c:v>
                </c:pt>
                <c:pt idx="192">
                  <c:v>960</c:v>
                </c:pt>
                <c:pt idx="193">
                  <c:v>965</c:v>
                </c:pt>
                <c:pt idx="194">
                  <c:v>970</c:v>
                </c:pt>
                <c:pt idx="195">
                  <c:v>975</c:v>
                </c:pt>
                <c:pt idx="196">
                  <c:v>980</c:v>
                </c:pt>
                <c:pt idx="197">
                  <c:v>985</c:v>
                </c:pt>
                <c:pt idx="198">
                  <c:v>990</c:v>
                </c:pt>
                <c:pt idx="199">
                  <c:v>995</c:v>
                </c:pt>
                <c:pt idx="200">
                  <c:v>1000</c:v>
                </c:pt>
                <c:pt idx="201">
                  <c:v>1005</c:v>
                </c:pt>
                <c:pt idx="202">
                  <c:v>1010</c:v>
                </c:pt>
                <c:pt idx="203">
                  <c:v>1015</c:v>
                </c:pt>
                <c:pt idx="204">
                  <c:v>1020</c:v>
                </c:pt>
                <c:pt idx="205">
                  <c:v>1025</c:v>
                </c:pt>
                <c:pt idx="206">
                  <c:v>1030</c:v>
                </c:pt>
                <c:pt idx="207">
                  <c:v>1035</c:v>
                </c:pt>
                <c:pt idx="208">
                  <c:v>1040</c:v>
                </c:pt>
                <c:pt idx="209">
                  <c:v>1045</c:v>
                </c:pt>
                <c:pt idx="210">
                  <c:v>1050</c:v>
                </c:pt>
                <c:pt idx="211">
                  <c:v>1055</c:v>
                </c:pt>
                <c:pt idx="212">
                  <c:v>1060</c:v>
                </c:pt>
                <c:pt idx="213">
                  <c:v>1065</c:v>
                </c:pt>
                <c:pt idx="214">
                  <c:v>1070</c:v>
                </c:pt>
                <c:pt idx="215">
                  <c:v>1075</c:v>
                </c:pt>
                <c:pt idx="216">
                  <c:v>1080</c:v>
                </c:pt>
                <c:pt idx="217">
                  <c:v>1085</c:v>
                </c:pt>
                <c:pt idx="218">
                  <c:v>1090</c:v>
                </c:pt>
                <c:pt idx="219">
                  <c:v>1095</c:v>
                </c:pt>
                <c:pt idx="220">
                  <c:v>1100</c:v>
                </c:pt>
                <c:pt idx="221">
                  <c:v>1105</c:v>
                </c:pt>
                <c:pt idx="222">
                  <c:v>1110</c:v>
                </c:pt>
                <c:pt idx="223">
                  <c:v>1115</c:v>
                </c:pt>
                <c:pt idx="224">
                  <c:v>1120</c:v>
                </c:pt>
                <c:pt idx="225">
                  <c:v>1125</c:v>
                </c:pt>
                <c:pt idx="226">
                  <c:v>1130</c:v>
                </c:pt>
                <c:pt idx="227">
                  <c:v>1135</c:v>
                </c:pt>
                <c:pt idx="228">
                  <c:v>1140</c:v>
                </c:pt>
                <c:pt idx="229">
                  <c:v>1145</c:v>
                </c:pt>
                <c:pt idx="230">
                  <c:v>1150</c:v>
                </c:pt>
                <c:pt idx="231">
                  <c:v>1155</c:v>
                </c:pt>
                <c:pt idx="232">
                  <c:v>1160</c:v>
                </c:pt>
                <c:pt idx="233">
                  <c:v>1165</c:v>
                </c:pt>
                <c:pt idx="234">
                  <c:v>1170</c:v>
                </c:pt>
                <c:pt idx="235">
                  <c:v>1175</c:v>
                </c:pt>
                <c:pt idx="236">
                  <c:v>1180</c:v>
                </c:pt>
                <c:pt idx="237">
                  <c:v>1185</c:v>
                </c:pt>
                <c:pt idx="238">
                  <c:v>1190</c:v>
                </c:pt>
                <c:pt idx="239">
                  <c:v>1195</c:v>
                </c:pt>
                <c:pt idx="240">
                  <c:v>1200</c:v>
                </c:pt>
                <c:pt idx="241">
                  <c:v>1205</c:v>
                </c:pt>
                <c:pt idx="242">
                  <c:v>1210</c:v>
                </c:pt>
                <c:pt idx="243">
                  <c:v>1215</c:v>
                </c:pt>
                <c:pt idx="244">
                  <c:v>1220</c:v>
                </c:pt>
                <c:pt idx="245">
                  <c:v>1225</c:v>
                </c:pt>
                <c:pt idx="246">
                  <c:v>1230</c:v>
                </c:pt>
                <c:pt idx="247">
                  <c:v>1235</c:v>
                </c:pt>
                <c:pt idx="248">
                  <c:v>1240</c:v>
                </c:pt>
                <c:pt idx="249">
                  <c:v>1245</c:v>
                </c:pt>
                <c:pt idx="250">
                  <c:v>1250</c:v>
                </c:pt>
                <c:pt idx="251">
                  <c:v>1255</c:v>
                </c:pt>
                <c:pt idx="252">
                  <c:v>1260</c:v>
                </c:pt>
                <c:pt idx="253">
                  <c:v>1265</c:v>
                </c:pt>
                <c:pt idx="254">
                  <c:v>1270</c:v>
                </c:pt>
                <c:pt idx="255">
                  <c:v>1275</c:v>
                </c:pt>
                <c:pt idx="256">
                  <c:v>1280</c:v>
                </c:pt>
                <c:pt idx="257">
                  <c:v>1285</c:v>
                </c:pt>
                <c:pt idx="258">
                  <c:v>1290</c:v>
                </c:pt>
                <c:pt idx="259">
                  <c:v>1295</c:v>
                </c:pt>
                <c:pt idx="260">
                  <c:v>1300</c:v>
                </c:pt>
                <c:pt idx="261">
                  <c:v>1305</c:v>
                </c:pt>
                <c:pt idx="262">
                  <c:v>1310</c:v>
                </c:pt>
                <c:pt idx="263">
                  <c:v>1315</c:v>
                </c:pt>
                <c:pt idx="264">
                  <c:v>1320</c:v>
                </c:pt>
                <c:pt idx="265">
                  <c:v>1325</c:v>
                </c:pt>
                <c:pt idx="266">
                  <c:v>1330</c:v>
                </c:pt>
                <c:pt idx="267">
                  <c:v>1335</c:v>
                </c:pt>
                <c:pt idx="268">
                  <c:v>1340</c:v>
                </c:pt>
                <c:pt idx="269">
                  <c:v>1345</c:v>
                </c:pt>
                <c:pt idx="270">
                  <c:v>1350</c:v>
                </c:pt>
                <c:pt idx="271">
                  <c:v>1355</c:v>
                </c:pt>
                <c:pt idx="272">
                  <c:v>1360</c:v>
                </c:pt>
                <c:pt idx="273">
                  <c:v>1365</c:v>
                </c:pt>
                <c:pt idx="274">
                  <c:v>1370</c:v>
                </c:pt>
                <c:pt idx="275">
                  <c:v>1375</c:v>
                </c:pt>
                <c:pt idx="276">
                  <c:v>1380</c:v>
                </c:pt>
                <c:pt idx="277">
                  <c:v>1385</c:v>
                </c:pt>
                <c:pt idx="278">
                  <c:v>1390</c:v>
                </c:pt>
                <c:pt idx="279">
                  <c:v>1395</c:v>
                </c:pt>
                <c:pt idx="280">
                  <c:v>1400</c:v>
                </c:pt>
                <c:pt idx="281">
                  <c:v>1405</c:v>
                </c:pt>
                <c:pt idx="282">
                  <c:v>1410</c:v>
                </c:pt>
                <c:pt idx="283">
                  <c:v>1415</c:v>
                </c:pt>
                <c:pt idx="284">
                  <c:v>1420</c:v>
                </c:pt>
                <c:pt idx="285">
                  <c:v>1425</c:v>
                </c:pt>
                <c:pt idx="286">
                  <c:v>1430</c:v>
                </c:pt>
                <c:pt idx="287">
                  <c:v>1435</c:v>
                </c:pt>
                <c:pt idx="288">
                  <c:v>1440</c:v>
                </c:pt>
                <c:pt idx="289">
                  <c:v>1445</c:v>
                </c:pt>
                <c:pt idx="290">
                  <c:v>1450</c:v>
                </c:pt>
                <c:pt idx="291">
                  <c:v>1455</c:v>
                </c:pt>
                <c:pt idx="292">
                  <c:v>1460</c:v>
                </c:pt>
                <c:pt idx="293">
                  <c:v>1465</c:v>
                </c:pt>
                <c:pt idx="294">
                  <c:v>1470</c:v>
                </c:pt>
                <c:pt idx="295">
                  <c:v>1475</c:v>
                </c:pt>
                <c:pt idx="296">
                  <c:v>1480</c:v>
                </c:pt>
                <c:pt idx="297">
                  <c:v>1485</c:v>
                </c:pt>
                <c:pt idx="298">
                  <c:v>1490</c:v>
                </c:pt>
                <c:pt idx="299">
                  <c:v>1495</c:v>
                </c:pt>
                <c:pt idx="300">
                  <c:v>1500</c:v>
                </c:pt>
              </c:numCache>
            </c:numRef>
          </c:xVal>
          <c:yVal>
            <c:numRef>
              <c:f>Epidemic!$B$2:$B$302</c:f>
              <c:numCache>
                <c:formatCode>0.00</c:formatCode>
                <c:ptCount val="301"/>
                <c:pt idx="0" formatCode="General">
                  <c:v>49990</c:v>
                </c:pt>
                <c:pt idx="1">
                  <c:v>49983.751250000001</c:v>
                </c:pt>
                <c:pt idx="2">
                  <c:v>49970.319678843793</c:v>
                </c:pt>
                <c:pt idx="3">
                  <c:v>49941.455015575091</c:v>
                </c:pt>
                <c:pt idx="4">
                  <c:v>49879.45324252468</c:v>
                </c:pt>
                <c:pt idx="5">
                  <c:v>49746.40556035778</c:v>
                </c:pt>
                <c:pt idx="6">
                  <c:v>49461.515947905849</c:v>
                </c:pt>
                <c:pt idx="7">
                  <c:v>48854.306858984237</c:v>
                </c:pt>
                <c:pt idx="8">
                  <c:v>47572.908104571572</c:v>
                </c:pt>
                <c:pt idx="9">
                  <c:v>44925.901402706302</c:v>
                </c:pt>
                <c:pt idx="10">
                  <c:v>39703.170334723647</c:v>
                </c:pt>
                <c:pt idx="11">
                  <c:v>30365.176024098815</c:v>
                </c:pt>
                <c:pt idx="12">
                  <c:v>16848.861251772651</c:v>
                </c:pt>
                <c:pt idx="13">
                  <c:v>4405.6261300736605</c:v>
                </c:pt>
                <c:pt idx="14">
                  <c:v>106.83805604641202</c:v>
                </c:pt>
                <c:pt idx="15">
                  <c:v>1.533727557485733</c:v>
                </c:pt>
                <c:pt idx="16">
                  <c:v>0.16915091420601946</c:v>
                </c:pt>
                <c:pt idx="17">
                  <c:v>3.3699022909648851E-2</c:v>
                </c:pt>
                <c:pt idx="18">
                  <c:v>9.4120950436001119E-3</c:v>
                </c:pt>
                <c:pt idx="19">
                  <c:v>3.3071115493635301E-3</c:v>
                </c:pt>
                <c:pt idx="20">
                  <c:v>1.3765233066008221E-3</c:v>
                </c:pt>
                <c:pt idx="21">
                  <c:v>6.5330912877012328E-4</c:v>
                </c:pt>
                <c:pt idx="22">
                  <c:v>3.4439013247710391E-4</c:v>
                </c:pt>
                <c:pt idx="23">
                  <c:v>1.9782890108866239E-4</c:v>
                </c:pt>
                <c:pt idx="24">
                  <c:v>1.2205831302059297E-4</c:v>
                </c:pt>
                <c:pt idx="25">
                  <c:v>7.9983635658058006E-5</c:v>
                </c:pt>
                <c:pt idx="26">
                  <c:v>5.5169618214659159E-5</c:v>
                </c:pt>
                <c:pt idx="27">
                  <c:v>3.9765443667549046E-5</c:v>
                </c:pt>
                <c:pt idx="28">
                  <c:v>2.9772652882262205E-5</c:v>
                </c:pt>
                <c:pt idx="29">
                  <c:v>2.3039150679389814E-5</c:v>
                </c:pt>
                <c:pt idx="30">
                  <c:v>1.8349586892971786E-5</c:v>
                </c:pt>
                <c:pt idx="31">
                  <c:v>1.4988073984036497E-5</c:v>
                </c:pt>
                <c:pt idx="32">
                  <c:v>1.2516936947150155E-5</c:v>
                </c:pt>
                <c:pt idx="33">
                  <c:v>1.0659596246012301E-5</c:v>
                </c:pt>
                <c:pt idx="34">
                  <c:v>9.2360329692854211E-6</c:v>
                </c:pt>
                <c:pt idx="35">
                  <c:v>8.1259281067421801E-6</c:v>
                </c:pt>
                <c:pt idx="36">
                  <c:v>7.2469177023125442E-6</c:v>
                </c:pt>
                <c:pt idx="37">
                  <c:v>6.5413854381423156E-6</c:v>
                </c:pt>
                <c:pt idx="38">
                  <c:v>5.9682255372654056E-6</c:v>
                </c:pt>
                <c:pt idx="39">
                  <c:v>5.4975801623234272E-6</c:v>
                </c:pt>
                <c:pt idx="40">
                  <c:v>5.1074022786393773E-6</c:v>
                </c:pt>
                <c:pt idx="41">
                  <c:v>4.781164949068862E-6</c:v>
                </c:pt>
                <c:pt idx="42">
                  <c:v>4.5063060363944758E-6</c:v>
                </c:pt>
                <c:pt idx="43">
                  <c:v>4.2731539591015952E-6</c:v>
                </c:pt>
                <c:pt idx="44">
                  <c:v>4.0741738537089266E-6</c:v>
                </c:pt>
                <c:pt idx="45">
                  <c:v>3.9034307455530132E-6</c:v>
                </c:pt>
                <c:pt idx="46">
                  <c:v>3.7562019993638458E-6</c:v>
                </c:pt>
                <c:pt idx="47">
                  <c:v>3.6286939552309718E-6</c:v>
                </c:pt>
                <c:pt idx="48">
                  <c:v>3.5178322650973127E-6</c:v>
                </c:pt>
                <c:pt idx="49">
                  <c:v>3.4211050260880084E-6</c:v>
                </c:pt>
                <c:pt idx="50">
                  <c:v>3.3364441847611189E-6</c:v>
                </c:pt>
                <c:pt idx="51">
                  <c:v>3.2621349914930215E-6</c:v>
                </c:pt>
                <c:pt idx="52">
                  <c:v>3.1967462286264937E-6</c:v>
                </c:pt>
                <c:pt idx="53">
                  <c:v>3.1390759747936635E-6</c:v>
                </c:pt>
                <c:pt idx="54">
                  <c:v>3.0881090960356111E-6</c:v>
                </c:pt>
                <c:pt idx="55">
                  <c:v>3.0429836658612045E-6</c:v>
                </c:pt>
                <c:pt idx="56">
                  <c:v>3.0029642402485002E-6</c:v>
                </c:pt>
                <c:pt idx="57">
                  <c:v>2.9674204366948442E-6</c:v>
                </c:pt>
                <c:pt idx="58">
                  <c:v>2.9358096479640563E-6</c:v>
                </c:pt>
                <c:pt idx="59">
                  <c:v>2.9076630019222322E-6</c:v>
                </c:pt>
                <c:pt idx="60">
                  <c:v>2.8825738871532625E-6</c:v>
                </c:pt>
                <c:pt idx="61">
                  <c:v>2.8601885198192326E-6</c:v>
                </c:pt>
                <c:pt idx="62">
                  <c:v>2.8401981446007234E-6</c:v>
                </c:pt>
                <c:pt idx="63">
                  <c:v>2.8223325516179843E-6</c:v>
                </c:pt>
                <c:pt idx="64">
                  <c:v>2.8063546592811145E-6</c:v>
                </c:pt>
                <c:pt idx="65">
                  <c:v>2.7920559653428012E-6</c:v>
                </c:pt>
                <c:pt idx="66">
                  <c:v>2.7792527089117782E-6</c:v>
                </c:pt>
                <c:pt idx="67">
                  <c:v>2.7677826176933587E-6</c:v>
                </c:pt>
                <c:pt idx="68">
                  <c:v>2.7575021393840211E-6</c:v>
                </c:pt>
                <c:pt idx="69">
                  <c:v>2.7482840755528651E-6</c:v>
                </c:pt>
                <c:pt idx="70">
                  <c:v>2.7400155516930879E-6</c:v>
                </c:pt>
                <c:pt idx="71">
                  <c:v>2.7325962693300534E-6</c:v>
                </c:pt>
                <c:pt idx="72">
                  <c:v>2.7259369958212536E-6</c:v>
                </c:pt>
                <c:pt idx="73">
                  <c:v>2.7199582553079749E-6</c:v>
                </c:pt>
                <c:pt idx="74">
                  <c:v>2.7145891905873167E-6</c:v>
                </c:pt>
                <c:pt idx="75">
                  <c:v>2.7097665707826825E-6</c:v>
                </c:pt>
                <c:pt idx="76">
                  <c:v>2.7054339238470642E-6</c:v>
                </c:pt>
                <c:pt idx="77">
                  <c:v>2.7015407763286589E-6</c:v>
                </c:pt>
                <c:pt idx="78">
                  <c:v>2.6980419856135775E-6</c:v>
                </c:pt>
                <c:pt idx="79">
                  <c:v>2.6948971521546759E-6</c:v>
                </c:pt>
                <c:pt idx="80">
                  <c:v>2.6920701010930549E-6</c:v>
                </c:pt>
                <c:pt idx="81">
                  <c:v>2.6895284242544547E-6</c:v>
                </c:pt>
                <c:pt idx="82">
                  <c:v>2.6872430748163484E-6</c:v>
                </c:pt>
                <c:pt idx="83">
                  <c:v>2.6851880080408696E-6</c:v>
                </c:pt>
                <c:pt idx="84">
                  <c:v>2.6833398623922573E-6</c:v>
                </c:pt>
                <c:pt idx="85">
                  <c:v>2.681677676136266E-6</c:v>
                </c:pt>
                <c:pt idx="86">
                  <c:v>2.6801826351781043E-6</c:v>
                </c:pt>
                <c:pt idx="87">
                  <c:v>2.678837848455296E-6</c:v>
                </c:pt>
                <c:pt idx="88">
                  <c:v>2.6776281476790393E-6</c:v>
                </c:pt>
                <c:pt idx="89">
                  <c:v>2.676539908625752E-6</c:v>
                </c:pt>
                <c:pt idx="90">
                  <c:v>2.6755608915306818E-6</c:v>
                </c:pt>
                <c:pt idx="91">
                  <c:v>2.6746800984369132E-6</c:v>
                </c:pt>
                <c:pt idx="92">
                  <c:v>2.6738876456133805E-6</c:v>
                </c:pt>
                <c:pt idx="93">
                  <c:v>2.673174649380906E-6</c:v>
                </c:pt>
                <c:pt idx="94">
                  <c:v>2.6725331238810144E-6</c:v>
                </c:pt>
                <c:pt idx="95">
                  <c:v>2.6719558894927114E-6</c:v>
                </c:pt>
                <c:pt idx="96">
                  <c:v>2.6714364907511958E-6</c:v>
                </c:pt>
                <c:pt idx="97">
                  <c:v>2.6709691227526429E-6</c:v>
                </c:pt>
                <c:pt idx="98">
                  <c:v>2.6705485651433713E-6</c:v>
                </c:pt>
                <c:pt idx="99">
                  <c:v>2.6701701228920308E-6</c:v>
                </c:pt>
                <c:pt idx="100">
                  <c:v>2.6698295731317944E-6</c:v>
                </c:pt>
                <c:pt idx="101">
                  <c:v>2.6695231174374746E-6</c:v>
                </c:pt>
                <c:pt idx="102">
                  <c:v>2.6692473389713598E-6</c:v>
                </c:pt>
                <c:pt idx="103">
                  <c:v>2.6689991639925174E-6</c:v>
                </c:pt>
                <c:pt idx="104">
                  <c:v>2.6687758272783476E-6</c:v>
                </c:pt>
                <c:pt idx="105">
                  <c:v>2.6685748410551273E-6</c:v>
                </c:pt>
                <c:pt idx="106">
                  <c:v>2.6683939670769097E-6</c:v>
                </c:pt>
                <c:pt idx="107">
                  <c:v>2.6682311915300528E-6</c:v>
                </c:pt>
                <c:pt idx="108">
                  <c:v>2.6680847024744411E-6</c:v>
                </c:pt>
                <c:pt idx="109">
                  <c:v>2.6679528695625613E-6</c:v>
                </c:pt>
                <c:pt idx="110">
                  <c:v>2.6678342258044649E-6</c:v>
                </c:pt>
                <c:pt idx="111">
                  <c:v>2.6677274511706454E-6</c:v>
                </c:pt>
                <c:pt idx="112">
                  <c:v>2.6676313578462941E-6</c:v>
                </c:pt>
                <c:pt idx="113">
                  <c:v>2.667544876969583E-6</c:v>
                </c:pt>
                <c:pt idx="114">
                  <c:v>2.667467046703767E-6</c:v>
                </c:pt>
                <c:pt idx="115">
                  <c:v>2.6673970015082779E-6</c:v>
                </c:pt>
                <c:pt idx="116">
                  <c:v>2.667333962487722E-6</c:v>
                </c:pt>
                <c:pt idx="117">
                  <c:v>2.6672772287100477E-6</c:v>
                </c:pt>
                <c:pt idx="118">
                  <c:v>2.667226169396184E-6</c:v>
                </c:pt>
                <c:pt idx="119">
                  <c:v>2.6671802168933825E-6</c:v>
                </c:pt>
                <c:pt idx="120">
                  <c:v>2.6671388603533845E-6</c:v>
                </c:pt>
                <c:pt idx="121">
                  <c:v>2.6671016400445199E-6</c:v>
                </c:pt>
                <c:pt idx="122">
                  <c:v>2.6670681422340124E-6</c:v>
                </c:pt>
                <c:pt idx="123">
                  <c:v>2.6670379945832017E-6</c:v>
                </c:pt>
                <c:pt idx="124">
                  <c:v>2.6670108620041711E-6</c:v>
                </c:pt>
                <c:pt idx="125">
                  <c:v>2.6669864429314671E-6</c:v>
                </c:pt>
                <c:pt idx="126">
                  <c:v>2.6669644659672538E-6</c:v>
                </c:pt>
                <c:pt idx="127">
                  <c:v>2.6669446868624493E-6</c:v>
                </c:pt>
                <c:pt idx="128">
                  <c:v>2.6669268858001436E-6</c:v>
                </c:pt>
                <c:pt idx="129">
                  <c:v>2.6669108649510023E-6</c:v>
                </c:pt>
                <c:pt idx="130">
                  <c:v>2.6668964462733907E-6</c:v>
                </c:pt>
                <c:pt idx="131">
                  <c:v>2.6668834695336988E-6</c:v>
                </c:pt>
                <c:pt idx="132">
                  <c:v>2.666871790524804E-6</c:v>
                </c:pt>
                <c:pt idx="133">
                  <c:v>2.6668612794628286E-6</c:v>
                </c:pt>
                <c:pt idx="134">
                  <c:v>2.6668518195443352E-6</c:v>
                </c:pt>
                <c:pt idx="135">
                  <c:v>2.6668433056478912E-6</c:v>
                </c:pt>
                <c:pt idx="136">
                  <c:v>2.6668356431655533E-6</c:v>
                </c:pt>
                <c:pt idx="137">
                  <c:v>2.6668287469512632E-6</c:v>
                </c:pt>
                <c:pt idx="138">
                  <c:v>2.6668225403744517E-6</c:v>
                </c:pt>
                <c:pt idx="139">
                  <c:v>2.666816954468321E-6</c:v>
                </c:pt>
                <c:pt idx="140">
                  <c:v>2.6668119271633331E-6</c:v>
                </c:pt>
                <c:pt idx="141">
                  <c:v>2.6668074025973734E-6</c:v>
                </c:pt>
                <c:pt idx="142">
                  <c:v>2.666803330494918E-6</c:v>
                </c:pt>
                <c:pt idx="143">
                  <c:v>2.6667996656083039E-6</c:v>
                </c:pt>
                <c:pt idx="144">
                  <c:v>2.6667963672148839E-6</c:v>
                </c:pt>
                <c:pt idx="145">
                  <c:v>2.6667933986644775E-6</c:v>
                </c:pt>
                <c:pt idx="146">
                  <c:v>2.6667907269720851E-6</c:v>
                </c:pt>
                <c:pt idx="147">
                  <c:v>2.6667883224513409E-6</c:v>
                </c:pt>
                <c:pt idx="148">
                  <c:v>2.6667861583846224E-6</c:v>
                </c:pt>
                <c:pt idx="149">
                  <c:v>2.666784210726156E-6</c:v>
                </c:pt>
                <c:pt idx="150">
                  <c:v>2.6667824578348164E-6</c:v>
                </c:pt>
                <c:pt idx="151">
                  <c:v>2.6667808802336474E-6</c:v>
                </c:pt>
                <c:pt idx="152">
                  <c:v>2.666779460393435E-6</c:v>
                </c:pt>
                <c:pt idx="153">
                  <c:v>2.6667781825379242E-6</c:v>
                </c:pt>
                <c:pt idx="154">
                  <c:v>2.6667770324685157E-6</c:v>
                </c:pt>
                <c:pt idx="155">
                  <c:v>2.6667759974064942E-6</c:v>
                </c:pt>
                <c:pt idx="156">
                  <c:v>2.6667750658510366E-6</c:v>
                </c:pt>
                <c:pt idx="157">
                  <c:v>2.6667742274514171E-6</c:v>
                </c:pt>
                <c:pt idx="158">
                  <c:v>2.6667734728919968E-6</c:v>
                </c:pt>
                <c:pt idx="159">
                  <c:v>2.6667727937887108E-6</c:v>
                </c:pt>
                <c:pt idx="160">
                  <c:v>2.666772182595909E-6</c:v>
                </c:pt>
                <c:pt idx="161">
                  <c:v>2.6667716325225135E-6</c:v>
                </c:pt>
                <c:pt idx="162">
                  <c:v>2.6667711374565595E-6</c:v>
                </c:pt>
                <c:pt idx="163">
                  <c:v>2.6667706918972837E-6</c:v>
                </c:pt>
                <c:pt idx="164">
                  <c:v>2.6667702908940022E-6</c:v>
                </c:pt>
                <c:pt idx="165">
                  <c:v>2.6667699299911032E-6</c:v>
                </c:pt>
                <c:pt idx="166">
                  <c:v>2.6667696051785382E-6</c:v>
                </c:pt>
                <c:pt idx="167">
                  <c:v>2.6667693128472651E-6</c:v>
                </c:pt>
                <c:pt idx="168">
                  <c:v>2.6667690497491484E-6</c:v>
                </c:pt>
                <c:pt idx="169">
                  <c:v>2.6667688129608665E-6</c:v>
                </c:pt>
                <c:pt idx="170">
                  <c:v>2.6667685998514317E-6</c:v>
                </c:pt>
                <c:pt idx="171">
                  <c:v>2.6667684080529559E-6</c:v>
                </c:pt>
                <c:pt idx="172">
                  <c:v>2.66676823543434E-6</c:v>
                </c:pt>
                <c:pt idx="173">
                  <c:v>2.6667680800775957E-6</c:v>
                </c:pt>
                <c:pt idx="174">
                  <c:v>2.6667679402565339E-6</c:v>
                </c:pt>
                <c:pt idx="175">
                  <c:v>2.6667678144175847E-6</c:v>
                </c:pt>
                <c:pt idx="176">
                  <c:v>2.666767701162536E-6</c:v>
                </c:pt>
                <c:pt idx="177">
                  <c:v>2.6667675992329962E-6</c:v>
                </c:pt>
                <c:pt idx="178">
                  <c:v>2.6667675074964143E-6</c:v>
                </c:pt>
                <c:pt idx="179">
                  <c:v>2.666767424933493E-6</c:v>
                </c:pt>
                <c:pt idx="180">
                  <c:v>2.6667673506268662E-6</c:v>
                </c:pt>
                <c:pt idx="181">
                  <c:v>2.6667672837509041E-6</c:v>
                </c:pt>
                <c:pt idx="182">
                  <c:v>2.6667672235625398E-6</c:v>
                </c:pt>
                <c:pt idx="183">
                  <c:v>2.666767169393013E-6</c:v>
                </c:pt>
                <c:pt idx="184">
                  <c:v>2.6667671206404397E-6</c:v>
                </c:pt>
                <c:pt idx="185">
                  <c:v>2.6667670767631246E-6</c:v>
                </c:pt>
                <c:pt idx="186">
                  <c:v>2.6667670372735419E-6</c:v>
                </c:pt>
                <c:pt idx="187">
                  <c:v>2.6667670017329178E-6</c:v>
                </c:pt>
                <c:pt idx="188">
                  <c:v>2.6667669697463567E-6</c:v>
                </c:pt>
                <c:pt idx="189">
                  <c:v>2.666766940958452E-6</c:v>
                </c:pt>
                <c:pt idx="190">
                  <c:v>2.666766915049338E-6</c:v>
                </c:pt>
                <c:pt idx="191">
                  <c:v>2.6667668917311354E-6</c:v>
                </c:pt>
                <c:pt idx="192">
                  <c:v>2.6667668707447536E-6</c:v>
                </c:pt>
                <c:pt idx="193">
                  <c:v>2.6667668518570099E-6</c:v>
                </c:pt>
                <c:pt idx="194">
                  <c:v>2.6667668348580408E-6</c:v>
                </c:pt>
                <c:pt idx="195">
                  <c:v>2.6667668195589685E-6</c:v>
                </c:pt>
                <c:pt idx="196">
                  <c:v>2.6667668057898038E-6</c:v>
                </c:pt>
                <c:pt idx="197">
                  <c:v>2.6667667933975555E-6</c:v>
                </c:pt>
                <c:pt idx="198">
                  <c:v>2.6667667822445321E-6</c:v>
                </c:pt>
                <c:pt idx="199">
                  <c:v>2.6667667722068109E-6</c:v>
                </c:pt>
                <c:pt idx="200">
                  <c:v>2.6667667631728619E-6</c:v>
                </c:pt>
                <c:pt idx="201">
                  <c:v>2.6667667550423078E-6</c:v>
                </c:pt>
                <c:pt idx="202">
                  <c:v>2.6667667477248093E-6</c:v>
                </c:pt>
                <c:pt idx="203">
                  <c:v>2.6667667411390608E-6</c:v>
                </c:pt>
                <c:pt idx="204">
                  <c:v>2.6667667352118872E-6</c:v>
                </c:pt>
                <c:pt idx="205">
                  <c:v>2.6667667298774308E-6</c:v>
                </c:pt>
                <c:pt idx="206">
                  <c:v>2.6667667250764201E-6</c:v>
                </c:pt>
                <c:pt idx="207">
                  <c:v>2.6667667207555102E-6</c:v>
                </c:pt>
                <c:pt idx="208">
                  <c:v>2.6667667168666913E-6</c:v>
                </c:pt>
                <c:pt idx="209">
                  <c:v>2.6667667133667546E-6</c:v>
                </c:pt>
                <c:pt idx="210">
                  <c:v>2.6667667102168114E-6</c:v>
                </c:pt>
                <c:pt idx="211">
                  <c:v>2.6667667073818624E-6</c:v>
                </c:pt>
                <c:pt idx="212">
                  <c:v>2.6667667048304086E-6</c:v>
                </c:pt>
                <c:pt idx="213">
                  <c:v>2.6667667025341002E-6</c:v>
                </c:pt>
                <c:pt idx="214">
                  <c:v>2.6667667004674224E-6</c:v>
                </c:pt>
                <c:pt idx="215">
                  <c:v>2.6667666986074126E-6</c:v>
                </c:pt>
                <c:pt idx="216">
                  <c:v>2.6667666969334035E-6</c:v>
                </c:pt>
                <c:pt idx="217">
                  <c:v>2.6667666954267954E-6</c:v>
                </c:pt>
                <c:pt idx="218">
                  <c:v>2.6667666940708481E-6</c:v>
                </c:pt>
                <c:pt idx="219">
                  <c:v>2.6667666928504955E-6</c:v>
                </c:pt>
                <c:pt idx="220">
                  <c:v>2.6667666917521784E-6</c:v>
                </c:pt>
                <c:pt idx="221">
                  <c:v>2.6667666907636931E-6</c:v>
                </c:pt>
                <c:pt idx="222">
                  <c:v>2.6667666898740561E-6</c:v>
                </c:pt>
                <c:pt idx="223">
                  <c:v>2.6667666890733829E-6</c:v>
                </c:pt>
                <c:pt idx="224">
                  <c:v>2.6667666883527768E-6</c:v>
                </c:pt>
                <c:pt idx="225">
                  <c:v>2.6667666877042317E-6</c:v>
                </c:pt>
                <c:pt idx="226">
                  <c:v>2.6667666871205408E-6</c:v>
                </c:pt>
                <c:pt idx="227">
                  <c:v>2.666766686595219E-6</c:v>
                </c:pt>
                <c:pt idx="228">
                  <c:v>2.6667666861224294E-6</c:v>
                </c:pt>
                <c:pt idx="229">
                  <c:v>2.6667666856969186E-6</c:v>
                </c:pt>
                <c:pt idx="230">
                  <c:v>2.6667666853139589E-6</c:v>
                </c:pt>
                <c:pt idx="231">
                  <c:v>2.6667666849692953E-6</c:v>
                </c:pt>
                <c:pt idx="232">
                  <c:v>2.6667666846590978E-6</c:v>
                </c:pt>
                <c:pt idx="233">
                  <c:v>2.6667666843799204E-6</c:v>
                </c:pt>
                <c:pt idx="234">
                  <c:v>2.6667666841286608E-6</c:v>
                </c:pt>
                <c:pt idx="235">
                  <c:v>2.6667666839025271E-6</c:v>
                </c:pt>
                <c:pt idx="236">
                  <c:v>2.6667666836990067E-6</c:v>
                </c:pt>
                <c:pt idx="237">
                  <c:v>2.6667666835158384E-6</c:v>
                </c:pt>
                <c:pt idx="238">
                  <c:v>2.6667666833509867E-6</c:v>
                </c:pt>
                <c:pt idx="239">
                  <c:v>2.6667666832026204E-6</c:v>
                </c:pt>
                <c:pt idx="240">
                  <c:v>2.6667666830690908E-6</c:v>
                </c:pt>
                <c:pt idx="241">
                  <c:v>2.6667666829489142E-6</c:v>
                </c:pt>
                <c:pt idx="242">
                  <c:v>2.6667666828407552E-6</c:v>
                </c:pt>
                <c:pt idx="243">
                  <c:v>2.6667666827434121E-6</c:v>
                </c:pt>
                <c:pt idx="244">
                  <c:v>2.6667666826558031E-6</c:v>
                </c:pt>
                <c:pt idx="245">
                  <c:v>2.6667666825769549E-6</c:v>
                </c:pt>
                <c:pt idx="246">
                  <c:v>2.6667666825059917E-6</c:v>
                </c:pt>
                <c:pt idx="247">
                  <c:v>2.666766682442125E-6</c:v>
                </c:pt>
                <c:pt idx="248">
                  <c:v>2.6667666823846449E-6</c:v>
                </c:pt>
                <c:pt idx="249">
                  <c:v>2.6667666823329128E-6</c:v>
                </c:pt>
                <c:pt idx="250">
                  <c:v>2.666766682286354E-6</c:v>
                </c:pt>
                <c:pt idx="251">
                  <c:v>2.6667666822444508E-6</c:v>
                </c:pt>
                <c:pt idx="252">
                  <c:v>2.666766682206738E-6</c:v>
                </c:pt>
                <c:pt idx="253">
                  <c:v>2.6667666821727965E-6</c:v>
                </c:pt>
                <c:pt idx="254">
                  <c:v>2.6667666821422491E-6</c:v>
                </c:pt>
                <c:pt idx="255">
                  <c:v>2.6667666821147565E-6</c:v>
                </c:pt>
                <c:pt idx="256">
                  <c:v>2.666766682090013E-6</c:v>
                </c:pt>
                <c:pt idx="257">
                  <c:v>2.6667666820677441E-6</c:v>
                </c:pt>
                <c:pt idx="258">
                  <c:v>2.666766682047702E-6</c:v>
                </c:pt>
                <c:pt idx="259">
                  <c:v>2.666766682029664E-6</c:v>
                </c:pt>
                <c:pt idx="260">
                  <c:v>2.6667666820134298E-6</c:v>
                </c:pt>
                <c:pt idx="261">
                  <c:v>2.6667666819988189E-6</c:v>
                </c:pt>
                <c:pt idx="262">
                  <c:v>2.6667666819856691E-6</c:v>
                </c:pt>
                <c:pt idx="263">
                  <c:v>2.6667666819738344E-6</c:v>
                </c:pt>
                <c:pt idx="264">
                  <c:v>2.6667666819631834E-6</c:v>
                </c:pt>
                <c:pt idx="265">
                  <c:v>2.6667666819535975E-6</c:v>
                </c:pt>
                <c:pt idx="266">
                  <c:v>2.66676668194497E-6</c:v>
                </c:pt>
                <c:pt idx="267">
                  <c:v>2.6667666819372053E-6</c:v>
                </c:pt>
                <c:pt idx="268">
                  <c:v>2.6667666819302169E-6</c:v>
                </c:pt>
                <c:pt idx="269">
                  <c:v>2.6667666819239276E-6</c:v>
                </c:pt>
                <c:pt idx="270">
                  <c:v>2.6667666819182673E-6</c:v>
                </c:pt>
                <c:pt idx="271">
                  <c:v>2.6667666819131729E-6</c:v>
                </c:pt>
                <c:pt idx="272">
                  <c:v>2.6667666819085879E-6</c:v>
                </c:pt>
                <c:pt idx="273">
                  <c:v>2.6667666819044615E-6</c:v>
                </c:pt>
                <c:pt idx="274">
                  <c:v>2.6667666819007477E-6</c:v>
                </c:pt>
                <c:pt idx="275">
                  <c:v>2.6667666818974053E-6</c:v>
                </c:pt>
                <c:pt idx="276">
                  <c:v>2.6667666818943971E-6</c:v>
                </c:pt>
                <c:pt idx="277">
                  <c:v>2.6667666818916896E-6</c:v>
                </c:pt>
                <c:pt idx="278">
                  <c:v>2.6667666818892531E-6</c:v>
                </c:pt>
                <c:pt idx="279">
                  <c:v>2.6667666818870601E-6</c:v>
                </c:pt>
                <c:pt idx="280">
                  <c:v>2.6667666818850865E-6</c:v>
                </c:pt>
                <c:pt idx="281">
                  <c:v>2.6667666818833103E-6</c:v>
                </c:pt>
                <c:pt idx="282">
                  <c:v>2.6667666818817115E-6</c:v>
                </c:pt>
                <c:pt idx="283">
                  <c:v>2.6667666818802728E-6</c:v>
                </c:pt>
                <c:pt idx="284">
                  <c:v>2.6667666818789777E-6</c:v>
                </c:pt>
                <c:pt idx="285">
                  <c:v>2.6667666818778122E-6</c:v>
                </c:pt>
                <c:pt idx="286">
                  <c:v>2.6667666818767631E-6</c:v>
                </c:pt>
                <c:pt idx="287">
                  <c:v>2.6667666818758191E-6</c:v>
                </c:pt>
                <c:pt idx="288">
                  <c:v>2.6667666818749696E-6</c:v>
                </c:pt>
                <c:pt idx="289">
                  <c:v>2.6667666818742051E-6</c:v>
                </c:pt>
                <c:pt idx="290">
                  <c:v>2.6667666818735169E-6</c:v>
                </c:pt>
                <c:pt idx="291">
                  <c:v>2.6667666818728977E-6</c:v>
                </c:pt>
                <c:pt idx="292">
                  <c:v>2.6667666818723404E-6</c:v>
                </c:pt>
                <c:pt idx="293">
                  <c:v>2.6667666818718385E-6</c:v>
                </c:pt>
                <c:pt idx="294">
                  <c:v>2.666766681871387E-6</c:v>
                </c:pt>
                <c:pt idx="295">
                  <c:v>2.6667666818709804E-6</c:v>
                </c:pt>
                <c:pt idx="296">
                  <c:v>2.6667666818706145E-6</c:v>
                </c:pt>
                <c:pt idx="297">
                  <c:v>2.6667666818702855E-6</c:v>
                </c:pt>
                <c:pt idx="298">
                  <c:v>2.6667666818699894E-6</c:v>
                </c:pt>
                <c:pt idx="299">
                  <c:v>2.6667666818697226E-6</c:v>
                </c:pt>
                <c:pt idx="300">
                  <c:v>2.6667666818694825E-6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Epidemic!$C$1</c:f>
              <c:strCache>
                <c:ptCount val="1"/>
                <c:pt idx="0">
                  <c:v>infected</c:v>
                </c:pt>
              </c:strCache>
            </c:strRef>
          </c:tx>
          <c:marker>
            <c:symbol val="none"/>
          </c:marker>
          <c:dLbls>
            <c:dLbl>
              <c:idx val="15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Epidemic!$A$2:$A$302</c:f>
              <c:numCache>
                <c:formatCode>General</c:formatCode>
                <c:ptCount val="30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  <c:pt idx="121">
                  <c:v>605</c:v>
                </c:pt>
                <c:pt idx="122">
                  <c:v>610</c:v>
                </c:pt>
                <c:pt idx="123">
                  <c:v>615</c:v>
                </c:pt>
                <c:pt idx="124">
                  <c:v>620</c:v>
                </c:pt>
                <c:pt idx="125">
                  <c:v>625</c:v>
                </c:pt>
                <c:pt idx="126">
                  <c:v>630</c:v>
                </c:pt>
                <c:pt idx="127">
                  <c:v>635</c:v>
                </c:pt>
                <c:pt idx="128">
                  <c:v>640</c:v>
                </c:pt>
                <c:pt idx="129">
                  <c:v>645</c:v>
                </c:pt>
                <c:pt idx="130">
                  <c:v>650</c:v>
                </c:pt>
                <c:pt idx="131">
                  <c:v>655</c:v>
                </c:pt>
                <c:pt idx="132">
                  <c:v>660</c:v>
                </c:pt>
                <c:pt idx="133">
                  <c:v>665</c:v>
                </c:pt>
                <c:pt idx="134">
                  <c:v>670</c:v>
                </c:pt>
                <c:pt idx="135">
                  <c:v>675</c:v>
                </c:pt>
                <c:pt idx="136">
                  <c:v>680</c:v>
                </c:pt>
                <c:pt idx="137">
                  <c:v>685</c:v>
                </c:pt>
                <c:pt idx="138">
                  <c:v>690</c:v>
                </c:pt>
                <c:pt idx="139">
                  <c:v>695</c:v>
                </c:pt>
                <c:pt idx="140">
                  <c:v>700</c:v>
                </c:pt>
                <c:pt idx="141">
                  <c:v>705</c:v>
                </c:pt>
                <c:pt idx="142">
                  <c:v>710</c:v>
                </c:pt>
                <c:pt idx="143">
                  <c:v>715</c:v>
                </c:pt>
                <c:pt idx="144">
                  <c:v>720</c:v>
                </c:pt>
                <c:pt idx="145">
                  <c:v>725</c:v>
                </c:pt>
                <c:pt idx="146">
                  <c:v>730</c:v>
                </c:pt>
                <c:pt idx="147">
                  <c:v>735</c:v>
                </c:pt>
                <c:pt idx="148">
                  <c:v>740</c:v>
                </c:pt>
                <c:pt idx="149">
                  <c:v>745</c:v>
                </c:pt>
                <c:pt idx="150">
                  <c:v>750</c:v>
                </c:pt>
                <c:pt idx="151">
                  <c:v>755</c:v>
                </c:pt>
                <c:pt idx="152">
                  <c:v>760</c:v>
                </c:pt>
                <c:pt idx="153">
                  <c:v>765</c:v>
                </c:pt>
                <c:pt idx="154">
                  <c:v>770</c:v>
                </c:pt>
                <c:pt idx="155">
                  <c:v>775</c:v>
                </c:pt>
                <c:pt idx="156">
                  <c:v>780</c:v>
                </c:pt>
                <c:pt idx="157">
                  <c:v>785</c:v>
                </c:pt>
                <c:pt idx="158">
                  <c:v>790</c:v>
                </c:pt>
                <c:pt idx="159">
                  <c:v>795</c:v>
                </c:pt>
                <c:pt idx="160">
                  <c:v>800</c:v>
                </c:pt>
                <c:pt idx="161">
                  <c:v>805</c:v>
                </c:pt>
                <c:pt idx="162">
                  <c:v>810</c:v>
                </c:pt>
                <c:pt idx="163">
                  <c:v>815</c:v>
                </c:pt>
                <c:pt idx="164">
                  <c:v>820</c:v>
                </c:pt>
                <c:pt idx="165">
                  <c:v>825</c:v>
                </c:pt>
                <c:pt idx="166">
                  <c:v>830</c:v>
                </c:pt>
                <c:pt idx="167">
                  <c:v>835</c:v>
                </c:pt>
                <c:pt idx="168">
                  <c:v>840</c:v>
                </c:pt>
                <c:pt idx="169">
                  <c:v>845</c:v>
                </c:pt>
                <c:pt idx="170">
                  <c:v>850</c:v>
                </c:pt>
                <c:pt idx="171">
                  <c:v>855</c:v>
                </c:pt>
                <c:pt idx="172">
                  <c:v>860</c:v>
                </c:pt>
                <c:pt idx="173">
                  <c:v>865</c:v>
                </c:pt>
                <c:pt idx="174">
                  <c:v>870</c:v>
                </c:pt>
                <c:pt idx="175">
                  <c:v>875</c:v>
                </c:pt>
                <c:pt idx="176">
                  <c:v>880</c:v>
                </c:pt>
                <c:pt idx="177">
                  <c:v>885</c:v>
                </c:pt>
                <c:pt idx="178">
                  <c:v>890</c:v>
                </c:pt>
                <c:pt idx="179">
                  <c:v>895</c:v>
                </c:pt>
                <c:pt idx="180">
                  <c:v>900</c:v>
                </c:pt>
                <c:pt idx="181">
                  <c:v>905</c:v>
                </c:pt>
                <c:pt idx="182">
                  <c:v>910</c:v>
                </c:pt>
                <c:pt idx="183">
                  <c:v>915</c:v>
                </c:pt>
                <c:pt idx="184">
                  <c:v>920</c:v>
                </c:pt>
                <c:pt idx="185">
                  <c:v>925</c:v>
                </c:pt>
                <c:pt idx="186">
                  <c:v>930</c:v>
                </c:pt>
                <c:pt idx="187">
                  <c:v>935</c:v>
                </c:pt>
                <c:pt idx="188">
                  <c:v>940</c:v>
                </c:pt>
                <c:pt idx="189">
                  <c:v>945</c:v>
                </c:pt>
                <c:pt idx="190">
                  <c:v>950</c:v>
                </c:pt>
                <c:pt idx="191">
                  <c:v>955</c:v>
                </c:pt>
                <c:pt idx="192">
                  <c:v>960</c:v>
                </c:pt>
                <c:pt idx="193">
                  <c:v>965</c:v>
                </c:pt>
                <c:pt idx="194">
                  <c:v>970</c:v>
                </c:pt>
                <c:pt idx="195">
                  <c:v>975</c:v>
                </c:pt>
                <c:pt idx="196">
                  <c:v>980</c:v>
                </c:pt>
                <c:pt idx="197">
                  <c:v>985</c:v>
                </c:pt>
                <c:pt idx="198">
                  <c:v>990</c:v>
                </c:pt>
                <c:pt idx="199">
                  <c:v>995</c:v>
                </c:pt>
                <c:pt idx="200">
                  <c:v>1000</c:v>
                </c:pt>
                <c:pt idx="201">
                  <c:v>1005</c:v>
                </c:pt>
                <c:pt idx="202">
                  <c:v>1010</c:v>
                </c:pt>
                <c:pt idx="203">
                  <c:v>1015</c:v>
                </c:pt>
                <c:pt idx="204">
                  <c:v>1020</c:v>
                </c:pt>
                <c:pt idx="205">
                  <c:v>1025</c:v>
                </c:pt>
                <c:pt idx="206">
                  <c:v>1030</c:v>
                </c:pt>
                <c:pt idx="207">
                  <c:v>1035</c:v>
                </c:pt>
                <c:pt idx="208">
                  <c:v>1040</c:v>
                </c:pt>
                <c:pt idx="209">
                  <c:v>1045</c:v>
                </c:pt>
                <c:pt idx="210">
                  <c:v>1050</c:v>
                </c:pt>
                <c:pt idx="211">
                  <c:v>1055</c:v>
                </c:pt>
                <c:pt idx="212">
                  <c:v>1060</c:v>
                </c:pt>
                <c:pt idx="213">
                  <c:v>1065</c:v>
                </c:pt>
                <c:pt idx="214">
                  <c:v>1070</c:v>
                </c:pt>
                <c:pt idx="215">
                  <c:v>1075</c:v>
                </c:pt>
                <c:pt idx="216">
                  <c:v>1080</c:v>
                </c:pt>
                <c:pt idx="217">
                  <c:v>1085</c:v>
                </c:pt>
                <c:pt idx="218">
                  <c:v>1090</c:v>
                </c:pt>
                <c:pt idx="219">
                  <c:v>1095</c:v>
                </c:pt>
                <c:pt idx="220">
                  <c:v>1100</c:v>
                </c:pt>
                <c:pt idx="221">
                  <c:v>1105</c:v>
                </c:pt>
                <c:pt idx="222">
                  <c:v>1110</c:v>
                </c:pt>
                <c:pt idx="223">
                  <c:v>1115</c:v>
                </c:pt>
                <c:pt idx="224">
                  <c:v>1120</c:v>
                </c:pt>
                <c:pt idx="225">
                  <c:v>1125</c:v>
                </c:pt>
                <c:pt idx="226">
                  <c:v>1130</c:v>
                </c:pt>
                <c:pt idx="227">
                  <c:v>1135</c:v>
                </c:pt>
                <c:pt idx="228">
                  <c:v>1140</c:v>
                </c:pt>
                <c:pt idx="229">
                  <c:v>1145</c:v>
                </c:pt>
                <c:pt idx="230">
                  <c:v>1150</c:v>
                </c:pt>
                <c:pt idx="231">
                  <c:v>1155</c:v>
                </c:pt>
                <c:pt idx="232">
                  <c:v>1160</c:v>
                </c:pt>
                <c:pt idx="233">
                  <c:v>1165</c:v>
                </c:pt>
                <c:pt idx="234">
                  <c:v>1170</c:v>
                </c:pt>
                <c:pt idx="235">
                  <c:v>1175</c:v>
                </c:pt>
                <c:pt idx="236">
                  <c:v>1180</c:v>
                </c:pt>
                <c:pt idx="237">
                  <c:v>1185</c:v>
                </c:pt>
                <c:pt idx="238">
                  <c:v>1190</c:v>
                </c:pt>
                <c:pt idx="239">
                  <c:v>1195</c:v>
                </c:pt>
                <c:pt idx="240">
                  <c:v>1200</c:v>
                </c:pt>
                <c:pt idx="241">
                  <c:v>1205</c:v>
                </c:pt>
                <c:pt idx="242">
                  <c:v>1210</c:v>
                </c:pt>
                <c:pt idx="243">
                  <c:v>1215</c:v>
                </c:pt>
                <c:pt idx="244">
                  <c:v>1220</c:v>
                </c:pt>
                <c:pt idx="245">
                  <c:v>1225</c:v>
                </c:pt>
                <c:pt idx="246">
                  <c:v>1230</c:v>
                </c:pt>
                <c:pt idx="247">
                  <c:v>1235</c:v>
                </c:pt>
                <c:pt idx="248">
                  <c:v>1240</c:v>
                </c:pt>
                <c:pt idx="249">
                  <c:v>1245</c:v>
                </c:pt>
                <c:pt idx="250">
                  <c:v>1250</c:v>
                </c:pt>
                <c:pt idx="251">
                  <c:v>1255</c:v>
                </c:pt>
                <c:pt idx="252">
                  <c:v>1260</c:v>
                </c:pt>
                <c:pt idx="253">
                  <c:v>1265</c:v>
                </c:pt>
                <c:pt idx="254">
                  <c:v>1270</c:v>
                </c:pt>
                <c:pt idx="255">
                  <c:v>1275</c:v>
                </c:pt>
                <c:pt idx="256">
                  <c:v>1280</c:v>
                </c:pt>
                <c:pt idx="257">
                  <c:v>1285</c:v>
                </c:pt>
                <c:pt idx="258">
                  <c:v>1290</c:v>
                </c:pt>
                <c:pt idx="259">
                  <c:v>1295</c:v>
                </c:pt>
                <c:pt idx="260">
                  <c:v>1300</c:v>
                </c:pt>
                <c:pt idx="261">
                  <c:v>1305</c:v>
                </c:pt>
                <c:pt idx="262">
                  <c:v>1310</c:v>
                </c:pt>
                <c:pt idx="263">
                  <c:v>1315</c:v>
                </c:pt>
                <c:pt idx="264">
                  <c:v>1320</c:v>
                </c:pt>
                <c:pt idx="265">
                  <c:v>1325</c:v>
                </c:pt>
                <c:pt idx="266">
                  <c:v>1330</c:v>
                </c:pt>
                <c:pt idx="267">
                  <c:v>1335</c:v>
                </c:pt>
                <c:pt idx="268">
                  <c:v>1340</c:v>
                </c:pt>
                <c:pt idx="269">
                  <c:v>1345</c:v>
                </c:pt>
                <c:pt idx="270">
                  <c:v>1350</c:v>
                </c:pt>
                <c:pt idx="271">
                  <c:v>1355</c:v>
                </c:pt>
                <c:pt idx="272">
                  <c:v>1360</c:v>
                </c:pt>
                <c:pt idx="273">
                  <c:v>1365</c:v>
                </c:pt>
                <c:pt idx="274">
                  <c:v>1370</c:v>
                </c:pt>
                <c:pt idx="275">
                  <c:v>1375</c:v>
                </c:pt>
                <c:pt idx="276">
                  <c:v>1380</c:v>
                </c:pt>
                <c:pt idx="277">
                  <c:v>1385</c:v>
                </c:pt>
                <c:pt idx="278">
                  <c:v>1390</c:v>
                </c:pt>
                <c:pt idx="279">
                  <c:v>1395</c:v>
                </c:pt>
                <c:pt idx="280">
                  <c:v>1400</c:v>
                </c:pt>
                <c:pt idx="281">
                  <c:v>1405</c:v>
                </c:pt>
                <c:pt idx="282">
                  <c:v>1410</c:v>
                </c:pt>
                <c:pt idx="283">
                  <c:v>1415</c:v>
                </c:pt>
                <c:pt idx="284">
                  <c:v>1420</c:v>
                </c:pt>
                <c:pt idx="285">
                  <c:v>1425</c:v>
                </c:pt>
                <c:pt idx="286">
                  <c:v>1430</c:v>
                </c:pt>
                <c:pt idx="287">
                  <c:v>1435</c:v>
                </c:pt>
                <c:pt idx="288">
                  <c:v>1440</c:v>
                </c:pt>
                <c:pt idx="289">
                  <c:v>1445</c:v>
                </c:pt>
                <c:pt idx="290">
                  <c:v>1450</c:v>
                </c:pt>
                <c:pt idx="291">
                  <c:v>1455</c:v>
                </c:pt>
                <c:pt idx="292">
                  <c:v>1460</c:v>
                </c:pt>
                <c:pt idx="293">
                  <c:v>1465</c:v>
                </c:pt>
                <c:pt idx="294">
                  <c:v>1470</c:v>
                </c:pt>
                <c:pt idx="295">
                  <c:v>1475</c:v>
                </c:pt>
                <c:pt idx="296">
                  <c:v>1480</c:v>
                </c:pt>
                <c:pt idx="297">
                  <c:v>1485</c:v>
                </c:pt>
                <c:pt idx="298">
                  <c:v>1490</c:v>
                </c:pt>
                <c:pt idx="299">
                  <c:v>1495</c:v>
                </c:pt>
                <c:pt idx="300">
                  <c:v>1500</c:v>
                </c:pt>
              </c:numCache>
            </c:numRef>
          </c:xVal>
          <c:yVal>
            <c:numRef>
              <c:f>Epidemic!$C$2:$C$302</c:f>
              <c:numCache>
                <c:formatCode>0.00</c:formatCode>
                <c:ptCount val="301"/>
                <c:pt idx="0" formatCode="General">
                  <c:v>5</c:v>
                </c:pt>
                <c:pt idx="1">
                  <c:v>10.748750000000001</c:v>
                </c:pt>
                <c:pt idx="2">
                  <c:v>23.105446156210942</c:v>
                </c:pt>
                <c:pt idx="3">
                  <c:v>49.659564809294181</c:v>
                </c:pt>
                <c:pt idx="4">
                  <c:v>106.6953813787748</c:v>
                </c:pt>
                <c:pt idx="5">
                  <c:v>229.07352540779573</c:v>
                </c:pt>
                <c:pt idx="6">
                  <c:v>491.05578531894434</c:v>
                </c:pt>
                <c:pt idx="7">
                  <c:v>1049.15929570866</c:v>
                </c:pt>
                <c:pt idx="8">
                  <c:v>2225.6421205504607</c:v>
                </c:pt>
                <c:pt idx="9">
                  <c:v>4650.0846103606864</c:v>
                </c:pt>
                <c:pt idx="10">
                  <c:v>9407.8072173072724</c:v>
                </c:pt>
                <c:pt idx="11">
                  <c:v>17805.020806201377</c:v>
                </c:pt>
                <c:pt idx="12">
                  <c:v>29540.833497907406</c:v>
                </c:pt>
                <c:pt idx="13">
                  <c:v>39029.985269815654</c:v>
                </c:pt>
                <c:pt idx="14">
                  <c:v>39425.77481686134</c:v>
                </c:pt>
                <c:pt idx="15">
                  <c:v>35588.50166366413</c:v>
                </c:pt>
                <c:pt idx="16">
                  <c:v>32031.016073940998</c:v>
                </c:pt>
                <c:pt idx="17">
                  <c:v>28828.049918438195</c:v>
                </c:pt>
                <c:pt idx="18">
                  <c:v>25945.269213522242</c:v>
                </c:pt>
                <c:pt idx="19">
                  <c:v>23350.748397153511</c:v>
                </c:pt>
                <c:pt idx="20">
                  <c:v>21015.675488026402</c:v>
                </c:pt>
                <c:pt idx="21">
                  <c:v>18914.108662437939</c:v>
                </c:pt>
                <c:pt idx="22">
                  <c:v>17022.698105113141</c:v>
                </c:pt>
                <c:pt idx="23">
                  <c:v>15320.428441163058</c:v>
                </c:pt>
                <c:pt idx="24">
                  <c:v>13788.38567281734</c:v>
                </c:pt>
                <c:pt idx="25">
                  <c:v>12409.547147610283</c:v>
                </c:pt>
                <c:pt idx="26">
                  <c:v>11168.592457663271</c:v>
                </c:pt>
                <c:pt idx="27">
                  <c:v>10051.73322730112</c:v>
                </c:pt>
                <c:pt idx="28">
                  <c:v>9046.5599145637989</c:v>
                </c:pt>
                <c:pt idx="29">
                  <c:v>8141.9039298409207</c:v>
                </c:pt>
                <c:pt idx="30">
                  <c:v>7327.7135415463927</c:v>
                </c:pt>
                <c:pt idx="31">
                  <c:v>6594.942190753266</c:v>
                </c:pt>
                <c:pt idx="32">
                  <c:v>5935.4479741490759</c:v>
                </c:pt>
                <c:pt idx="33">
                  <c:v>5341.9031785915085</c:v>
                </c:pt>
                <c:pt idx="34">
                  <c:v>4807.7128621559204</c:v>
                </c:pt>
                <c:pt idx="35">
                  <c:v>4326.9415770504329</c:v>
                </c:pt>
                <c:pt idx="36">
                  <c:v>3894.2474202244002</c:v>
                </c:pt>
                <c:pt idx="37">
                  <c:v>3504.8226789074924</c:v>
                </c:pt>
                <c:pt idx="38">
                  <c:v>3154.3404115899029</c:v>
                </c:pt>
                <c:pt idx="39">
                  <c:v>2838.9063709015581</c:v>
                </c:pt>
                <c:pt idx="40">
                  <c:v>2555.01573420158</c:v>
                </c:pt>
                <c:pt idx="41">
                  <c:v>2299.5141611076592</c:v>
                </c:pt>
                <c:pt idx="42">
                  <c:v>2069.5627452717522</c:v>
                </c:pt>
                <c:pt idx="43">
                  <c:v>1862.606470977729</c:v>
                </c:pt>
                <c:pt idx="44">
                  <c:v>1676.3458240789362</c:v>
                </c:pt>
                <c:pt idx="45">
                  <c:v>1508.7112418417857</c:v>
                </c:pt>
                <c:pt idx="46">
                  <c:v>1357.8401178048359</c:v>
                </c:pt>
                <c:pt idx="47">
                  <c:v>1222.0561061518604</c:v>
                </c:pt>
                <c:pt idx="48">
                  <c:v>1099.850495647536</c:v>
                </c:pt>
                <c:pt idx="49">
                  <c:v>989.86544617950972</c:v>
                </c:pt>
                <c:pt idx="50">
                  <c:v>890.87890164621956</c:v>
                </c:pt>
                <c:pt idx="51">
                  <c:v>801.79101155590683</c:v>
                </c:pt>
                <c:pt idx="52">
                  <c:v>721.61191046570491</c:v>
                </c:pt>
                <c:pt idx="53">
                  <c:v>649.45071947680469</c:v>
                </c:pt>
                <c:pt idx="54">
                  <c:v>584.50564758009114</c:v>
                </c:pt>
                <c:pt idx="55">
                  <c:v>526.05508286720749</c:v>
                </c:pt>
                <c:pt idx="56">
                  <c:v>473.44957462050616</c:v>
                </c:pt>
                <c:pt idx="57">
                  <c:v>426.10461719399933</c:v>
                </c:pt>
                <c:pt idx="58">
                  <c:v>383.49415550621018</c:v>
                </c:pt>
                <c:pt idx="59">
                  <c:v>345.1447399837358</c:v>
                </c:pt>
                <c:pt idx="60">
                  <c:v>310.63026601045135</c:v>
                </c:pt>
                <c:pt idx="61">
                  <c:v>279.56723943179156</c:v>
                </c:pt>
                <c:pt idx="62">
                  <c:v>251.61051550860279</c:v>
                </c:pt>
                <c:pt idx="63">
                  <c:v>226.4494639756081</c:v>
                </c:pt>
                <c:pt idx="64">
                  <c:v>203.80451759402519</c:v>
                </c:pt>
                <c:pt idx="65">
                  <c:v>183.42406584892137</c:v>
                </c:pt>
                <c:pt idx="66">
                  <c:v>165.08165927683248</c:v>
                </c:pt>
                <c:pt idx="67">
                  <c:v>148.57349336061932</c:v>
                </c:pt>
                <c:pt idx="68">
                  <c:v>133.71614403483787</c:v>
                </c:pt>
                <c:pt idx="69">
                  <c:v>120.34452964057215</c:v>
                </c:pt>
                <c:pt idx="70">
                  <c:v>108.31007668478345</c:v>
                </c:pt>
                <c:pt idx="71">
                  <c:v>97.479069023724392</c:v>
                </c:pt>
                <c:pt idx="72">
                  <c:v>87.731162128011221</c:v>
                </c:pt>
                <c:pt idx="73">
                  <c:v>78.958045921188841</c:v>
                </c:pt>
                <c:pt idx="74">
                  <c:v>71.062241334439022</c:v>
                </c:pt>
                <c:pt idx="75">
                  <c:v>63.956017205817737</c:v>
                </c:pt>
                <c:pt idx="76">
                  <c:v>57.560415489568612</c:v>
                </c:pt>
                <c:pt idx="77">
                  <c:v>51.804373944504896</c:v>
                </c:pt>
                <c:pt idx="78">
                  <c:v>46.623936553553193</c:v>
                </c:pt>
                <c:pt idx="79">
                  <c:v>41.96154290134271</c:v>
                </c:pt>
                <c:pt idx="80">
                  <c:v>37.765388614035487</c:v>
                </c:pt>
                <c:pt idx="81">
                  <c:v>33.988849755173618</c:v>
                </c:pt>
                <c:pt idx="82">
                  <c:v>30.589964781941607</c:v>
                </c:pt>
                <c:pt idx="83">
                  <c:v>27.530968305802514</c:v>
                </c:pt>
                <c:pt idx="84">
                  <c:v>24.777871477070406</c:v>
                </c:pt>
                <c:pt idx="85">
                  <c:v>22.300084331025552</c:v>
                </c:pt>
                <c:pt idx="86">
                  <c:v>20.070075899418036</c:v>
                </c:pt>
                <c:pt idx="87">
                  <c:v>18.06306831082102</c:v>
                </c:pt>
                <c:pt idx="88">
                  <c:v>16.256761480948619</c:v>
                </c:pt>
                <c:pt idx="89">
                  <c:v>14.631085333941996</c:v>
                </c:pt>
                <c:pt idx="90">
                  <c:v>13.167976801526814</c:v>
                </c:pt>
                <c:pt idx="91">
                  <c:v>11.851179122254926</c:v>
                </c:pt>
                <c:pt idx="92">
                  <c:v>10.666061210821887</c:v>
                </c:pt>
                <c:pt idx="93">
                  <c:v>9.599455090452695</c:v>
                </c:pt>
                <c:pt idx="94">
                  <c:v>8.6395095820489516</c:v>
                </c:pt>
                <c:pt idx="95">
                  <c:v>7.7755586244212909</c:v>
                </c:pt>
                <c:pt idx="96">
                  <c:v>6.9980027624985599</c:v>
                </c:pt>
                <c:pt idx="97">
                  <c:v>6.2982024867160717</c:v>
                </c:pt>
                <c:pt idx="98">
                  <c:v>5.6683822384650222</c:v>
                </c:pt>
                <c:pt idx="99">
                  <c:v>5.1015440149969624</c:v>
                </c:pt>
                <c:pt idx="100">
                  <c:v>4.5913896138378156</c:v>
                </c:pt>
                <c:pt idx="101">
                  <c:v>4.1322506527604901</c:v>
                </c:pt>
                <c:pt idx="102">
                  <c:v>3.7190255877602194</c:v>
                </c:pt>
                <c:pt idx="103">
                  <c:v>3.3471230292323724</c:v>
                </c:pt>
                <c:pt idx="104">
                  <c:v>3.012410726532472</c:v>
                </c:pt>
                <c:pt idx="105">
                  <c:v>2.7111696540802108</c:v>
                </c:pt>
                <c:pt idx="106">
                  <c:v>2.4400526888530636</c:v>
                </c:pt>
                <c:pt idx="107">
                  <c:v>2.1960474201305327</c:v>
                </c:pt>
                <c:pt idx="108">
                  <c:v>1.9764426782639686</c:v>
                </c:pt>
                <c:pt idx="109">
                  <c:v>1.7787984105694046</c:v>
                </c:pt>
                <c:pt idx="110">
                  <c:v>1.6009185696311079</c:v>
                </c:pt>
                <c:pt idx="111">
                  <c:v>1.4408267127747718</c:v>
                </c:pt>
                <c:pt idx="112">
                  <c:v>1.296744041593388</c:v>
                </c:pt>
                <c:pt idx="113">
                  <c:v>1.1670696375205301</c:v>
                </c:pt>
                <c:pt idx="114">
                  <c:v>1.0503626738463072</c:v>
                </c:pt>
                <c:pt idx="115">
                  <c:v>0.94532640653172173</c:v>
                </c:pt>
                <c:pt idx="116">
                  <c:v>0.85079376594158851</c:v>
                </c:pt>
                <c:pt idx="117">
                  <c:v>0.76571438940416348</c:v>
                </c:pt>
                <c:pt idx="118">
                  <c:v>0.68914295051480645</c:v>
                </c:pt>
                <c:pt idx="119">
                  <c:v>0.6202286555092783</c:v>
                </c:pt>
                <c:pt idx="120">
                  <c:v>0.55820578999970705</c:v>
                </c:pt>
                <c:pt idx="121">
                  <c:v>0.50238521103695666</c:v>
                </c:pt>
                <c:pt idx="122">
                  <c:v>0.45214668996675883</c:v>
                </c:pt>
                <c:pt idx="123">
                  <c:v>0.40693202100023057</c:v>
                </c:pt>
                <c:pt idx="124">
                  <c:v>0.36623881892734012</c:v>
                </c:pt>
                <c:pt idx="125">
                  <c:v>0.32961493705902517</c:v>
                </c:pt>
                <c:pt idx="126">
                  <c:v>0.29665344337509963</c:v>
                </c:pt>
                <c:pt idx="127">
                  <c:v>0.26698809905736876</c:v>
                </c:pt>
                <c:pt idx="128">
                  <c:v>0.24028928916943293</c:v>
                </c:pt>
                <c:pt idx="129">
                  <c:v>0.21626036026851048</c:v>
                </c:pt>
                <c:pt idx="130">
                  <c:v>0.1946343242560781</c:v>
                </c:pt>
                <c:pt idx="131">
                  <c:v>0.17517089184344703</c:v>
                </c:pt>
                <c:pt idx="132">
                  <c:v>0.15765380267078133</c:v>
                </c:pt>
                <c:pt idx="133">
                  <c:v>0.14188842241421426</c:v>
                </c:pt>
                <c:pt idx="134">
                  <c:v>0.12769958018225275</c:v>
                </c:pt>
                <c:pt idx="135">
                  <c:v>0.11492962217254137</c:v>
                </c:pt>
                <c:pt idx="136">
                  <c:v>0.10343665996294971</c:v>
                </c:pt>
                <c:pt idx="137">
                  <c:v>9.3092993973550947E-2</c:v>
                </c:pt>
                <c:pt idx="138">
                  <c:v>8.3783694582402424E-2</c:v>
                </c:pt>
                <c:pt idx="139">
                  <c:v>7.5405325129748083E-2</c:v>
                </c:pt>
                <c:pt idx="140">
                  <c:v>6.7864792621800576E-2</c:v>
                </c:pt>
                <c:pt idx="141">
                  <c:v>6.1078313364145084E-2</c:v>
                </c:pt>
                <c:pt idx="142">
                  <c:v>5.497048203180268E-2</c:v>
                </c:pt>
                <c:pt idx="143">
                  <c:v>4.9473433832287299E-2</c:v>
                </c:pt>
                <c:pt idx="144">
                  <c:v>4.4526090452356962E-2</c:v>
                </c:pt>
                <c:pt idx="145">
                  <c:v>4.0073481410089817E-2</c:v>
                </c:pt>
                <c:pt idx="146">
                  <c:v>3.606613327175253E-2</c:v>
                </c:pt>
                <c:pt idx="147">
                  <c:v>3.2459519946981798E-2</c:v>
                </c:pt>
                <c:pt idx="148">
                  <c:v>2.9213567954447683E-2</c:v>
                </c:pt>
                <c:pt idx="149">
                  <c:v>2.6292211160950575E-2</c:v>
                </c:pt>
                <c:pt idx="150">
                  <c:v>2.366299004660841E-2</c:v>
                </c:pt>
                <c:pt idx="151">
                  <c:v>2.1296691043525169E-2</c:v>
                </c:pt>
                <c:pt idx="152">
                  <c:v>1.9167021940592492E-2</c:v>
                </c:pt>
                <c:pt idx="153">
                  <c:v>1.7250319747811098E-2</c:v>
                </c:pt>
                <c:pt idx="154">
                  <c:v>1.5525287774180057E-2</c:v>
                </c:pt>
                <c:pt idx="155">
                  <c:v>1.3972758997797114E-2</c:v>
                </c:pt>
                <c:pt idx="156">
                  <c:v>1.2575483098948959E-2</c:v>
                </c:pt>
                <c:pt idx="157">
                  <c:v>1.1317934789892462E-2</c:v>
                </c:pt>
                <c:pt idx="158">
                  <c:v>1.0186141311657775E-2</c:v>
                </c:pt>
                <c:pt idx="159">
                  <c:v>9.1675271811711007E-3</c:v>
                </c:pt>
                <c:pt idx="160">
                  <c:v>8.2507744636651833E-3</c:v>
                </c:pt>
                <c:pt idx="161">
                  <c:v>7.4256970178487383E-3</c:v>
                </c:pt>
                <c:pt idx="162">
                  <c:v>6.6831273165589306E-3</c:v>
                </c:pt>
                <c:pt idx="163">
                  <c:v>6.0148145853485971E-3</c:v>
                </c:pt>
                <c:pt idx="164">
                  <c:v>5.4133331272147407E-3</c:v>
                </c:pt>
                <c:pt idx="165">
                  <c:v>4.8719998148541695E-3</c:v>
                </c:pt>
                <c:pt idx="166">
                  <c:v>4.3847998336935647E-3</c:v>
                </c:pt>
                <c:pt idx="167">
                  <c:v>3.9463198506165392E-3</c:v>
                </c:pt>
                <c:pt idx="168">
                  <c:v>3.5516878658179833E-3</c:v>
                </c:pt>
                <c:pt idx="169">
                  <c:v>3.196519079472973E-3</c:v>
                </c:pt>
                <c:pt idx="170">
                  <c:v>2.8768671717387851E-3</c:v>
                </c:pt>
                <c:pt idx="171">
                  <c:v>2.5891804547567049E-3</c:v>
                </c:pt>
                <c:pt idx="172">
                  <c:v>2.3302624094536529E-3</c:v>
                </c:pt>
                <c:pt idx="173">
                  <c:v>2.0972361686636444E-3</c:v>
                </c:pt>
                <c:pt idx="174">
                  <c:v>1.8875125519371011E-3</c:v>
                </c:pt>
                <c:pt idx="175">
                  <c:v>1.69876129686923E-3</c:v>
                </c:pt>
                <c:pt idx="176">
                  <c:v>1.528885167295562E-3</c:v>
                </c:pt>
                <c:pt idx="177">
                  <c:v>1.3759966506679353E-3</c:v>
                </c:pt>
                <c:pt idx="178">
                  <c:v>1.2383969856928783E-3</c:v>
                </c:pt>
                <c:pt idx="179">
                  <c:v>1.1145572872061534E-3</c:v>
                </c:pt>
                <c:pt idx="180">
                  <c:v>1.0031015585598446E-3</c:v>
                </c:pt>
                <c:pt idx="181">
                  <c:v>9.0279140277073604E-4</c:v>
                </c:pt>
                <c:pt idx="182">
                  <c:v>8.1251226255385077E-4</c:v>
                </c:pt>
                <c:pt idx="183">
                  <c:v>7.3126103635263518E-4</c:v>
                </c:pt>
                <c:pt idx="184">
                  <c:v>6.5813493276612421E-4</c:v>
                </c:pt>
                <c:pt idx="185">
                  <c:v>5.9232143953338911E-4</c:v>
                </c:pt>
                <c:pt idx="186">
                  <c:v>5.3308929561953974E-4</c:v>
                </c:pt>
                <c:pt idx="187">
                  <c:v>4.7978036609312637E-4</c:v>
                </c:pt>
                <c:pt idx="188">
                  <c:v>4.3180232951580029E-4</c:v>
                </c:pt>
                <c:pt idx="189">
                  <c:v>3.8862209659300815E-4</c:v>
                </c:pt>
                <c:pt idx="190">
                  <c:v>3.4975988695961643E-4</c:v>
                </c:pt>
                <c:pt idx="191">
                  <c:v>3.1478389828697297E-4</c:v>
                </c:pt>
                <c:pt idx="192">
                  <c:v>2.8330550847926203E-4</c:v>
                </c:pt>
                <c:pt idx="193">
                  <c:v>2.5497495765022359E-4</c:v>
                </c:pt>
                <c:pt idx="194">
                  <c:v>2.294774619022002E-4</c:v>
                </c:pt>
                <c:pt idx="195">
                  <c:v>2.0652971572727926E-4</c:v>
                </c:pt>
                <c:pt idx="196">
                  <c:v>1.8587674416832049E-4</c:v>
                </c:pt>
                <c:pt idx="197">
                  <c:v>1.672890697638807E-4</c:v>
                </c:pt>
                <c:pt idx="198">
                  <c:v>1.5056016279864565E-4</c:v>
                </c:pt>
                <c:pt idx="199">
                  <c:v>1.355041465288188E-4</c:v>
                </c:pt>
                <c:pt idx="200">
                  <c:v>1.2195373188497087E-4</c:v>
                </c:pt>
                <c:pt idx="201">
                  <c:v>1.0975835870460434E-4</c:v>
                </c:pt>
                <c:pt idx="202">
                  <c:v>9.87825228414614E-5</c:v>
                </c:pt>
                <c:pt idx="203">
                  <c:v>8.890427056390101E-5</c:v>
                </c:pt>
                <c:pt idx="204">
                  <c:v>8.0013843513438088E-5</c:v>
                </c:pt>
                <c:pt idx="205">
                  <c:v>7.201245916742873E-5</c:v>
                </c:pt>
                <c:pt idx="206">
                  <c:v>6.4811213255486864E-5</c:v>
                </c:pt>
                <c:pt idx="207">
                  <c:v>5.8330091934259087E-5</c:v>
                </c:pt>
                <c:pt idx="208">
                  <c:v>5.2497082744721999E-5</c:v>
                </c:pt>
                <c:pt idx="209">
                  <c:v>4.7247374473749735E-5</c:v>
                </c:pt>
                <c:pt idx="210">
                  <c:v>4.2522637029524702E-5</c:v>
                </c:pt>
                <c:pt idx="211">
                  <c:v>3.8270373329407181E-5</c:v>
                </c:pt>
                <c:pt idx="212">
                  <c:v>3.4443335999017917E-5</c:v>
                </c:pt>
                <c:pt idx="213">
                  <c:v>3.0999002401412435E-5</c:v>
                </c:pt>
                <c:pt idx="214">
                  <c:v>2.789910216333787E-5</c:v>
                </c:pt>
                <c:pt idx="215">
                  <c:v>2.5109191948864094E-5</c:v>
                </c:pt>
                <c:pt idx="216">
                  <c:v>2.2598272755651692E-5</c:v>
                </c:pt>
                <c:pt idx="217">
                  <c:v>2.033844548159313E-5</c:v>
                </c:pt>
                <c:pt idx="218">
                  <c:v>1.8304600934789763E-5</c:v>
                </c:pt>
                <c:pt idx="219">
                  <c:v>1.6474140842531138E-5</c:v>
                </c:pt>
                <c:pt idx="220">
                  <c:v>1.4826726759376341E-5</c:v>
                </c:pt>
                <c:pt idx="221">
                  <c:v>1.3344054084427193E-5</c:v>
                </c:pt>
                <c:pt idx="222">
                  <c:v>1.200964867687411E-5</c:v>
                </c:pt>
                <c:pt idx="223">
                  <c:v>1.0808683809987372E-5</c:v>
                </c:pt>
                <c:pt idx="224">
                  <c:v>9.7278154297092412E-6</c:v>
                </c:pt>
                <c:pt idx="225">
                  <c:v>8.7550338873868626E-6</c:v>
                </c:pt>
                <c:pt idx="226">
                  <c:v>7.879530499231868E-6</c:v>
                </c:pt>
                <c:pt idx="227">
                  <c:v>7.0915774498340029E-6</c:v>
                </c:pt>
                <c:pt idx="228">
                  <c:v>6.382419705323392E-6</c:v>
                </c:pt>
                <c:pt idx="229">
                  <c:v>5.7441777352165637E-6</c:v>
                </c:pt>
                <c:pt idx="230">
                  <c:v>5.1697599620778672E-6</c:v>
                </c:pt>
                <c:pt idx="231">
                  <c:v>4.6527839662147443E-6</c:v>
                </c:pt>
                <c:pt idx="232">
                  <c:v>4.1875055699034668E-6</c:v>
                </c:pt>
                <c:pt idx="233">
                  <c:v>3.7687550131922976E-6</c:v>
                </c:pt>
                <c:pt idx="234">
                  <c:v>3.3918795121243278E-6</c:v>
                </c:pt>
                <c:pt idx="235">
                  <c:v>3.0526915611380289E-6</c:v>
                </c:pt>
                <c:pt idx="236">
                  <c:v>2.7474224052277464E-6</c:v>
                </c:pt>
                <c:pt idx="237">
                  <c:v>2.47268016488814E-6</c:v>
                </c:pt>
                <c:pt idx="238">
                  <c:v>2.2254121485641777E-6</c:v>
                </c:pt>
                <c:pt idx="239">
                  <c:v>2.0028709338561261E-6</c:v>
                </c:pt>
                <c:pt idx="240">
                  <c:v>1.8025838406040433E-6</c:v>
                </c:pt>
                <c:pt idx="241">
                  <c:v>1.6223254566638156E-6</c:v>
                </c:pt>
                <c:pt idx="242">
                  <c:v>1.4600929111055933E-6</c:v>
                </c:pt>
                <c:pt idx="243">
                  <c:v>1.3140836200923771E-6</c:v>
                </c:pt>
                <c:pt idx="244">
                  <c:v>1.1826752581707482E-6</c:v>
                </c:pt>
                <c:pt idx="245">
                  <c:v>1.0644077324325213E-6</c:v>
                </c:pt>
                <c:pt idx="246">
                  <c:v>9.5796695926023232E-7</c:v>
                </c:pt>
                <c:pt idx="247">
                  <c:v>8.6217026339807594E-7</c:v>
                </c:pt>
                <c:pt idx="248">
                  <c:v>7.7595323711574848E-7</c:v>
                </c:pt>
                <c:pt idx="249">
                  <c:v>6.9835791345590581E-7</c:v>
                </c:pt>
                <c:pt idx="250">
                  <c:v>6.285221221568742E-7</c:v>
                </c:pt>
                <c:pt idx="251">
                  <c:v>5.6566990998308978E-7</c:v>
                </c:pt>
                <c:pt idx="252">
                  <c:v>5.0910291902249352E-7</c:v>
                </c:pt>
                <c:pt idx="253">
                  <c:v>4.5819262715418562E-7</c:v>
                </c:pt>
                <c:pt idx="254">
                  <c:v>4.1237336446931439E-7</c:v>
                </c:pt>
                <c:pt idx="255">
                  <c:v>3.7113602804987554E-7</c:v>
                </c:pt>
                <c:pt idx="256">
                  <c:v>3.3402242526963132E-7</c:v>
                </c:pt>
                <c:pt idx="257">
                  <c:v>3.0062018276493716E-7</c:v>
                </c:pt>
                <c:pt idx="258">
                  <c:v>2.7055816450848554E-7</c:v>
                </c:pt>
                <c:pt idx="259">
                  <c:v>2.435023480756749E-7</c:v>
                </c:pt>
                <c:pt idx="260">
                  <c:v>2.1915211328434151E-7</c:v>
                </c:pt>
                <c:pt idx="261">
                  <c:v>1.9723690197051804E-7</c:v>
                </c:pt>
                <c:pt idx="262">
                  <c:v>1.7751321178661584E-7</c:v>
                </c:pt>
                <c:pt idx="263">
                  <c:v>1.5976189061978891E-7</c:v>
                </c:pt>
                <c:pt idx="264">
                  <c:v>1.4378570156846122E-7</c:v>
                </c:pt>
                <c:pt idx="265">
                  <c:v>1.2940713142120118E-7</c:v>
                </c:pt>
                <c:pt idx="266">
                  <c:v>1.1646641828770852E-7</c:v>
                </c:pt>
                <c:pt idx="267">
                  <c:v>1.0481977646670239E-7</c:v>
                </c:pt>
                <c:pt idx="268">
                  <c:v>9.4337798827020394E-8</c:v>
                </c:pt>
                <c:pt idx="269">
                  <c:v>8.4904018950607782E-8</c:v>
                </c:pt>
                <c:pt idx="270">
                  <c:v>7.6413617061207486E-8</c:v>
                </c:pt>
                <c:pt idx="271">
                  <c:v>6.8772255360181174E-8</c:v>
                </c:pt>
                <c:pt idx="272">
                  <c:v>6.1895029828748046E-8</c:v>
                </c:pt>
                <c:pt idx="273">
                  <c:v>5.570552684999973E-8</c:v>
                </c:pt>
                <c:pt idx="274">
                  <c:v>5.0134974168713601E-8</c:v>
                </c:pt>
                <c:pt idx="275">
                  <c:v>4.5121476755184695E-8</c:v>
                </c:pt>
                <c:pt idx="276">
                  <c:v>4.0609329082674438E-8</c:v>
                </c:pt>
                <c:pt idx="277">
                  <c:v>3.6548396177114382E-8</c:v>
                </c:pt>
                <c:pt idx="278">
                  <c:v>3.2893556561839595E-8</c:v>
                </c:pt>
                <c:pt idx="279">
                  <c:v>2.9604200907848622E-8</c:v>
                </c:pt>
                <c:pt idx="280">
                  <c:v>2.6643780819037446E-8</c:v>
                </c:pt>
                <c:pt idx="281">
                  <c:v>2.397940273891002E-8</c:v>
                </c:pt>
                <c:pt idx="282">
                  <c:v>2.1581462466617704E-8</c:v>
                </c:pt>
                <c:pt idx="283">
                  <c:v>1.9423316221394751E-8</c:v>
                </c:pt>
                <c:pt idx="284">
                  <c:v>1.7480984600550212E-8</c:v>
                </c:pt>
                <c:pt idx="285">
                  <c:v>1.5732886141660635E-8</c:v>
                </c:pt>
                <c:pt idx="286">
                  <c:v>1.415959752854347E-8</c:v>
                </c:pt>
                <c:pt idx="287">
                  <c:v>1.2743637776633132E-8</c:v>
                </c:pt>
                <c:pt idx="288">
                  <c:v>1.1469273999819426E-8</c:v>
                </c:pt>
                <c:pt idx="289">
                  <c:v>1.0322346600602131E-8</c:v>
                </c:pt>
                <c:pt idx="290">
                  <c:v>9.2901119412300997E-9</c:v>
                </c:pt>
                <c:pt idx="291">
                  <c:v>8.3611007477264538E-9</c:v>
                </c:pt>
                <c:pt idx="292">
                  <c:v>7.5249906735112365E-9</c:v>
                </c:pt>
                <c:pt idx="293">
                  <c:v>6.7724916066617981E-9</c:v>
                </c:pt>
                <c:pt idx="294">
                  <c:v>6.0952424464471349E-9</c:v>
                </c:pt>
                <c:pt idx="295">
                  <c:v>5.4857182022087863E-9</c:v>
                </c:pt>
                <c:pt idx="296">
                  <c:v>4.9371463823536362E-9</c:v>
                </c:pt>
                <c:pt idx="297">
                  <c:v>4.4434317444474277E-9</c:v>
                </c:pt>
                <c:pt idx="298">
                  <c:v>3.9990885702989246E-9</c:v>
                </c:pt>
                <c:pt idx="299">
                  <c:v>3.599179713535648E-9</c:v>
                </c:pt>
                <c:pt idx="300">
                  <c:v>3.2392617424220375E-9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Epidemic!$D$1</c:f>
              <c:strCache>
                <c:ptCount val="1"/>
                <c:pt idx="0">
                  <c:v>recovered</c:v>
                </c:pt>
              </c:strCache>
            </c:strRef>
          </c:tx>
          <c:marker>
            <c:symbol val="none"/>
          </c:marker>
          <c:dLbls>
            <c:dLbl>
              <c:idx val="28"/>
              <c:layout>
                <c:manualLayout>
                  <c:x val="3.5960935663903338E-3"/>
                  <c:y val="3.809523809523803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Epidemic!$A$2:$A$302</c:f>
              <c:numCache>
                <c:formatCode>General</c:formatCode>
                <c:ptCount val="30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  <c:pt idx="121">
                  <c:v>605</c:v>
                </c:pt>
                <c:pt idx="122">
                  <c:v>610</c:v>
                </c:pt>
                <c:pt idx="123">
                  <c:v>615</c:v>
                </c:pt>
                <c:pt idx="124">
                  <c:v>620</c:v>
                </c:pt>
                <c:pt idx="125">
                  <c:v>625</c:v>
                </c:pt>
                <c:pt idx="126">
                  <c:v>630</c:v>
                </c:pt>
                <c:pt idx="127">
                  <c:v>635</c:v>
                </c:pt>
                <c:pt idx="128">
                  <c:v>640</c:v>
                </c:pt>
                <c:pt idx="129">
                  <c:v>645</c:v>
                </c:pt>
                <c:pt idx="130">
                  <c:v>650</c:v>
                </c:pt>
                <c:pt idx="131">
                  <c:v>655</c:v>
                </c:pt>
                <c:pt idx="132">
                  <c:v>660</c:v>
                </c:pt>
                <c:pt idx="133">
                  <c:v>665</c:v>
                </c:pt>
                <c:pt idx="134">
                  <c:v>670</c:v>
                </c:pt>
                <c:pt idx="135">
                  <c:v>675</c:v>
                </c:pt>
                <c:pt idx="136">
                  <c:v>680</c:v>
                </c:pt>
                <c:pt idx="137">
                  <c:v>685</c:v>
                </c:pt>
                <c:pt idx="138">
                  <c:v>690</c:v>
                </c:pt>
                <c:pt idx="139">
                  <c:v>695</c:v>
                </c:pt>
                <c:pt idx="140">
                  <c:v>700</c:v>
                </c:pt>
                <c:pt idx="141">
                  <c:v>705</c:v>
                </c:pt>
                <c:pt idx="142">
                  <c:v>710</c:v>
                </c:pt>
                <c:pt idx="143">
                  <c:v>715</c:v>
                </c:pt>
                <c:pt idx="144">
                  <c:v>720</c:v>
                </c:pt>
                <c:pt idx="145">
                  <c:v>725</c:v>
                </c:pt>
                <c:pt idx="146">
                  <c:v>730</c:v>
                </c:pt>
                <c:pt idx="147">
                  <c:v>735</c:v>
                </c:pt>
                <c:pt idx="148">
                  <c:v>740</c:v>
                </c:pt>
                <c:pt idx="149">
                  <c:v>745</c:v>
                </c:pt>
                <c:pt idx="150">
                  <c:v>750</c:v>
                </c:pt>
                <c:pt idx="151">
                  <c:v>755</c:v>
                </c:pt>
                <c:pt idx="152">
                  <c:v>760</c:v>
                </c:pt>
                <c:pt idx="153">
                  <c:v>765</c:v>
                </c:pt>
                <c:pt idx="154">
                  <c:v>770</c:v>
                </c:pt>
                <c:pt idx="155">
                  <c:v>775</c:v>
                </c:pt>
                <c:pt idx="156">
                  <c:v>780</c:v>
                </c:pt>
                <c:pt idx="157">
                  <c:v>785</c:v>
                </c:pt>
                <c:pt idx="158">
                  <c:v>790</c:v>
                </c:pt>
                <c:pt idx="159">
                  <c:v>795</c:v>
                </c:pt>
                <c:pt idx="160">
                  <c:v>800</c:v>
                </c:pt>
                <c:pt idx="161">
                  <c:v>805</c:v>
                </c:pt>
                <c:pt idx="162">
                  <c:v>810</c:v>
                </c:pt>
                <c:pt idx="163">
                  <c:v>815</c:v>
                </c:pt>
                <c:pt idx="164">
                  <c:v>820</c:v>
                </c:pt>
                <c:pt idx="165">
                  <c:v>825</c:v>
                </c:pt>
                <c:pt idx="166">
                  <c:v>830</c:v>
                </c:pt>
                <c:pt idx="167">
                  <c:v>835</c:v>
                </c:pt>
                <c:pt idx="168">
                  <c:v>840</c:v>
                </c:pt>
                <c:pt idx="169">
                  <c:v>845</c:v>
                </c:pt>
                <c:pt idx="170">
                  <c:v>850</c:v>
                </c:pt>
                <c:pt idx="171">
                  <c:v>855</c:v>
                </c:pt>
                <c:pt idx="172">
                  <c:v>860</c:v>
                </c:pt>
                <c:pt idx="173">
                  <c:v>865</c:v>
                </c:pt>
                <c:pt idx="174">
                  <c:v>870</c:v>
                </c:pt>
                <c:pt idx="175">
                  <c:v>875</c:v>
                </c:pt>
                <c:pt idx="176">
                  <c:v>880</c:v>
                </c:pt>
                <c:pt idx="177">
                  <c:v>885</c:v>
                </c:pt>
                <c:pt idx="178">
                  <c:v>890</c:v>
                </c:pt>
                <c:pt idx="179">
                  <c:v>895</c:v>
                </c:pt>
                <c:pt idx="180">
                  <c:v>900</c:v>
                </c:pt>
                <c:pt idx="181">
                  <c:v>905</c:v>
                </c:pt>
                <c:pt idx="182">
                  <c:v>910</c:v>
                </c:pt>
                <c:pt idx="183">
                  <c:v>915</c:v>
                </c:pt>
                <c:pt idx="184">
                  <c:v>920</c:v>
                </c:pt>
                <c:pt idx="185">
                  <c:v>925</c:v>
                </c:pt>
                <c:pt idx="186">
                  <c:v>930</c:v>
                </c:pt>
                <c:pt idx="187">
                  <c:v>935</c:v>
                </c:pt>
                <c:pt idx="188">
                  <c:v>940</c:v>
                </c:pt>
                <c:pt idx="189">
                  <c:v>945</c:v>
                </c:pt>
                <c:pt idx="190">
                  <c:v>950</c:v>
                </c:pt>
                <c:pt idx="191">
                  <c:v>955</c:v>
                </c:pt>
                <c:pt idx="192">
                  <c:v>960</c:v>
                </c:pt>
                <c:pt idx="193">
                  <c:v>965</c:v>
                </c:pt>
                <c:pt idx="194">
                  <c:v>970</c:v>
                </c:pt>
                <c:pt idx="195">
                  <c:v>975</c:v>
                </c:pt>
                <c:pt idx="196">
                  <c:v>980</c:v>
                </c:pt>
                <c:pt idx="197">
                  <c:v>985</c:v>
                </c:pt>
                <c:pt idx="198">
                  <c:v>990</c:v>
                </c:pt>
                <c:pt idx="199">
                  <c:v>995</c:v>
                </c:pt>
                <c:pt idx="200">
                  <c:v>1000</c:v>
                </c:pt>
                <c:pt idx="201">
                  <c:v>1005</c:v>
                </c:pt>
                <c:pt idx="202">
                  <c:v>1010</c:v>
                </c:pt>
                <c:pt idx="203">
                  <c:v>1015</c:v>
                </c:pt>
                <c:pt idx="204">
                  <c:v>1020</c:v>
                </c:pt>
                <c:pt idx="205">
                  <c:v>1025</c:v>
                </c:pt>
                <c:pt idx="206">
                  <c:v>1030</c:v>
                </c:pt>
                <c:pt idx="207">
                  <c:v>1035</c:v>
                </c:pt>
                <c:pt idx="208">
                  <c:v>1040</c:v>
                </c:pt>
                <c:pt idx="209">
                  <c:v>1045</c:v>
                </c:pt>
                <c:pt idx="210">
                  <c:v>1050</c:v>
                </c:pt>
                <c:pt idx="211">
                  <c:v>1055</c:v>
                </c:pt>
                <c:pt idx="212">
                  <c:v>1060</c:v>
                </c:pt>
                <c:pt idx="213">
                  <c:v>1065</c:v>
                </c:pt>
                <c:pt idx="214">
                  <c:v>1070</c:v>
                </c:pt>
                <c:pt idx="215">
                  <c:v>1075</c:v>
                </c:pt>
                <c:pt idx="216">
                  <c:v>1080</c:v>
                </c:pt>
                <c:pt idx="217">
                  <c:v>1085</c:v>
                </c:pt>
                <c:pt idx="218">
                  <c:v>1090</c:v>
                </c:pt>
                <c:pt idx="219">
                  <c:v>1095</c:v>
                </c:pt>
                <c:pt idx="220">
                  <c:v>1100</c:v>
                </c:pt>
                <c:pt idx="221">
                  <c:v>1105</c:v>
                </c:pt>
                <c:pt idx="222">
                  <c:v>1110</c:v>
                </c:pt>
                <c:pt idx="223">
                  <c:v>1115</c:v>
                </c:pt>
                <c:pt idx="224">
                  <c:v>1120</c:v>
                </c:pt>
                <c:pt idx="225">
                  <c:v>1125</c:v>
                </c:pt>
                <c:pt idx="226">
                  <c:v>1130</c:v>
                </c:pt>
                <c:pt idx="227">
                  <c:v>1135</c:v>
                </c:pt>
                <c:pt idx="228">
                  <c:v>1140</c:v>
                </c:pt>
                <c:pt idx="229">
                  <c:v>1145</c:v>
                </c:pt>
                <c:pt idx="230">
                  <c:v>1150</c:v>
                </c:pt>
                <c:pt idx="231">
                  <c:v>1155</c:v>
                </c:pt>
                <c:pt idx="232">
                  <c:v>1160</c:v>
                </c:pt>
                <c:pt idx="233">
                  <c:v>1165</c:v>
                </c:pt>
                <c:pt idx="234">
                  <c:v>1170</c:v>
                </c:pt>
                <c:pt idx="235">
                  <c:v>1175</c:v>
                </c:pt>
                <c:pt idx="236">
                  <c:v>1180</c:v>
                </c:pt>
                <c:pt idx="237">
                  <c:v>1185</c:v>
                </c:pt>
                <c:pt idx="238">
                  <c:v>1190</c:v>
                </c:pt>
                <c:pt idx="239">
                  <c:v>1195</c:v>
                </c:pt>
                <c:pt idx="240">
                  <c:v>1200</c:v>
                </c:pt>
                <c:pt idx="241">
                  <c:v>1205</c:v>
                </c:pt>
                <c:pt idx="242">
                  <c:v>1210</c:v>
                </c:pt>
                <c:pt idx="243">
                  <c:v>1215</c:v>
                </c:pt>
                <c:pt idx="244">
                  <c:v>1220</c:v>
                </c:pt>
                <c:pt idx="245">
                  <c:v>1225</c:v>
                </c:pt>
                <c:pt idx="246">
                  <c:v>1230</c:v>
                </c:pt>
                <c:pt idx="247">
                  <c:v>1235</c:v>
                </c:pt>
                <c:pt idx="248">
                  <c:v>1240</c:v>
                </c:pt>
                <c:pt idx="249">
                  <c:v>1245</c:v>
                </c:pt>
                <c:pt idx="250">
                  <c:v>1250</c:v>
                </c:pt>
                <c:pt idx="251">
                  <c:v>1255</c:v>
                </c:pt>
                <c:pt idx="252">
                  <c:v>1260</c:v>
                </c:pt>
                <c:pt idx="253">
                  <c:v>1265</c:v>
                </c:pt>
                <c:pt idx="254">
                  <c:v>1270</c:v>
                </c:pt>
                <c:pt idx="255">
                  <c:v>1275</c:v>
                </c:pt>
                <c:pt idx="256">
                  <c:v>1280</c:v>
                </c:pt>
                <c:pt idx="257">
                  <c:v>1285</c:v>
                </c:pt>
                <c:pt idx="258">
                  <c:v>1290</c:v>
                </c:pt>
                <c:pt idx="259">
                  <c:v>1295</c:v>
                </c:pt>
                <c:pt idx="260">
                  <c:v>1300</c:v>
                </c:pt>
                <c:pt idx="261">
                  <c:v>1305</c:v>
                </c:pt>
                <c:pt idx="262">
                  <c:v>1310</c:v>
                </c:pt>
                <c:pt idx="263">
                  <c:v>1315</c:v>
                </c:pt>
                <c:pt idx="264">
                  <c:v>1320</c:v>
                </c:pt>
                <c:pt idx="265">
                  <c:v>1325</c:v>
                </c:pt>
                <c:pt idx="266">
                  <c:v>1330</c:v>
                </c:pt>
                <c:pt idx="267">
                  <c:v>1335</c:v>
                </c:pt>
                <c:pt idx="268">
                  <c:v>1340</c:v>
                </c:pt>
                <c:pt idx="269">
                  <c:v>1345</c:v>
                </c:pt>
                <c:pt idx="270">
                  <c:v>1350</c:v>
                </c:pt>
                <c:pt idx="271">
                  <c:v>1355</c:v>
                </c:pt>
                <c:pt idx="272">
                  <c:v>1360</c:v>
                </c:pt>
                <c:pt idx="273">
                  <c:v>1365</c:v>
                </c:pt>
                <c:pt idx="274">
                  <c:v>1370</c:v>
                </c:pt>
                <c:pt idx="275">
                  <c:v>1375</c:v>
                </c:pt>
                <c:pt idx="276">
                  <c:v>1380</c:v>
                </c:pt>
                <c:pt idx="277">
                  <c:v>1385</c:v>
                </c:pt>
                <c:pt idx="278">
                  <c:v>1390</c:v>
                </c:pt>
                <c:pt idx="279">
                  <c:v>1395</c:v>
                </c:pt>
                <c:pt idx="280">
                  <c:v>1400</c:v>
                </c:pt>
                <c:pt idx="281">
                  <c:v>1405</c:v>
                </c:pt>
                <c:pt idx="282">
                  <c:v>1410</c:v>
                </c:pt>
                <c:pt idx="283">
                  <c:v>1415</c:v>
                </c:pt>
                <c:pt idx="284">
                  <c:v>1420</c:v>
                </c:pt>
                <c:pt idx="285">
                  <c:v>1425</c:v>
                </c:pt>
                <c:pt idx="286">
                  <c:v>1430</c:v>
                </c:pt>
                <c:pt idx="287">
                  <c:v>1435</c:v>
                </c:pt>
                <c:pt idx="288">
                  <c:v>1440</c:v>
                </c:pt>
                <c:pt idx="289">
                  <c:v>1445</c:v>
                </c:pt>
                <c:pt idx="290">
                  <c:v>1450</c:v>
                </c:pt>
                <c:pt idx="291">
                  <c:v>1455</c:v>
                </c:pt>
                <c:pt idx="292">
                  <c:v>1460</c:v>
                </c:pt>
                <c:pt idx="293">
                  <c:v>1465</c:v>
                </c:pt>
                <c:pt idx="294">
                  <c:v>1470</c:v>
                </c:pt>
                <c:pt idx="295">
                  <c:v>1475</c:v>
                </c:pt>
                <c:pt idx="296">
                  <c:v>1480</c:v>
                </c:pt>
                <c:pt idx="297">
                  <c:v>1485</c:v>
                </c:pt>
                <c:pt idx="298">
                  <c:v>1490</c:v>
                </c:pt>
                <c:pt idx="299">
                  <c:v>1495</c:v>
                </c:pt>
                <c:pt idx="300">
                  <c:v>1500</c:v>
                </c:pt>
              </c:numCache>
            </c:numRef>
          </c:xVal>
          <c:yVal>
            <c:numRef>
              <c:f>Epidemic!$D$2:$D$302</c:f>
              <c:numCache>
                <c:formatCode>0.00</c:formatCode>
                <c:ptCount val="301"/>
                <c:pt idx="0" formatCode="General">
                  <c:v>0</c:v>
                </c:pt>
                <c:pt idx="1">
                  <c:v>0.47499999999999998</c:v>
                </c:pt>
                <c:pt idx="2">
                  <c:v>1.4961312499999999</c:v>
                </c:pt>
                <c:pt idx="3">
                  <c:v>3.6911486348400393</c:v>
                </c:pt>
                <c:pt idx="4">
                  <c:v>8.4088072917229866</c:v>
                </c:pt>
                <c:pt idx="5">
                  <c:v>18.544868522706594</c:v>
                </c:pt>
                <c:pt idx="6">
                  <c:v>40.306853436447184</c:v>
                </c:pt>
                <c:pt idx="7">
                  <c:v>86.957153041746892</c:v>
                </c:pt>
                <c:pt idx="8">
                  <c:v>186.62728613406961</c:v>
                </c:pt>
                <c:pt idx="9">
                  <c:v>398.0632875863634</c:v>
                </c:pt>
                <c:pt idx="10">
                  <c:v>839.82132557062869</c:v>
                </c:pt>
                <c:pt idx="11">
                  <c:v>1733.5630112148194</c:v>
                </c:pt>
                <c:pt idx="12">
                  <c:v>3425.0399878039502</c:v>
                </c:pt>
                <c:pt idx="13">
                  <c:v>6231.4191701051532</c:v>
                </c:pt>
                <c:pt idx="14">
                  <c:v>9939.2677707376406</c:v>
                </c:pt>
                <c:pt idx="15">
                  <c:v>13684.716378339468</c:v>
                </c:pt>
                <c:pt idx="16">
                  <c:v>17065.624036387562</c:v>
                </c:pt>
                <c:pt idx="17">
                  <c:v>20108.570563411959</c:v>
                </c:pt>
                <c:pt idx="18">
                  <c:v>22847.235305663587</c:v>
                </c:pt>
                <c:pt idx="19">
                  <c:v>25312.035880948199</c:v>
                </c:pt>
                <c:pt idx="20">
                  <c:v>27530.356978677781</c:v>
                </c:pt>
                <c:pt idx="21">
                  <c:v>29526.846150040288</c:v>
                </c:pt>
                <c:pt idx="22">
                  <c:v>31323.686472971891</c:v>
                </c:pt>
                <c:pt idx="23">
                  <c:v>32940.842792957643</c:v>
                </c:pt>
                <c:pt idx="24">
                  <c:v>34396.283494868134</c:v>
                </c:pt>
                <c:pt idx="25">
                  <c:v>35706.180133785783</c:v>
                </c:pt>
                <c:pt idx="26">
                  <c:v>36885.08711280876</c:v>
                </c:pt>
                <c:pt idx="27">
                  <c:v>37946.103396286773</c:v>
                </c:pt>
                <c:pt idx="28">
                  <c:v>38901.018052880383</c:v>
                </c:pt>
                <c:pt idx="29">
                  <c:v>39760.441244763941</c:v>
                </c:pt>
                <c:pt idx="30">
                  <c:v>40533.922118098832</c:v>
                </c:pt>
                <c:pt idx="31">
                  <c:v>41230.054904545737</c:v>
                </c:pt>
                <c:pt idx="32">
                  <c:v>41856.574412667294</c:v>
                </c:pt>
                <c:pt idx="33">
                  <c:v>42420.441970211454</c:v>
                </c:pt>
                <c:pt idx="34">
                  <c:v>42927.922772177648</c:v>
                </c:pt>
                <c:pt idx="35">
                  <c:v>43384.655494082457</c:v>
                </c:pt>
                <c:pt idx="36">
                  <c:v>43795.714943902247</c:v>
                </c:pt>
                <c:pt idx="37">
                  <c:v>44165.668448823562</c:v>
                </c:pt>
                <c:pt idx="38">
                  <c:v>44498.626603319775</c:v>
                </c:pt>
                <c:pt idx="39">
                  <c:v>44798.288942420819</c:v>
                </c:pt>
                <c:pt idx="40">
                  <c:v>45067.985047656468</c:v>
                </c:pt>
                <c:pt idx="41">
                  <c:v>45310.711542405617</c:v>
                </c:pt>
                <c:pt idx="42">
                  <c:v>45529.165387710847</c:v>
                </c:pt>
                <c:pt idx="43">
                  <c:v>45725.773848511664</c:v>
                </c:pt>
                <c:pt idx="44">
                  <c:v>45902.721463254551</c:v>
                </c:pt>
                <c:pt idx="45">
                  <c:v>46061.974316542051</c:v>
                </c:pt>
                <c:pt idx="46">
                  <c:v>46205.301884517023</c:v>
                </c:pt>
                <c:pt idx="47">
                  <c:v>46334.296695708479</c:v>
                </c:pt>
                <c:pt idx="48">
                  <c:v>46450.392025792906</c:v>
                </c:pt>
                <c:pt idx="49">
                  <c:v>46554.877822879418</c:v>
                </c:pt>
                <c:pt idx="50">
                  <c:v>46648.915040266475</c:v>
                </c:pt>
                <c:pt idx="51">
                  <c:v>46733.548535922862</c:v>
                </c:pt>
                <c:pt idx="52">
                  <c:v>46809.718682020677</c:v>
                </c:pt>
                <c:pt idx="53">
                  <c:v>46878.271813514919</c:v>
                </c:pt>
                <c:pt idx="54">
                  <c:v>46939.969631865213</c:v>
                </c:pt>
                <c:pt idx="55">
                  <c:v>46995.497668385324</c:v>
                </c:pt>
                <c:pt idx="56">
                  <c:v>47045.472901257708</c:v>
                </c:pt>
                <c:pt idx="57">
                  <c:v>47090.450610846659</c:v>
                </c:pt>
                <c:pt idx="58">
                  <c:v>47130.930549480086</c:v>
                </c:pt>
                <c:pt idx="59">
                  <c:v>47167.362494253175</c:v>
                </c:pt>
                <c:pt idx="60">
                  <c:v>47200.151244551627</c:v>
                </c:pt>
                <c:pt idx="61">
                  <c:v>47229.661119822624</c:v>
                </c:pt>
                <c:pt idx="62">
                  <c:v>47256.220007568641</c:v>
                </c:pt>
                <c:pt idx="63">
                  <c:v>47280.123006541959</c:v>
                </c:pt>
                <c:pt idx="64">
                  <c:v>47301.635705619643</c:v>
                </c:pt>
                <c:pt idx="65">
                  <c:v>47320.997134791076</c:v>
                </c:pt>
                <c:pt idx="66">
                  <c:v>47338.422421046722</c:v>
                </c:pt>
                <c:pt idx="67">
                  <c:v>47354.105178678023</c:v>
                </c:pt>
                <c:pt idx="68">
                  <c:v>47368.219660547278</c:v>
                </c:pt>
                <c:pt idx="69">
                  <c:v>47380.92269423059</c:v>
                </c:pt>
                <c:pt idx="70">
                  <c:v>47392.355424546447</c:v>
                </c:pt>
                <c:pt idx="71">
                  <c:v>47402.644881831504</c:v>
                </c:pt>
                <c:pt idx="72">
                  <c:v>47411.905393388755</c:v>
                </c:pt>
                <c:pt idx="73">
                  <c:v>47420.239853790918</c:v>
                </c:pt>
                <c:pt idx="74">
                  <c:v>47427.740868153429</c:v>
                </c:pt>
                <c:pt idx="75">
                  <c:v>47434.4917810802</c:v>
                </c:pt>
                <c:pt idx="76">
                  <c:v>47440.567602714749</c:v>
                </c:pt>
                <c:pt idx="77">
                  <c:v>47446.035842186255</c:v>
                </c:pt>
                <c:pt idx="78">
                  <c:v>47450.957257710979</c:v>
                </c:pt>
                <c:pt idx="79">
                  <c:v>47455.386531683565</c:v>
                </c:pt>
                <c:pt idx="80">
                  <c:v>47459.372878259193</c:v>
                </c:pt>
                <c:pt idx="81">
                  <c:v>47462.960590177529</c:v>
                </c:pt>
                <c:pt idx="82">
                  <c:v>47466.189530904267</c:v>
                </c:pt>
                <c:pt idx="83">
                  <c:v>47469.095577558553</c:v>
                </c:pt>
                <c:pt idx="84">
                  <c:v>47471.711019547605</c:v>
                </c:pt>
                <c:pt idx="85">
                  <c:v>47474.064917337928</c:v>
                </c:pt>
                <c:pt idx="86">
                  <c:v>47476.183425349373</c:v>
                </c:pt>
                <c:pt idx="87">
                  <c:v>47478.090082559815</c:v>
                </c:pt>
                <c:pt idx="88">
                  <c:v>47479.806074049346</c:v>
                </c:pt>
                <c:pt idx="89">
                  <c:v>47481.350466390038</c:v>
                </c:pt>
                <c:pt idx="90">
                  <c:v>47482.74041949676</c:v>
                </c:pt>
                <c:pt idx="91">
                  <c:v>47483.991377292907</c:v>
                </c:pt>
                <c:pt idx="92">
                  <c:v>47485.117239309518</c:v>
                </c:pt>
                <c:pt idx="93">
                  <c:v>47486.130515124547</c:v>
                </c:pt>
                <c:pt idx="94">
                  <c:v>47487.042463358142</c:v>
                </c:pt>
                <c:pt idx="95">
                  <c:v>47487.863216768434</c:v>
                </c:pt>
                <c:pt idx="96">
                  <c:v>47488.601894837753</c:v>
                </c:pt>
                <c:pt idx="97">
                  <c:v>47489.266705100192</c:v>
                </c:pt>
                <c:pt idx="98">
                  <c:v>47489.865034336428</c:v>
                </c:pt>
                <c:pt idx="99">
                  <c:v>47490.403530649084</c:v>
                </c:pt>
                <c:pt idx="100">
                  <c:v>47490.888177330511</c:v>
                </c:pt>
                <c:pt idx="101">
                  <c:v>47491.324359343824</c:v>
                </c:pt>
                <c:pt idx="102">
                  <c:v>47491.716923155836</c:v>
                </c:pt>
                <c:pt idx="103">
                  <c:v>47492.070230586673</c:v>
                </c:pt>
                <c:pt idx="104">
                  <c:v>47492.388207274453</c:v>
                </c:pt>
                <c:pt idx="105">
                  <c:v>47492.674386293475</c:v>
                </c:pt>
                <c:pt idx="106">
                  <c:v>47492.931947410609</c:v>
                </c:pt>
                <c:pt idx="107">
                  <c:v>47493.163752416047</c:v>
                </c:pt>
                <c:pt idx="108">
                  <c:v>47493.372376920961</c:v>
                </c:pt>
                <c:pt idx="109">
                  <c:v>47493.560138975394</c:v>
                </c:pt>
                <c:pt idx="110">
                  <c:v>47493.7291248244</c:v>
                </c:pt>
                <c:pt idx="111">
                  <c:v>47493.881212088512</c:v>
                </c:pt>
                <c:pt idx="112">
                  <c:v>47494.018090626225</c:v>
                </c:pt>
                <c:pt idx="113">
                  <c:v>47494.141281310178</c:v>
                </c:pt>
                <c:pt idx="114">
                  <c:v>47494.252152925743</c:v>
                </c:pt>
                <c:pt idx="115">
                  <c:v>47494.351937379761</c:v>
                </c:pt>
                <c:pt idx="116">
                  <c:v>47494.441743388379</c:v>
                </c:pt>
                <c:pt idx="117">
                  <c:v>47494.522568796143</c:v>
                </c:pt>
                <c:pt idx="118">
                  <c:v>47494.595311663135</c:v>
                </c:pt>
                <c:pt idx="119">
                  <c:v>47494.660780243437</c:v>
                </c:pt>
                <c:pt idx="120">
                  <c:v>47494.719701965711</c:v>
                </c:pt>
                <c:pt idx="121">
                  <c:v>47494.772731515761</c:v>
                </c:pt>
                <c:pt idx="122">
                  <c:v>47494.820458110808</c:v>
                </c:pt>
                <c:pt idx="123">
                  <c:v>47494.863412046354</c:v>
                </c:pt>
                <c:pt idx="124">
                  <c:v>47494.902070588352</c:v>
                </c:pt>
                <c:pt idx="125">
                  <c:v>47494.936863276147</c:v>
                </c:pt>
                <c:pt idx="126">
                  <c:v>47494.968176695169</c:v>
                </c:pt>
                <c:pt idx="127">
                  <c:v>47494.996358772289</c:v>
                </c:pt>
                <c:pt idx="128">
                  <c:v>47495.021722641701</c:v>
                </c:pt>
                <c:pt idx="129">
                  <c:v>47495.04455012417</c:v>
                </c:pt>
                <c:pt idx="130">
                  <c:v>47495.065094858393</c:v>
                </c:pt>
                <c:pt idx="131">
                  <c:v>47495.083585119195</c:v>
                </c:pt>
                <c:pt idx="132">
                  <c:v>47495.100226353919</c:v>
                </c:pt>
                <c:pt idx="133">
                  <c:v>47495.115203465175</c:v>
                </c:pt>
                <c:pt idx="134">
                  <c:v>47495.128682865303</c:v>
                </c:pt>
                <c:pt idx="135">
                  <c:v>47495.140814325423</c:v>
                </c:pt>
                <c:pt idx="136">
                  <c:v>47495.151732639526</c:v>
                </c:pt>
                <c:pt idx="137">
                  <c:v>47495.161559122222</c:v>
                </c:pt>
                <c:pt idx="138">
                  <c:v>47495.170402956646</c:v>
                </c:pt>
                <c:pt idx="139">
                  <c:v>47495.178362407634</c:v>
                </c:pt>
                <c:pt idx="140">
                  <c:v>47495.185525913519</c:v>
                </c:pt>
                <c:pt idx="141">
                  <c:v>47495.191973068817</c:v>
                </c:pt>
                <c:pt idx="142">
                  <c:v>47495.19777550859</c:v>
                </c:pt>
                <c:pt idx="143">
                  <c:v>47495.202997704386</c:v>
                </c:pt>
                <c:pt idx="144">
                  <c:v>47495.207697680598</c:v>
                </c:pt>
                <c:pt idx="145">
                  <c:v>47495.211927659191</c:v>
                </c:pt>
                <c:pt idx="146">
                  <c:v>47495.215734639925</c:v>
                </c:pt>
                <c:pt idx="147">
                  <c:v>47495.219160922585</c:v>
                </c:pt>
                <c:pt idx="148">
                  <c:v>47495.22224457698</c:v>
                </c:pt>
                <c:pt idx="149">
                  <c:v>47495.225019865939</c:v>
                </c:pt>
                <c:pt idx="150">
                  <c:v>47495.227517626001</c:v>
                </c:pt>
                <c:pt idx="151">
                  <c:v>47495.229765610056</c:v>
                </c:pt>
                <c:pt idx="152">
                  <c:v>47495.231788795703</c:v>
                </c:pt>
                <c:pt idx="153">
                  <c:v>47495.233609662784</c:v>
                </c:pt>
                <c:pt idx="154">
                  <c:v>47495.235248443161</c:v>
                </c:pt>
                <c:pt idx="155">
                  <c:v>47495.236723345501</c:v>
                </c:pt>
                <c:pt idx="156">
                  <c:v>47495.238050757609</c:v>
                </c:pt>
                <c:pt idx="157">
                  <c:v>47495.2392454285</c:v>
                </c:pt>
                <c:pt idx="158">
                  <c:v>47495.240320632307</c:v>
                </c:pt>
                <c:pt idx="159">
                  <c:v>47495.24128831573</c:v>
                </c:pt>
                <c:pt idx="160">
                  <c:v>47495.242159230809</c:v>
                </c:pt>
                <c:pt idx="161">
                  <c:v>47495.242943054385</c:v>
                </c:pt>
                <c:pt idx="162">
                  <c:v>47495.243648495605</c:v>
                </c:pt>
                <c:pt idx="163">
                  <c:v>47495.244283392698</c:v>
                </c:pt>
                <c:pt idx="164">
                  <c:v>47495.244854800083</c:v>
                </c:pt>
                <c:pt idx="165">
                  <c:v>47495.245369066732</c:v>
                </c:pt>
                <c:pt idx="166">
                  <c:v>47495.245831906715</c:v>
                </c:pt>
                <c:pt idx="167">
                  <c:v>47495.246248462703</c:v>
                </c:pt>
                <c:pt idx="168">
                  <c:v>47495.246623363091</c:v>
                </c:pt>
                <c:pt idx="169">
                  <c:v>47495.246960773438</c:v>
                </c:pt>
                <c:pt idx="170">
                  <c:v>47495.247264442754</c:v>
                </c:pt>
                <c:pt idx="171">
                  <c:v>47495.247537745134</c:v>
                </c:pt>
                <c:pt idx="172">
                  <c:v>47495.247783717277</c:v>
                </c:pt>
                <c:pt idx="173">
                  <c:v>47495.248005092209</c:v>
                </c:pt>
                <c:pt idx="174">
                  <c:v>47495.248204329648</c:v>
                </c:pt>
                <c:pt idx="175">
                  <c:v>47495.248383643338</c:v>
                </c:pt>
                <c:pt idx="176">
                  <c:v>47495.248545025664</c:v>
                </c:pt>
                <c:pt idx="177">
                  <c:v>47495.248690269756</c:v>
                </c:pt>
                <c:pt idx="178">
                  <c:v>47495.248820989436</c:v>
                </c:pt>
                <c:pt idx="179">
                  <c:v>47495.248938637153</c:v>
                </c:pt>
                <c:pt idx="180">
                  <c:v>47495.249044520097</c:v>
                </c:pt>
                <c:pt idx="181">
                  <c:v>47495.249139814747</c:v>
                </c:pt>
                <c:pt idx="182">
                  <c:v>47495.24922557993</c:v>
                </c:pt>
                <c:pt idx="183">
                  <c:v>47495.249302768592</c:v>
                </c:pt>
                <c:pt idx="184">
                  <c:v>47495.249372238388</c:v>
                </c:pt>
                <c:pt idx="185">
                  <c:v>47495.249434761208</c:v>
                </c:pt>
                <c:pt idx="186">
                  <c:v>47495.249491031747</c:v>
                </c:pt>
                <c:pt idx="187">
                  <c:v>47495.249541675228</c:v>
                </c:pt>
                <c:pt idx="188">
                  <c:v>47495.249587254366</c:v>
                </c:pt>
                <c:pt idx="189">
                  <c:v>47495.249628275589</c:v>
                </c:pt>
                <c:pt idx="190">
                  <c:v>47495.249665194686</c:v>
                </c:pt>
                <c:pt idx="191">
                  <c:v>47495.249698421874</c:v>
                </c:pt>
                <c:pt idx="192">
                  <c:v>47495.249728326344</c:v>
                </c:pt>
                <c:pt idx="193">
                  <c:v>47495.249755240366</c:v>
                </c:pt>
                <c:pt idx="194">
                  <c:v>47495.249779462989</c:v>
                </c:pt>
                <c:pt idx="195">
                  <c:v>47495.249801263351</c:v>
                </c:pt>
                <c:pt idx="196">
                  <c:v>47495.249820883677</c:v>
                </c:pt>
                <c:pt idx="197">
                  <c:v>47495.249838541968</c:v>
                </c:pt>
                <c:pt idx="198">
                  <c:v>47495.249854434427</c:v>
                </c:pt>
                <c:pt idx="199">
                  <c:v>47495.249868737643</c:v>
                </c:pt>
                <c:pt idx="200">
                  <c:v>47495.249881610536</c:v>
                </c:pt>
                <c:pt idx="201">
                  <c:v>47495.249893196138</c:v>
                </c:pt>
                <c:pt idx="202">
                  <c:v>47495.249903623182</c:v>
                </c:pt>
                <c:pt idx="203">
                  <c:v>47495.249913007523</c:v>
                </c:pt>
                <c:pt idx="204">
                  <c:v>47495.249921453425</c:v>
                </c:pt>
                <c:pt idx="205">
                  <c:v>47495.249929054742</c:v>
                </c:pt>
                <c:pt idx="206">
                  <c:v>47495.249935895925</c:v>
                </c:pt>
                <c:pt idx="207">
                  <c:v>47495.249942052993</c:v>
                </c:pt>
                <c:pt idx="208">
                  <c:v>47495.249947594355</c:v>
                </c:pt>
                <c:pt idx="209">
                  <c:v>47495.24995258158</c:v>
                </c:pt>
                <c:pt idx="210">
                  <c:v>47495.249957070082</c:v>
                </c:pt>
                <c:pt idx="211">
                  <c:v>47495.24996110973</c:v>
                </c:pt>
                <c:pt idx="212">
                  <c:v>47495.249964745417</c:v>
                </c:pt>
                <c:pt idx="213">
                  <c:v>47495.249968017532</c:v>
                </c:pt>
                <c:pt idx="214">
                  <c:v>47495.249970962439</c:v>
                </c:pt>
                <c:pt idx="215">
                  <c:v>47495.249973612852</c:v>
                </c:pt>
                <c:pt idx="216">
                  <c:v>47495.249975998224</c:v>
                </c:pt>
                <c:pt idx="217">
                  <c:v>47495.249978145061</c:v>
                </c:pt>
                <c:pt idx="218">
                  <c:v>47495.249980077213</c:v>
                </c:pt>
                <c:pt idx="219">
                  <c:v>47495.249981816152</c:v>
                </c:pt>
                <c:pt idx="220">
                  <c:v>47495.249983381196</c:v>
                </c:pt>
                <c:pt idx="221">
                  <c:v>47495.249984789734</c:v>
                </c:pt>
                <c:pt idx="222">
                  <c:v>47495.249986057417</c:v>
                </c:pt>
                <c:pt idx="223">
                  <c:v>47495.249987198331</c:v>
                </c:pt>
                <c:pt idx="224">
                  <c:v>47495.249988225158</c:v>
                </c:pt>
                <c:pt idx="225">
                  <c:v>47495.249989149299</c:v>
                </c:pt>
                <c:pt idx="226">
                  <c:v>47495.249989981028</c:v>
                </c:pt>
                <c:pt idx="227">
                  <c:v>47495.249990729586</c:v>
                </c:pt>
                <c:pt idx="228">
                  <c:v>47495.249991403289</c:v>
                </c:pt>
                <c:pt idx="229">
                  <c:v>47495.249992009616</c:v>
                </c:pt>
                <c:pt idx="230">
                  <c:v>47495.249992555313</c:v>
                </c:pt>
                <c:pt idx="231">
                  <c:v>47495.24999304644</c:v>
                </c:pt>
                <c:pt idx="232">
                  <c:v>47495.249993488454</c:v>
                </c:pt>
                <c:pt idx="233">
                  <c:v>47495.249993886267</c:v>
                </c:pt>
                <c:pt idx="234">
                  <c:v>47495.249994244303</c:v>
                </c:pt>
                <c:pt idx="235">
                  <c:v>47495.249994566533</c:v>
                </c:pt>
                <c:pt idx="236">
                  <c:v>47495.249994856538</c:v>
                </c:pt>
                <c:pt idx="237">
                  <c:v>47495.249995117541</c:v>
                </c:pt>
                <c:pt idx="238">
                  <c:v>47495.249995352446</c:v>
                </c:pt>
                <c:pt idx="239">
                  <c:v>47495.249995563863</c:v>
                </c:pt>
                <c:pt idx="240">
                  <c:v>47495.249995754137</c:v>
                </c:pt>
                <c:pt idx="241">
                  <c:v>47495.249995925384</c:v>
                </c:pt>
                <c:pt idx="242">
                  <c:v>47495.249996079503</c:v>
                </c:pt>
                <c:pt idx="243">
                  <c:v>47495.249996218212</c:v>
                </c:pt>
                <c:pt idx="244">
                  <c:v>47495.249996343053</c:v>
                </c:pt>
                <c:pt idx="245">
                  <c:v>47495.249996455408</c:v>
                </c:pt>
                <c:pt idx="246">
                  <c:v>47495.249996556529</c:v>
                </c:pt>
                <c:pt idx="247">
                  <c:v>47495.249996647537</c:v>
                </c:pt>
                <c:pt idx="248">
                  <c:v>47495.249996729443</c:v>
                </c:pt>
                <c:pt idx="249">
                  <c:v>47495.249996803155</c:v>
                </c:pt>
                <c:pt idx="250">
                  <c:v>47495.249996869497</c:v>
                </c:pt>
                <c:pt idx="251">
                  <c:v>47495.249996929204</c:v>
                </c:pt>
                <c:pt idx="252">
                  <c:v>47495.249996982944</c:v>
                </c:pt>
                <c:pt idx="253">
                  <c:v>47495.249997031307</c:v>
                </c:pt>
                <c:pt idx="254">
                  <c:v>47495.249997074832</c:v>
                </c:pt>
                <c:pt idx="255">
                  <c:v>47495.249997114006</c:v>
                </c:pt>
                <c:pt idx="256">
                  <c:v>47495.249997149265</c:v>
                </c:pt>
                <c:pt idx="257">
                  <c:v>47495.249997180996</c:v>
                </c:pt>
                <c:pt idx="258">
                  <c:v>47495.249997209554</c:v>
                </c:pt>
                <c:pt idx="259">
                  <c:v>47495.24999723526</c:v>
                </c:pt>
                <c:pt idx="260">
                  <c:v>47495.24999725839</c:v>
                </c:pt>
                <c:pt idx="261">
                  <c:v>47495.249997279207</c:v>
                </c:pt>
                <c:pt idx="262">
                  <c:v>47495.249997297942</c:v>
                </c:pt>
                <c:pt idx="263">
                  <c:v>47495.249997314808</c:v>
                </c:pt>
                <c:pt idx="264">
                  <c:v>47495.249997329985</c:v>
                </c:pt>
                <c:pt idx="265">
                  <c:v>47495.249997343642</c:v>
                </c:pt>
                <c:pt idx="266">
                  <c:v>47495.249997355939</c:v>
                </c:pt>
                <c:pt idx="267">
                  <c:v>47495.249997367006</c:v>
                </c:pt>
                <c:pt idx="268">
                  <c:v>47495.249997376966</c:v>
                </c:pt>
                <c:pt idx="269">
                  <c:v>47495.24999738593</c:v>
                </c:pt>
                <c:pt idx="270">
                  <c:v>47495.249997393999</c:v>
                </c:pt>
                <c:pt idx="271">
                  <c:v>47495.249997401261</c:v>
                </c:pt>
                <c:pt idx="272">
                  <c:v>47495.249997407795</c:v>
                </c:pt>
                <c:pt idx="273">
                  <c:v>47495.249997413674</c:v>
                </c:pt>
                <c:pt idx="274">
                  <c:v>47495.249997418963</c:v>
                </c:pt>
                <c:pt idx="275">
                  <c:v>47495.249997423729</c:v>
                </c:pt>
                <c:pt idx="276">
                  <c:v>47495.249997428014</c:v>
                </c:pt>
                <c:pt idx="277">
                  <c:v>47495.249997431871</c:v>
                </c:pt>
                <c:pt idx="278">
                  <c:v>47495.249997435341</c:v>
                </c:pt>
                <c:pt idx="279">
                  <c:v>47495.249997438463</c:v>
                </c:pt>
                <c:pt idx="280">
                  <c:v>47495.249997441279</c:v>
                </c:pt>
                <c:pt idx="281">
                  <c:v>47495.249997443811</c:v>
                </c:pt>
                <c:pt idx="282">
                  <c:v>47495.249997446088</c:v>
                </c:pt>
                <c:pt idx="283">
                  <c:v>47495.24999744814</c:v>
                </c:pt>
                <c:pt idx="284">
                  <c:v>47495.249997449988</c:v>
                </c:pt>
                <c:pt idx="285">
                  <c:v>47495.249997451647</c:v>
                </c:pt>
                <c:pt idx="286">
                  <c:v>47495.249997453138</c:v>
                </c:pt>
                <c:pt idx="287">
                  <c:v>47495.249997454484</c:v>
                </c:pt>
                <c:pt idx="288">
                  <c:v>47495.249997455692</c:v>
                </c:pt>
                <c:pt idx="289">
                  <c:v>47495.249997456784</c:v>
                </c:pt>
                <c:pt idx="290">
                  <c:v>47495.249997457766</c:v>
                </c:pt>
                <c:pt idx="291">
                  <c:v>47495.249997458646</c:v>
                </c:pt>
                <c:pt idx="292">
                  <c:v>47495.249997459439</c:v>
                </c:pt>
                <c:pt idx="293">
                  <c:v>47495.249997460152</c:v>
                </c:pt>
                <c:pt idx="294">
                  <c:v>47495.249997460793</c:v>
                </c:pt>
                <c:pt idx="295">
                  <c:v>47495.249997461375</c:v>
                </c:pt>
                <c:pt idx="296">
                  <c:v>47495.249997461899</c:v>
                </c:pt>
                <c:pt idx="297">
                  <c:v>47495.249997462364</c:v>
                </c:pt>
                <c:pt idx="298">
                  <c:v>47495.249997462786</c:v>
                </c:pt>
                <c:pt idx="299">
                  <c:v>47495.249997463165</c:v>
                </c:pt>
                <c:pt idx="300">
                  <c:v>47495.249997463507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Epidemic!$E$1</c:f>
              <c:strCache>
                <c:ptCount val="1"/>
                <c:pt idx="0">
                  <c:v>died</c:v>
                </c:pt>
              </c:strCache>
            </c:strRef>
          </c:tx>
          <c:marker>
            <c:symbol val="none"/>
          </c:marker>
          <c:dLbls>
            <c:dLbl>
              <c:idx val="26"/>
              <c:layout>
                <c:manualLayout>
                  <c:x val="-6.2931637411832067E-2"/>
                  <c:y val="-3.809523809523809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Epidemic!$A$2:$A$302</c:f>
              <c:numCache>
                <c:formatCode>General</c:formatCode>
                <c:ptCount val="30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  <c:pt idx="121">
                  <c:v>605</c:v>
                </c:pt>
                <c:pt idx="122">
                  <c:v>610</c:v>
                </c:pt>
                <c:pt idx="123">
                  <c:v>615</c:v>
                </c:pt>
                <c:pt idx="124">
                  <c:v>620</c:v>
                </c:pt>
                <c:pt idx="125">
                  <c:v>625</c:v>
                </c:pt>
                <c:pt idx="126">
                  <c:v>630</c:v>
                </c:pt>
                <c:pt idx="127">
                  <c:v>635</c:v>
                </c:pt>
                <c:pt idx="128">
                  <c:v>640</c:v>
                </c:pt>
                <c:pt idx="129">
                  <c:v>645</c:v>
                </c:pt>
                <c:pt idx="130">
                  <c:v>650</c:v>
                </c:pt>
                <c:pt idx="131">
                  <c:v>655</c:v>
                </c:pt>
                <c:pt idx="132">
                  <c:v>660</c:v>
                </c:pt>
                <c:pt idx="133">
                  <c:v>665</c:v>
                </c:pt>
                <c:pt idx="134">
                  <c:v>670</c:v>
                </c:pt>
                <c:pt idx="135">
                  <c:v>675</c:v>
                </c:pt>
                <c:pt idx="136">
                  <c:v>680</c:v>
                </c:pt>
                <c:pt idx="137">
                  <c:v>685</c:v>
                </c:pt>
                <c:pt idx="138">
                  <c:v>690</c:v>
                </c:pt>
                <c:pt idx="139">
                  <c:v>695</c:v>
                </c:pt>
                <c:pt idx="140">
                  <c:v>700</c:v>
                </c:pt>
                <c:pt idx="141">
                  <c:v>705</c:v>
                </c:pt>
                <c:pt idx="142">
                  <c:v>710</c:v>
                </c:pt>
                <c:pt idx="143">
                  <c:v>715</c:v>
                </c:pt>
                <c:pt idx="144">
                  <c:v>720</c:v>
                </c:pt>
                <c:pt idx="145">
                  <c:v>725</c:v>
                </c:pt>
                <c:pt idx="146">
                  <c:v>730</c:v>
                </c:pt>
                <c:pt idx="147">
                  <c:v>735</c:v>
                </c:pt>
                <c:pt idx="148">
                  <c:v>740</c:v>
                </c:pt>
                <c:pt idx="149">
                  <c:v>745</c:v>
                </c:pt>
                <c:pt idx="150">
                  <c:v>750</c:v>
                </c:pt>
                <c:pt idx="151">
                  <c:v>755</c:v>
                </c:pt>
                <c:pt idx="152">
                  <c:v>760</c:v>
                </c:pt>
                <c:pt idx="153">
                  <c:v>765</c:v>
                </c:pt>
                <c:pt idx="154">
                  <c:v>770</c:v>
                </c:pt>
                <c:pt idx="155">
                  <c:v>775</c:v>
                </c:pt>
                <c:pt idx="156">
                  <c:v>780</c:v>
                </c:pt>
                <c:pt idx="157">
                  <c:v>785</c:v>
                </c:pt>
                <c:pt idx="158">
                  <c:v>790</c:v>
                </c:pt>
                <c:pt idx="159">
                  <c:v>795</c:v>
                </c:pt>
                <c:pt idx="160">
                  <c:v>800</c:v>
                </c:pt>
                <c:pt idx="161">
                  <c:v>805</c:v>
                </c:pt>
                <c:pt idx="162">
                  <c:v>810</c:v>
                </c:pt>
                <c:pt idx="163">
                  <c:v>815</c:v>
                </c:pt>
                <c:pt idx="164">
                  <c:v>820</c:v>
                </c:pt>
                <c:pt idx="165">
                  <c:v>825</c:v>
                </c:pt>
                <c:pt idx="166">
                  <c:v>830</c:v>
                </c:pt>
                <c:pt idx="167">
                  <c:v>835</c:v>
                </c:pt>
                <c:pt idx="168">
                  <c:v>840</c:v>
                </c:pt>
                <c:pt idx="169">
                  <c:v>845</c:v>
                </c:pt>
                <c:pt idx="170">
                  <c:v>850</c:v>
                </c:pt>
                <c:pt idx="171">
                  <c:v>855</c:v>
                </c:pt>
                <c:pt idx="172">
                  <c:v>860</c:v>
                </c:pt>
                <c:pt idx="173">
                  <c:v>865</c:v>
                </c:pt>
                <c:pt idx="174">
                  <c:v>870</c:v>
                </c:pt>
                <c:pt idx="175">
                  <c:v>875</c:v>
                </c:pt>
                <c:pt idx="176">
                  <c:v>880</c:v>
                </c:pt>
                <c:pt idx="177">
                  <c:v>885</c:v>
                </c:pt>
                <c:pt idx="178">
                  <c:v>890</c:v>
                </c:pt>
                <c:pt idx="179">
                  <c:v>895</c:v>
                </c:pt>
                <c:pt idx="180">
                  <c:v>900</c:v>
                </c:pt>
                <c:pt idx="181">
                  <c:v>905</c:v>
                </c:pt>
                <c:pt idx="182">
                  <c:v>910</c:v>
                </c:pt>
                <c:pt idx="183">
                  <c:v>915</c:v>
                </c:pt>
                <c:pt idx="184">
                  <c:v>920</c:v>
                </c:pt>
                <c:pt idx="185">
                  <c:v>925</c:v>
                </c:pt>
                <c:pt idx="186">
                  <c:v>930</c:v>
                </c:pt>
                <c:pt idx="187">
                  <c:v>935</c:v>
                </c:pt>
                <c:pt idx="188">
                  <c:v>940</c:v>
                </c:pt>
                <c:pt idx="189">
                  <c:v>945</c:v>
                </c:pt>
                <c:pt idx="190">
                  <c:v>950</c:v>
                </c:pt>
                <c:pt idx="191">
                  <c:v>955</c:v>
                </c:pt>
                <c:pt idx="192">
                  <c:v>960</c:v>
                </c:pt>
                <c:pt idx="193">
                  <c:v>965</c:v>
                </c:pt>
                <c:pt idx="194">
                  <c:v>970</c:v>
                </c:pt>
                <c:pt idx="195">
                  <c:v>975</c:v>
                </c:pt>
                <c:pt idx="196">
                  <c:v>980</c:v>
                </c:pt>
                <c:pt idx="197">
                  <c:v>985</c:v>
                </c:pt>
                <c:pt idx="198">
                  <c:v>990</c:v>
                </c:pt>
                <c:pt idx="199">
                  <c:v>995</c:v>
                </c:pt>
                <c:pt idx="200">
                  <c:v>1000</c:v>
                </c:pt>
                <c:pt idx="201">
                  <c:v>1005</c:v>
                </c:pt>
                <c:pt idx="202">
                  <c:v>1010</c:v>
                </c:pt>
                <c:pt idx="203">
                  <c:v>1015</c:v>
                </c:pt>
                <c:pt idx="204">
                  <c:v>1020</c:v>
                </c:pt>
                <c:pt idx="205">
                  <c:v>1025</c:v>
                </c:pt>
                <c:pt idx="206">
                  <c:v>1030</c:v>
                </c:pt>
                <c:pt idx="207">
                  <c:v>1035</c:v>
                </c:pt>
                <c:pt idx="208">
                  <c:v>1040</c:v>
                </c:pt>
                <c:pt idx="209">
                  <c:v>1045</c:v>
                </c:pt>
                <c:pt idx="210">
                  <c:v>1050</c:v>
                </c:pt>
                <c:pt idx="211">
                  <c:v>1055</c:v>
                </c:pt>
                <c:pt idx="212">
                  <c:v>1060</c:v>
                </c:pt>
                <c:pt idx="213">
                  <c:v>1065</c:v>
                </c:pt>
                <c:pt idx="214">
                  <c:v>1070</c:v>
                </c:pt>
                <c:pt idx="215">
                  <c:v>1075</c:v>
                </c:pt>
                <c:pt idx="216">
                  <c:v>1080</c:v>
                </c:pt>
                <c:pt idx="217">
                  <c:v>1085</c:v>
                </c:pt>
                <c:pt idx="218">
                  <c:v>1090</c:v>
                </c:pt>
                <c:pt idx="219">
                  <c:v>1095</c:v>
                </c:pt>
                <c:pt idx="220">
                  <c:v>1100</c:v>
                </c:pt>
                <c:pt idx="221">
                  <c:v>1105</c:v>
                </c:pt>
                <c:pt idx="222">
                  <c:v>1110</c:v>
                </c:pt>
                <c:pt idx="223">
                  <c:v>1115</c:v>
                </c:pt>
                <c:pt idx="224">
                  <c:v>1120</c:v>
                </c:pt>
                <c:pt idx="225">
                  <c:v>1125</c:v>
                </c:pt>
                <c:pt idx="226">
                  <c:v>1130</c:v>
                </c:pt>
                <c:pt idx="227">
                  <c:v>1135</c:v>
                </c:pt>
                <c:pt idx="228">
                  <c:v>1140</c:v>
                </c:pt>
                <c:pt idx="229">
                  <c:v>1145</c:v>
                </c:pt>
                <c:pt idx="230">
                  <c:v>1150</c:v>
                </c:pt>
                <c:pt idx="231">
                  <c:v>1155</c:v>
                </c:pt>
                <c:pt idx="232">
                  <c:v>1160</c:v>
                </c:pt>
                <c:pt idx="233">
                  <c:v>1165</c:v>
                </c:pt>
                <c:pt idx="234">
                  <c:v>1170</c:v>
                </c:pt>
                <c:pt idx="235">
                  <c:v>1175</c:v>
                </c:pt>
                <c:pt idx="236">
                  <c:v>1180</c:v>
                </c:pt>
                <c:pt idx="237">
                  <c:v>1185</c:v>
                </c:pt>
                <c:pt idx="238">
                  <c:v>1190</c:v>
                </c:pt>
                <c:pt idx="239">
                  <c:v>1195</c:v>
                </c:pt>
                <c:pt idx="240">
                  <c:v>1200</c:v>
                </c:pt>
                <c:pt idx="241">
                  <c:v>1205</c:v>
                </c:pt>
                <c:pt idx="242">
                  <c:v>1210</c:v>
                </c:pt>
                <c:pt idx="243">
                  <c:v>1215</c:v>
                </c:pt>
                <c:pt idx="244">
                  <c:v>1220</c:v>
                </c:pt>
                <c:pt idx="245">
                  <c:v>1225</c:v>
                </c:pt>
                <c:pt idx="246">
                  <c:v>1230</c:v>
                </c:pt>
                <c:pt idx="247">
                  <c:v>1235</c:v>
                </c:pt>
                <c:pt idx="248">
                  <c:v>1240</c:v>
                </c:pt>
                <c:pt idx="249">
                  <c:v>1245</c:v>
                </c:pt>
                <c:pt idx="250">
                  <c:v>1250</c:v>
                </c:pt>
                <c:pt idx="251">
                  <c:v>1255</c:v>
                </c:pt>
                <c:pt idx="252">
                  <c:v>1260</c:v>
                </c:pt>
                <c:pt idx="253">
                  <c:v>1265</c:v>
                </c:pt>
                <c:pt idx="254">
                  <c:v>1270</c:v>
                </c:pt>
                <c:pt idx="255">
                  <c:v>1275</c:v>
                </c:pt>
                <c:pt idx="256">
                  <c:v>1280</c:v>
                </c:pt>
                <c:pt idx="257">
                  <c:v>1285</c:v>
                </c:pt>
                <c:pt idx="258">
                  <c:v>1290</c:v>
                </c:pt>
                <c:pt idx="259">
                  <c:v>1295</c:v>
                </c:pt>
                <c:pt idx="260">
                  <c:v>1300</c:v>
                </c:pt>
                <c:pt idx="261">
                  <c:v>1305</c:v>
                </c:pt>
                <c:pt idx="262">
                  <c:v>1310</c:v>
                </c:pt>
                <c:pt idx="263">
                  <c:v>1315</c:v>
                </c:pt>
                <c:pt idx="264">
                  <c:v>1320</c:v>
                </c:pt>
                <c:pt idx="265">
                  <c:v>1325</c:v>
                </c:pt>
                <c:pt idx="266">
                  <c:v>1330</c:v>
                </c:pt>
                <c:pt idx="267">
                  <c:v>1335</c:v>
                </c:pt>
                <c:pt idx="268">
                  <c:v>1340</c:v>
                </c:pt>
                <c:pt idx="269">
                  <c:v>1345</c:v>
                </c:pt>
                <c:pt idx="270">
                  <c:v>1350</c:v>
                </c:pt>
                <c:pt idx="271">
                  <c:v>1355</c:v>
                </c:pt>
                <c:pt idx="272">
                  <c:v>1360</c:v>
                </c:pt>
                <c:pt idx="273">
                  <c:v>1365</c:v>
                </c:pt>
                <c:pt idx="274">
                  <c:v>1370</c:v>
                </c:pt>
                <c:pt idx="275">
                  <c:v>1375</c:v>
                </c:pt>
                <c:pt idx="276">
                  <c:v>1380</c:v>
                </c:pt>
                <c:pt idx="277">
                  <c:v>1385</c:v>
                </c:pt>
                <c:pt idx="278">
                  <c:v>1390</c:v>
                </c:pt>
                <c:pt idx="279">
                  <c:v>1395</c:v>
                </c:pt>
                <c:pt idx="280">
                  <c:v>1400</c:v>
                </c:pt>
                <c:pt idx="281">
                  <c:v>1405</c:v>
                </c:pt>
                <c:pt idx="282">
                  <c:v>1410</c:v>
                </c:pt>
                <c:pt idx="283">
                  <c:v>1415</c:v>
                </c:pt>
                <c:pt idx="284">
                  <c:v>1420</c:v>
                </c:pt>
                <c:pt idx="285">
                  <c:v>1425</c:v>
                </c:pt>
                <c:pt idx="286">
                  <c:v>1430</c:v>
                </c:pt>
                <c:pt idx="287">
                  <c:v>1435</c:v>
                </c:pt>
                <c:pt idx="288">
                  <c:v>1440</c:v>
                </c:pt>
                <c:pt idx="289">
                  <c:v>1445</c:v>
                </c:pt>
                <c:pt idx="290">
                  <c:v>1450</c:v>
                </c:pt>
                <c:pt idx="291">
                  <c:v>1455</c:v>
                </c:pt>
                <c:pt idx="292">
                  <c:v>1460</c:v>
                </c:pt>
                <c:pt idx="293">
                  <c:v>1465</c:v>
                </c:pt>
                <c:pt idx="294">
                  <c:v>1470</c:v>
                </c:pt>
                <c:pt idx="295">
                  <c:v>1475</c:v>
                </c:pt>
                <c:pt idx="296">
                  <c:v>1480</c:v>
                </c:pt>
                <c:pt idx="297">
                  <c:v>1485</c:v>
                </c:pt>
                <c:pt idx="298">
                  <c:v>1490</c:v>
                </c:pt>
                <c:pt idx="299">
                  <c:v>1495</c:v>
                </c:pt>
                <c:pt idx="300">
                  <c:v>1500</c:v>
                </c:pt>
              </c:numCache>
            </c:numRef>
          </c:xVal>
          <c:yVal>
            <c:numRef>
              <c:f>Epidemic!$E$2:$E$302</c:f>
              <c:numCache>
                <c:formatCode>0.00</c:formatCode>
                <c:ptCount val="301"/>
                <c:pt idx="0" formatCode="General">
                  <c:v>0</c:v>
                </c:pt>
                <c:pt idx="1">
                  <c:v>2.5000000000000001E-2</c:v>
                </c:pt>
                <c:pt idx="2">
                  <c:v>7.8743750000000001E-2</c:v>
                </c:pt>
                <c:pt idx="3">
                  <c:v>0.1942709807810547</c:v>
                </c:pt>
                <c:pt idx="4">
                  <c:v>0.44256880482752559</c:v>
                </c:pt>
                <c:pt idx="5">
                  <c:v>0.97604571172139953</c:v>
                </c:pt>
                <c:pt idx="6">
                  <c:v>2.1214133387603784</c:v>
                </c:pt>
                <c:pt idx="7">
                  <c:v>4.5766922653551001</c:v>
                </c:pt>
                <c:pt idx="8">
                  <c:v>9.8224887438984005</c:v>
                </c:pt>
                <c:pt idx="9">
                  <c:v>20.950699346650705</c:v>
                </c:pt>
                <c:pt idx="10">
                  <c:v>44.201122398454132</c:v>
                </c:pt>
                <c:pt idx="11">
                  <c:v>91.240158484990502</c:v>
                </c:pt>
                <c:pt idx="12">
                  <c:v>180.26526251599739</c:v>
                </c:pt>
                <c:pt idx="13">
                  <c:v>327.96943000553443</c:v>
                </c:pt>
                <c:pt idx="14">
                  <c:v>523.11935635461271</c:v>
                </c:pt>
                <c:pt idx="15">
                  <c:v>720.24823043891945</c:v>
                </c:pt>
                <c:pt idx="16">
                  <c:v>898.19073875724007</c:v>
                </c:pt>
                <c:pt idx="17">
                  <c:v>1058.3458191269451</c:v>
                </c:pt>
                <c:pt idx="18">
                  <c:v>1202.486068719136</c:v>
                </c:pt>
                <c:pt idx="19">
                  <c:v>1332.2124147867473</c:v>
                </c:pt>
                <c:pt idx="20">
                  <c:v>1448.966156772515</c:v>
                </c:pt>
                <c:pt idx="21">
                  <c:v>1554.044534212647</c:v>
                </c:pt>
                <c:pt idx="22">
                  <c:v>1648.6150775248368</c:v>
                </c:pt>
                <c:pt idx="23">
                  <c:v>1733.7285680504026</c:v>
                </c:pt>
                <c:pt idx="24">
                  <c:v>1810.3307102562178</c:v>
                </c:pt>
                <c:pt idx="25">
                  <c:v>1879.2726386203044</c:v>
                </c:pt>
                <c:pt idx="26">
                  <c:v>1941.3203743583558</c:v>
                </c:pt>
                <c:pt idx="27">
                  <c:v>1997.1633366466722</c:v>
                </c:pt>
                <c:pt idx="28">
                  <c:v>2047.4220027831777</c:v>
                </c:pt>
                <c:pt idx="29">
                  <c:v>2092.6548023559967</c:v>
                </c:pt>
                <c:pt idx="30">
                  <c:v>2133.3643220052013</c:v>
                </c:pt>
                <c:pt idx="31">
                  <c:v>2170.0028897129332</c:v>
                </c:pt>
                <c:pt idx="32">
                  <c:v>2202.9776006666993</c:v>
                </c:pt>
                <c:pt idx="33">
                  <c:v>2232.6548405374447</c:v>
                </c:pt>
                <c:pt idx="34">
                  <c:v>2259.364356430402</c:v>
                </c:pt>
                <c:pt idx="35">
                  <c:v>2283.4029207411818</c:v>
                </c:pt>
                <c:pt idx="36">
                  <c:v>2305.0376286264341</c:v>
                </c:pt>
                <c:pt idx="37">
                  <c:v>2324.508865727556</c:v>
                </c:pt>
                <c:pt idx="38">
                  <c:v>2342.0329791220934</c:v>
                </c:pt>
                <c:pt idx="39">
                  <c:v>2357.8046811800427</c:v>
                </c:pt>
                <c:pt idx="40">
                  <c:v>2371.9992130345504</c:v>
                </c:pt>
                <c:pt idx="41">
                  <c:v>2384.7742917055584</c:v>
                </c:pt>
                <c:pt idx="42">
                  <c:v>2396.2718625110965</c:v>
                </c:pt>
                <c:pt idx="43">
                  <c:v>2406.6196762374552</c:v>
                </c:pt>
                <c:pt idx="44">
                  <c:v>2415.9327085923437</c:v>
                </c:pt>
                <c:pt idx="45">
                  <c:v>2424.3144377127383</c:v>
                </c:pt>
                <c:pt idx="46">
                  <c:v>2431.8579939219471</c:v>
                </c:pt>
                <c:pt idx="47">
                  <c:v>2438.6471945109715</c:v>
                </c:pt>
                <c:pt idx="48">
                  <c:v>2444.7574750417307</c:v>
                </c:pt>
                <c:pt idx="49">
                  <c:v>2450.2567275199685</c:v>
                </c:pt>
                <c:pt idx="50">
                  <c:v>2455.2060547508659</c:v>
                </c:pt>
                <c:pt idx="51">
                  <c:v>2459.6604492590968</c:v>
                </c:pt>
                <c:pt idx="52">
                  <c:v>2463.6694043168764</c:v>
                </c:pt>
                <c:pt idx="53">
                  <c:v>2467.2774638692049</c:v>
                </c:pt>
                <c:pt idx="54">
                  <c:v>2470.5247174665888</c:v>
                </c:pt>
                <c:pt idx="55">
                  <c:v>2473.4472457044894</c:v>
                </c:pt>
                <c:pt idx="56">
                  <c:v>2476.0775211188256</c:v>
                </c:pt>
                <c:pt idx="57">
                  <c:v>2478.444768991928</c:v>
                </c:pt>
                <c:pt idx="58">
                  <c:v>2480.5752920778978</c:v>
                </c:pt>
                <c:pt idx="59">
                  <c:v>2482.4927628554287</c:v>
                </c:pt>
                <c:pt idx="60">
                  <c:v>2484.2184865553472</c:v>
                </c:pt>
                <c:pt idx="61">
                  <c:v>2485.7716378853993</c:v>
                </c:pt>
                <c:pt idx="62">
                  <c:v>2487.1694740825583</c:v>
                </c:pt>
                <c:pt idx="63">
                  <c:v>2488.4275266601012</c:v>
                </c:pt>
                <c:pt idx="64">
                  <c:v>2489.5597739799791</c:v>
                </c:pt>
                <c:pt idx="65">
                  <c:v>2490.5787965679492</c:v>
                </c:pt>
                <c:pt idx="66">
                  <c:v>2491.4959168971936</c:v>
                </c:pt>
                <c:pt idx="67">
                  <c:v>2492.3213251935776</c:v>
                </c:pt>
                <c:pt idx="68">
                  <c:v>2493.0641926603807</c:v>
                </c:pt>
                <c:pt idx="69">
                  <c:v>2493.732773380555</c:v>
                </c:pt>
                <c:pt idx="70">
                  <c:v>2494.3344960287577</c:v>
                </c:pt>
                <c:pt idx="71">
                  <c:v>2494.8760464121815</c:v>
                </c:pt>
                <c:pt idx="72">
                  <c:v>2495.3634417573003</c:v>
                </c:pt>
                <c:pt idx="73">
                  <c:v>2495.8020975679401</c:v>
                </c:pt>
                <c:pt idx="74">
                  <c:v>2496.196887797546</c:v>
                </c:pt>
                <c:pt idx="75">
                  <c:v>2496.552199004218</c:v>
                </c:pt>
                <c:pt idx="76">
                  <c:v>2496.8719790902469</c:v>
                </c:pt>
                <c:pt idx="77">
                  <c:v>2497.1597811676947</c:v>
                </c:pt>
                <c:pt idx="78">
                  <c:v>2497.4188030374171</c:v>
                </c:pt>
                <c:pt idx="79">
                  <c:v>2497.6519227201848</c:v>
                </c:pt>
                <c:pt idx="80">
                  <c:v>2497.8617304346913</c:v>
                </c:pt>
                <c:pt idx="81">
                  <c:v>2498.0505573777614</c:v>
                </c:pt>
                <c:pt idx="82">
                  <c:v>2498.220501626537</c:v>
                </c:pt>
                <c:pt idx="83">
                  <c:v>2498.3734514504467</c:v>
                </c:pt>
                <c:pt idx="84">
                  <c:v>2498.5111062919759</c:v>
                </c:pt>
                <c:pt idx="85">
                  <c:v>2498.6349956493614</c:v>
                </c:pt>
                <c:pt idx="86">
                  <c:v>2498.7464960710163</c:v>
                </c:pt>
                <c:pt idx="87">
                  <c:v>2498.8468464505136</c:v>
                </c:pt>
                <c:pt idx="88">
                  <c:v>2498.9371617920679</c:v>
                </c:pt>
                <c:pt idx="89">
                  <c:v>2499.0184455994727</c:v>
                </c:pt>
                <c:pt idx="90">
                  <c:v>2499.0916010261426</c:v>
                </c:pt>
                <c:pt idx="91">
                  <c:v>2499.1574409101504</c:v>
                </c:pt>
                <c:pt idx="92">
                  <c:v>2499.2166968057618</c:v>
                </c:pt>
                <c:pt idx="93">
                  <c:v>2499.270027111816</c:v>
                </c:pt>
                <c:pt idx="94">
                  <c:v>2499.3180243872685</c:v>
                </c:pt>
                <c:pt idx="95">
                  <c:v>2499.3612219351785</c:v>
                </c:pt>
                <c:pt idx="96">
                  <c:v>2499.4000997283006</c:v>
                </c:pt>
                <c:pt idx="97">
                  <c:v>2499.4350897421132</c:v>
                </c:pt>
                <c:pt idx="98">
                  <c:v>2499.4665807545466</c:v>
                </c:pt>
                <c:pt idx="99">
                  <c:v>2499.4949226657391</c:v>
                </c:pt>
                <c:pt idx="100">
                  <c:v>2499.5204303858141</c:v>
                </c:pt>
                <c:pt idx="101">
                  <c:v>2499.5433873338834</c:v>
                </c:pt>
                <c:pt idx="102">
                  <c:v>2499.5640485871472</c:v>
                </c:pt>
                <c:pt idx="103">
                  <c:v>2499.5826437150859</c:v>
                </c:pt>
                <c:pt idx="104">
                  <c:v>2499.5993793302318</c:v>
                </c:pt>
                <c:pt idx="105">
                  <c:v>2499.6144413838647</c:v>
                </c:pt>
                <c:pt idx="106">
                  <c:v>2499.6279972321349</c:v>
                </c:pt>
                <c:pt idx="107">
                  <c:v>2499.6401974955793</c:v>
                </c:pt>
                <c:pt idx="108">
                  <c:v>2499.65117773268</c:v>
                </c:pt>
                <c:pt idx="109">
                  <c:v>2499.6610599460714</c:v>
                </c:pt>
                <c:pt idx="110">
                  <c:v>2499.6699539381243</c:v>
                </c:pt>
                <c:pt idx="111">
                  <c:v>2499.6779585309723</c:v>
                </c:pt>
                <c:pt idx="112">
                  <c:v>2499.6851626645362</c:v>
                </c:pt>
                <c:pt idx="113">
                  <c:v>2499.6916463847442</c:v>
                </c:pt>
                <c:pt idx="114">
                  <c:v>2499.6974817329319</c:v>
                </c:pt>
                <c:pt idx="115">
                  <c:v>2499.7027335463013</c:v>
                </c:pt>
                <c:pt idx="116">
                  <c:v>2499.7074601783338</c:v>
                </c:pt>
                <c:pt idx="117">
                  <c:v>2499.7117141471635</c:v>
                </c:pt>
                <c:pt idx="118">
                  <c:v>2499.7155427191105</c:v>
                </c:pt>
                <c:pt idx="119">
                  <c:v>2499.7189884338632</c:v>
                </c:pt>
                <c:pt idx="120">
                  <c:v>2499.7220895771407</c:v>
                </c:pt>
                <c:pt idx="121">
                  <c:v>2499.7248806060907</c:v>
                </c:pt>
                <c:pt idx="122">
                  <c:v>2499.727392532146</c:v>
                </c:pt>
                <c:pt idx="123">
                  <c:v>2499.729653265596</c:v>
                </c:pt>
                <c:pt idx="124">
                  <c:v>2499.731687925701</c:v>
                </c:pt>
                <c:pt idx="125">
                  <c:v>2499.7335191197958</c:v>
                </c:pt>
                <c:pt idx="126">
                  <c:v>2499.7351671944812</c:v>
                </c:pt>
                <c:pt idx="127">
                  <c:v>2499.736650461698</c:v>
                </c:pt>
                <c:pt idx="128">
                  <c:v>2499.7379854021933</c:v>
                </c:pt>
                <c:pt idx="129">
                  <c:v>2499.7391868486393</c:v>
                </c:pt>
                <c:pt idx="130">
                  <c:v>2499.7402681504404</c:v>
                </c:pt>
                <c:pt idx="131">
                  <c:v>2499.7412413220618</c:v>
                </c:pt>
                <c:pt idx="132">
                  <c:v>2499.7421171765209</c:v>
                </c:pt>
                <c:pt idx="133">
                  <c:v>2499.7429054455342</c:v>
                </c:pt>
                <c:pt idx="134">
                  <c:v>2499.7436148876463</c:v>
                </c:pt>
                <c:pt idx="135">
                  <c:v>2499.7442533855474</c:v>
                </c:pt>
                <c:pt idx="136">
                  <c:v>2499.7448280336585</c:v>
                </c:pt>
                <c:pt idx="137">
                  <c:v>2499.7453452169584</c:v>
                </c:pt>
                <c:pt idx="138">
                  <c:v>2499.7458106819281</c:v>
                </c:pt>
                <c:pt idx="139">
                  <c:v>2499.746229600401</c:v>
                </c:pt>
                <c:pt idx="140">
                  <c:v>2499.7466066270267</c:v>
                </c:pt>
                <c:pt idx="141">
                  <c:v>2499.7469459509898</c:v>
                </c:pt>
                <c:pt idx="142">
                  <c:v>2499.7472513425564</c:v>
                </c:pt>
                <c:pt idx="143">
                  <c:v>2499.7475261949667</c:v>
                </c:pt>
                <c:pt idx="144">
                  <c:v>2499.747773562136</c:v>
                </c:pt>
                <c:pt idx="145">
                  <c:v>2499.7479961925883</c:v>
                </c:pt>
                <c:pt idx="146">
                  <c:v>2499.7481965599954</c:v>
                </c:pt>
                <c:pt idx="147">
                  <c:v>2499.7483768906618</c:v>
                </c:pt>
                <c:pt idx="148">
                  <c:v>2499.7485391882615</c:v>
                </c:pt>
                <c:pt idx="149">
                  <c:v>2499.7486852561015</c:v>
                </c:pt>
                <c:pt idx="150">
                  <c:v>2499.7488167171573</c:v>
                </c:pt>
                <c:pt idx="151">
                  <c:v>2499.7489350321075</c:v>
                </c:pt>
                <c:pt idx="152">
                  <c:v>2499.7490415155626</c:v>
                </c:pt>
                <c:pt idx="153">
                  <c:v>2499.7491373506723</c:v>
                </c:pt>
                <c:pt idx="154">
                  <c:v>2499.7492236022708</c:v>
                </c:pt>
                <c:pt idx="155">
                  <c:v>2499.7493012287096</c:v>
                </c:pt>
                <c:pt idx="156">
                  <c:v>2499.7493710925046</c:v>
                </c:pt>
                <c:pt idx="157">
                  <c:v>2499.7494339699201</c:v>
                </c:pt>
                <c:pt idx="158">
                  <c:v>2499.7494905595941</c:v>
                </c:pt>
                <c:pt idx="159">
                  <c:v>2499.7495414903005</c:v>
                </c:pt>
                <c:pt idx="160">
                  <c:v>2499.7495873279363</c:v>
                </c:pt>
                <c:pt idx="161">
                  <c:v>2499.7496285818088</c:v>
                </c:pt>
                <c:pt idx="162">
                  <c:v>2499.7496657102938</c:v>
                </c:pt>
                <c:pt idx="163">
                  <c:v>2499.7496991259304</c:v>
                </c:pt>
                <c:pt idx="164">
                  <c:v>2499.7497292000035</c:v>
                </c:pt>
                <c:pt idx="165">
                  <c:v>2499.749756266669</c:v>
                </c:pt>
                <c:pt idx="166">
                  <c:v>2499.7497806266679</c:v>
                </c:pt>
                <c:pt idx="167">
                  <c:v>2499.749802550667</c:v>
                </c:pt>
                <c:pt idx="168">
                  <c:v>2499.7498222822665</c:v>
                </c:pt>
                <c:pt idx="169">
                  <c:v>2499.7498400407057</c:v>
                </c:pt>
                <c:pt idx="170">
                  <c:v>2499.7498560233012</c:v>
                </c:pt>
                <c:pt idx="171">
                  <c:v>2499.749870407637</c:v>
                </c:pt>
                <c:pt idx="172">
                  <c:v>2499.7498833535392</c:v>
                </c:pt>
                <c:pt idx="173">
                  <c:v>2499.7498950048512</c:v>
                </c:pt>
                <c:pt idx="174">
                  <c:v>2499.7499054910322</c:v>
                </c:pt>
                <c:pt idx="175">
                  <c:v>2499.749914928595</c:v>
                </c:pt>
                <c:pt idx="176">
                  <c:v>2499.7499234224015</c:v>
                </c:pt>
                <c:pt idx="177">
                  <c:v>2499.7499310668272</c:v>
                </c:pt>
                <c:pt idx="178">
                  <c:v>2499.7499379468104</c:v>
                </c:pt>
                <c:pt idx="179">
                  <c:v>2499.7499441387954</c:v>
                </c:pt>
                <c:pt idx="180">
                  <c:v>2499.7499497115818</c:v>
                </c:pt>
                <c:pt idx="181">
                  <c:v>2499.7499547270895</c:v>
                </c:pt>
                <c:pt idx="182">
                  <c:v>2499.7499592410463</c:v>
                </c:pt>
                <c:pt idx="183">
                  <c:v>2499.7499633036077</c:v>
                </c:pt>
                <c:pt idx="184">
                  <c:v>2499.7499669599129</c:v>
                </c:pt>
                <c:pt idx="185">
                  <c:v>2499.7499702505875</c:v>
                </c:pt>
                <c:pt idx="186">
                  <c:v>2499.7499732121946</c:v>
                </c:pt>
                <c:pt idx="187">
                  <c:v>2499.7499758776412</c:v>
                </c:pt>
                <c:pt idx="188">
                  <c:v>2499.7499782765431</c:v>
                </c:pt>
                <c:pt idx="189">
                  <c:v>2499.7499804355548</c:v>
                </c:pt>
                <c:pt idx="190">
                  <c:v>2499.7499823786652</c:v>
                </c:pt>
                <c:pt idx="191">
                  <c:v>2499.7499841274648</c:v>
                </c:pt>
                <c:pt idx="192">
                  <c:v>2499.7499857013845</c:v>
                </c:pt>
                <c:pt idx="193">
                  <c:v>2499.749987117912</c:v>
                </c:pt>
                <c:pt idx="194">
                  <c:v>2499.7499883927867</c:v>
                </c:pt>
                <c:pt idx="195">
                  <c:v>2499.7499895401738</c:v>
                </c:pt>
                <c:pt idx="196">
                  <c:v>2499.7499905728223</c:v>
                </c:pt>
                <c:pt idx="197">
                  <c:v>2499.7499915022058</c:v>
                </c:pt>
                <c:pt idx="198">
                  <c:v>2499.7499923386513</c:v>
                </c:pt>
                <c:pt idx="199">
                  <c:v>2499.7499930914519</c:v>
                </c:pt>
                <c:pt idx="200">
                  <c:v>2499.7499937689727</c:v>
                </c:pt>
                <c:pt idx="201">
                  <c:v>2499.7499943787411</c:v>
                </c:pt>
                <c:pt idx="202">
                  <c:v>2499.749994927533</c:v>
                </c:pt>
                <c:pt idx="203">
                  <c:v>2499.7499954214454</c:v>
                </c:pt>
                <c:pt idx="204">
                  <c:v>2499.7499958659669</c:v>
                </c:pt>
                <c:pt idx="205">
                  <c:v>2499.7499962660363</c:v>
                </c:pt>
                <c:pt idx="206">
                  <c:v>2499.7499966260984</c:v>
                </c:pt>
                <c:pt idx="207">
                  <c:v>2499.7499969501546</c:v>
                </c:pt>
                <c:pt idx="208">
                  <c:v>2499.749997241805</c:v>
                </c:pt>
                <c:pt idx="209">
                  <c:v>2499.7499975042906</c:v>
                </c:pt>
                <c:pt idx="210">
                  <c:v>2499.7499977405273</c:v>
                </c:pt>
                <c:pt idx="211">
                  <c:v>2499.7499979531403</c:v>
                </c:pt>
                <c:pt idx="212">
                  <c:v>2499.7499981444921</c:v>
                </c:pt>
                <c:pt idx="213">
                  <c:v>2499.7499983167086</c:v>
                </c:pt>
                <c:pt idx="214">
                  <c:v>2499.7499984717037</c:v>
                </c:pt>
                <c:pt idx="215">
                  <c:v>2499.7499986111993</c:v>
                </c:pt>
                <c:pt idx="216">
                  <c:v>2499.7499987367451</c:v>
                </c:pt>
                <c:pt idx="217">
                  <c:v>2499.7499988497366</c:v>
                </c:pt>
                <c:pt idx="218">
                  <c:v>2499.749998951429</c:v>
                </c:pt>
                <c:pt idx="219">
                  <c:v>2499.7499990429519</c:v>
                </c:pt>
                <c:pt idx="220">
                  <c:v>2499.7499991253226</c:v>
                </c:pt>
                <c:pt idx="221">
                  <c:v>2499.7499991994564</c:v>
                </c:pt>
                <c:pt idx="222">
                  <c:v>2499.7499992661765</c:v>
                </c:pt>
                <c:pt idx="223">
                  <c:v>2499.7499993262245</c:v>
                </c:pt>
                <c:pt idx="224">
                  <c:v>2499.749999380268</c:v>
                </c:pt>
                <c:pt idx="225">
                  <c:v>2499.7499994289069</c:v>
                </c:pt>
                <c:pt idx="226">
                  <c:v>2499.7499994726822</c:v>
                </c:pt>
                <c:pt idx="227">
                  <c:v>2499.7499995120797</c:v>
                </c:pt>
                <c:pt idx="228">
                  <c:v>2499.7499995475378</c:v>
                </c:pt>
                <c:pt idx="229">
                  <c:v>2499.7499995794496</c:v>
                </c:pt>
                <c:pt idx="230">
                  <c:v>2499.7499996081706</c:v>
                </c:pt>
                <c:pt idx="231">
                  <c:v>2499.7499996340193</c:v>
                </c:pt>
                <c:pt idx="232">
                  <c:v>2499.7499996572833</c:v>
                </c:pt>
                <c:pt idx="233">
                  <c:v>2499.7499996782208</c:v>
                </c:pt>
                <c:pt idx="234">
                  <c:v>2499.7499996970646</c:v>
                </c:pt>
                <c:pt idx="235">
                  <c:v>2499.7499997140239</c:v>
                </c:pt>
                <c:pt idx="236">
                  <c:v>2499.7499997292875</c:v>
                </c:pt>
                <c:pt idx="237">
                  <c:v>2499.7499997430245</c:v>
                </c:pt>
                <c:pt idx="238">
                  <c:v>2499.7499997553878</c:v>
                </c:pt>
                <c:pt idx="239">
                  <c:v>2499.749999766515</c:v>
                </c:pt>
                <c:pt idx="240">
                  <c:v>2499.7499997765294</c:v>
                </c:pt>
                <c:pt idx="241">
                  <c:v>2499.7499997855425</c:v>
                </c:pt>
                <c:pt idx="242">
                  <c:v>2499.7499997936543</c:v>
                </c:pt>
                <c:pt idx="243">
                  <c:v>2499.7499998009548</c:v>
                </c:pt>
                <c:pt idx="244">
                  <c:v>2499.7499998075255</c:v>
                </c:pt>
                <c:pt idx="245">
                  <c:v>2499.749999813439</c:v>
                </c:pt>
                <c:pt idx="246">
                  <c:v>2499.7499998187609</c:v>
                </c:pt>
                <c:pt idx="247">
                  <c:v>2499.7499998235508</c:v>
                </c:pt>
                <c:pt idx="248">
                  <c:v>2499.7499998278618</c:v>
                </c:pt>
                <c:pt idx="249">
                  <c:v>2499.7499998317417</c:v>
                </c:pt>
                <c:pt idx="250">
                  <c:v>2499.7499998352337</c:v>
                </c:pt>
                <c:pt idx="251">
                  <c:v>2499.7499998383764</c:v>
                </c:pt>
                <c:pt idx="252">
                  <c:v>2499.749999841205</c:v>
                </c:pt>
                <c:pt idx="253">
                  <c:v>2499.7499998437506</c:v>
                </c:pt>
                <c:pt idx="254">
                  <c:v>2499.7499998460416</c:v>
                </c:pt>
                <c:pt idx="255">
                  <c:v>2499.7499998481035</c:v>
                </c:pt>
                <c:pt idx="256">
                  <c:v>2499.7499998499593</c:v>
                </c:pt>
                <c:pt idx="257">
                  <c:v>2499.7499998516296</c:v>
                </c:pt>
                <c:pt idx="258">
                  <c:v>2499.7499998531325</c:v>
                </c:pt>
                <c:pt idx="259">
                  <c:v>2499.7499998544854</c:v>
                </c:pt>
                <c:pt idx="260">
                  <c:v>2499.7499998557028</c:v>
                </c:pt>
                <c:pt idx="261">
                  <c:v>2499.7499998567987</c:v>
                </c:pt>
                <c:pt idx="262">
                  <c:v>2499.749999857785</c:v>
                </c:pt>
                <c:pt idx="263">
                  <c:v>2499.7499998586727</c:v>
                </c:pt>
                <c:pt idx="264">
                  <c:v>2499.7499998594717</c:v>
                </c:pt>
                <c:pt idx="265">
                  <c:v>2499.7499998601907</c:v>
                </c:pt>
                <c:pt idx="266">
                  <c:v>2499.7499998608378</c:v>
                </c:pt>
                <c:pt idx="267">
                  <c:v>2499.7499998614203</c:v>
                </c:pt>
                <c:pt idx="268">
                  <c:v>2499.7499998619446</c:v>
                </c:pt>
                <c:pt idx="269">
                  <c:v>2499.7499998624162</c:v>
                </c:pt>
                <c:pt idx="270">
                  <c:v>2499.7499998628409</c:v>
                </c:pt>
                <c:pt idx="271">
                  <c:v>2499.7499998632229</c:v>
                </c:pt>
                <c:pt idx="272">
                  <c:v>2499.7499998635667</c:v>
                </c:pt>
                <c:pt idx="273">
                  <c:v>2499.7499998638764</c:v>
                </c:pt>
                <c:pt idx="274">
                  <c:v>2499.7499998641547</c:v>
                </c:pt>
                <c:pt idx="275">
                  <c:v>2499.7499998644053</c:v>
                </c:pt>
                <c:pt idx="276">
                  <c:v>2499.7499998646308</c:v>
                </c:pt>
                <c:pt idx="277">
                  <c:v>2499.7499998648341</c:v>
                </c:pt>
                <c:pt idx="278">
                  <c:v>2499.7499998650169</c:v>
                </c:pt>
                <c:pt idx="279">
                  <c:v>2499.7499998651815</c:v>
                </c:pt>
                <c:pt idx="280">
                  <c:v>2499.7499998653298</c:v>
                </c:pt>
                <c:pt idx="281">
                  <c:v>2499.749999865463</c:v>
                </c:pt>
                <c:pt idx="282">
                  <c:v>2499.749999865583</c:v>
                </c:pt>
                <c:pt idx="283">
                  <c:v>2499.7499998656908</c:v>
                </c:pt>
                <c:pt idx="284">
                  <c:v>2499.7499998657881</c:v>
                </c:pt>
                <c:pt idx="285">
                  <c:v>2499.7499998658755</c:v>
                </c:pt>
                <c:pt idx="286">
                  <c:v>2499.7499998659541</c:v>
                </c:pt>
                <c:pt idx="287">
                  <c:v>2499.7499998660251</c:v>
                </c:pt>
                <c:pt idx="288">
                  <c:v>2499.7499998660887</c:v>
                </c:pt>
                <c:pt idx="289">
                  <c:v>2499.749999866146</c:v>
                </c:pt>
                <c:pt idx="290">
                  <c:v>2499.7499998661974</c:v>
                </c:pt>
                <c:pt idx="291">
                  <c:v>2499.7499998662438</c:v>
                </c:pt>
                <c:pt idx="292">
                  <c:v>2499.7499998662856</c:v>
                </c:pt>
                <c:pt idx="293">
                  <c:v>2499.7499998663234</c:v>
                </c:pt>
                <c:pt idx="294">
                  <c:v>2499.749999866357</c:v>
                </c:pt>
                <c:pt idx="295">
                  <c:v>2499.7499998663875</c:v>
                </c:pt>
                <c:pt idx="296">
                  <c:v>2499.7499998664148</c:v>
                </c:pt>
                <c:pt idx="297">
                  <c:v>2499.7499998664393</c:v>
                </c:pt>
                <c:pt idx="298">
                  <c:v>2499.7499998664616</c:v>
                </c:pt>
                <c:pt idx="299">
                  <c:v>2499.7499998664816</c:v>
                </c:pt>
                <c:pt idx="300">
                  <c:v>2499.7499998664998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885280"/>
        <c:axId val="316885840"/>
      </c:scatterChart>
      <c:valAx>
        <c:axId val="316885280"/>
        <c:scaling>
          <c:orientation val="minMax"/>
          <c:max val="300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6885840"/>
        <c:crosses val="autoZero"/>
        <c:crossBetween val="midCat"/>
      </c:valAx>
      <c:valAx>
        <c:axId val="316885840"/>
        <c:scaling>
          <c:orientation val="minMax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6885280"/>
        <c:crosses val="autoZero"/>
        <c:crossBetween val="midCat"/>
        <c:minorUnit val="5000"/>
      </c:valAx>
    </c:plotArea>
    <c:legend>
      <c:legendPos val="t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9</xdr:row>
      <xdr:rowOff>9525</xdr:rowOff>
    </xdr:from>
    <xdr:to>
      <xdr:col>15</xdr:col>
      <xdr:colOff>28575</xdr:colOff>
      <xdr:row>30</xdr:row>
      <xdr:rowOff>9525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140277</xdr:colOff>
      <xdr:row>1</xdr:row>
      <xdr:rowOff>53686</xdr:rowOff>
    </xdr:from>
    <xdr:to>
      <xdr:col>11</xdr:col>
      <xdr:colOff>559377</xdr:colOff>
      <xdr:row>4</xdr:row>
      <xdr:rowOff>92652</xdr:rowOff>
    </xdr:to>
    <xdr:sp macro="" textlink="">
      <xdr:nvSpPr>
        <xdr:cNvPr id="3" name="Rounded Rectangle 2"/>
        <xdr:cNvSpPr/>
      </xdr:nvSpPr>
      <xdr:spPr>
        <a:xfrm>
          <a:off x="6634595" y="244186"/>
          <a:ext cx="2228850" cy="63644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02"/>
  <sheetViews>
    <sheetView tabSelected="1" zoomScale="110" zoomScaleNormal="110" workbookViewId="0"/>
  </sheetViews>
  <sheetFormatPr defaultRowHeight="15" x14ac:dyDescent="0.25"/>
  <cols>
    <col min="1" max="1" width="9.140625" style="2"/>
    <col min="2" max="2" width="11.140625" style="2" customWidth="1"/>
    <col min="3" max="3" width="8.5703125" style="2" customWidth="1"/>
    <col min="4" max="4" width="10" style="2" customWidth="1"/>
    <col min="5" max="5" width="8.5703125" style="2" customWidth="1"/>
    <col min="6" max="6" width="9.140625" style="2"/>
    <col min="7" max="7" width="22.7109375" style="2" customWidth="1"/>
    <col min="8" max="9" width="9.140625" style="2"/>
    <col min="10" max="10" width="18" style="2" customWidth="1"/>
    <col min="11" max="14" width="9.140625" style="2"/>
    <col min="15" max="15" width="11" style="2" customWidth="1"/>
    <col min="16" max="257" width="9.140625" style="2"/>
    <col min="258" max="258" width="11.140625" style="2" bestFit="1" customWidth="1"/>
    <col min="259" max="259" width="8.5703125" style="2" bestFit="1" customWidth="1"/>
    <col min="260" max="260" width="10" style="2" bestFit="1" customWidth="1"/>
    <col min="261" max="261" width="8.5703125" style="2" bestFit="1" customWidth="1"/>
    <col min="262" max="262" width="9.140625" style="2"/>
    <col min="263" max="263" width="22.7109375" style="2" customWidth="1"/>
    <col min="264" max="265" width="9.140625" style="2"/>
    <col min="266" max="266" width="25.5703125" style="2" bestFit="1" customWidth="1"/>
    <col min="267" max="513" width="9.140625" style="2"/>
    <col min="514" max="514" width="11.140625" style="2" bestFit="1" customWidth="1"/>
    <col min="515" max="515" width="8.5703125" style="2" bestFit="1" customWidth="1"/>
    <col min="516" max="516" width="10" style="2" bestFit="1" customWidth="1"/>
    <col min="517" max="517" width="8.5703125" style="2" bestFit="1" customWidth="1"/>
    <col min="518" max="518" width="9.140625" style="2"/>
    <col min="519" max="519" width="22.7109375" style="2" customWidth="1"/>
    <col min="520" max="521" width="9.140625" style="2"/>
    <col min="522" max="522" width="25.5703125" style="2" bestFit="1" customWidth="1"/>
    <col min="523" max="769" width="9.140625" style="2"/>
    <col min="770" max="770" width="11.140625" style="2" bestFit="1" customWidth="1"/>
    <col min="771" max="771" width="8.5703125" style="2" bestFit="1" customWidth="1"/>
    <col min="772" max="772" width="10" style="2" bestFit="1" customWidth="1"/>
    <col min="773" max="773" width="8.5703125" style="2" bestFit="1" customWidth="1"/>
    <col min="774" max="774" width="9.140625" style="2"/>
    <col min="775" max="775" width="22.7109375" style="2" customWidth="1"/>
    <col min="776" max="777" width="9.140625" style="2"/>
    <col min="778" max="778" width="25.5703125" style="2" bestFit="1" customWidth="1"/>
    <col min="779" max="1025" width="9.140625" style="2"/>
    <col min="1026" max="1026" width="11.140625" style="2" bestFit="1" customWidth="1"/>
    <col min="1027" max="1027" width="8.5703125" style="2" bestFit="1" customWidth="1"/>
    <col min="1028" max="1028" width="10" style="2" bestFit="1" customWidth="1"/>
    <col min="1029" max="1029" width="8.5703125" style="2" bestFit="1" customWidth="1"/>
    <col min="1030" max="1030" width="9.140625" style="2"/>
    <col min="1031" max="1031" width="22.7109375" style="2" customWidth="1"/>
    <col min="1032" max="1033" width="9.140625" style="2"/>
    <col min="1034" max="1034" width="25.5703125" style="2" bestFit="1" customWidth="1"/>
    <col min="1035" max="1281" width="9.140625" style="2"/>
    <col min="1282" max="1282" width="11.140625" style="2" bestFit="1" customWidth="1"/>
    <col min="1283" max="1283" width="8.5703125" style="2" bestFit="1" customWidth="1"/>
    <col min="1284" max="1284" width="10" style="2" bestFit="1" customWidth="1"/>
    <col min="1285" max="1285" width="8.5703125" style="2" bestFit="1" customWidth="1"/>
    <col min="1286" max="1286" width="9.140625" style="2"/>
    <col min="1287" max="1287" width="22.7109375" style="2" customWidth="1"/>
    <col min="1288" max="1289" width="9.140625" style="2"/>
    <col min="1290" max="1290" width="25.5703125" style="2" bestFit="1" customWidth="1"/>
    <col min="1291" max="1537" width="9.140625" style="2"/>
    <col min="1538" max="1538" width="11.140625" style="2" bestFit="1" customWidth="1"/>
    <col min="1539" max="1539" width="8.5703125" style="2" bestFit="1" customWidth="1"/>
    <col min="1540" max="1540" width="10" style="2" bestFit="1" customWidth="1"/>
    <col min="1541" max="1541" width="8.5703125" style="2" bestFit="1" customWidth="1"/>
    <col min="1542" max="1542" width="9.140625" style="2"/>
    <col min="1543" max="1543" width="22.7109375" style="2" customWidth="1"/>
    <col min="1544" max="1545" width="9.140625" style="2"/>
    <col min="1546" max="1546" width="25.5703125" style="2" bestFit="1" customWidth="1"/>
    <col min="1547" max="1793" width="9.140625" style="2"/>
    <col min="1794" max="1794" width="11.140625" style="2" bestFit="1" customWidth="1"/>
    <col min="1795" max="1795" width="8.5703125" style="2" bestFit="1" customWidth="1"/>
    <col min="1796" max="1796" width="10" style="2" bestFit="1" customWidth="1"/>
    <col min="1797" max="1797" width="8.5703125" style="2" bestFit="1" customWidth="1"/>
    <col min="1798" max="1798" width="9.140625" style="2"/>
    <col min="1799" max="1799" width="22.7109375" style="2" customWidth="1"/>
    <col min="1800" max="1801" width="9.140625" style="2"/>
    <col min="1802" max="1802" width="25.5703125" style="2" bestFit="1" customWidth="1"/>
    <col min="1803" max="2049" width="9.140625" style="2"/>
    <col min="2050" max="2050" width="11.140625" style="2" bestFit="1" customWidth="1"/>
    <col min="2051" max="2051" width="8.5703125" style="2" bestFit="1" customWidth="1"/>
    <col min="2052" max="2052" width="10" style="2" bestFit="1" customWidth="1"/>
    <col min="2053" max="2053" width="8.5703125" style="2" bestFit="1" customWidth="1"/>
    <col min="2054" max="2054" width="9.140625" style="2"/>
    <col min="2055" max="2055" width="22.7109375" style="2" customWidth="1"/>
    <col min="2056" max="2057" width="9.140625" style="2"/>
    <col min="2058" max="2058" width="25.5703125" style="2" bestFit="1" customWidth="1"/>
    <col min="2059" max="2305" width="9.140625" style="2"/>
    <col min="2306" max="2306" width="11.140625" style="2" bestFit="1" customWidth="1"/>
    <col min="2307" max="2307" width="8.5703125" style="2" bestFit="1" customWidth="1"/>
    <col min="2308" max="2308" width="10" style="2" bestFit="1" customWidth="1"/>
    <col min="2309" max="2309" width="8.5703125" style="2" bestFit="1" customWidth="1"/>
    <col min="2310" max="2310" width="9.140625" style="2"/>
    <col min="2311" max="2311" width="22.7109375" style="2" customWidth="1"/>
    <col min="2312" max="2313" width="9.140625" style="2"/>
    <col min="2314" max="2314" width="25.5703125" style="2" bestFit="1" customWidth="1"/>
    <col min="2315" max="2561" width="9.140625" style="2"/>
    <col min="2562" max="2562" width="11.140625" style="2" bestFit="1" customWidth="1"/>
    <col min="2563" max="2563" width="8.5703125" style="2" bestFit="1" customWidth="1"/>
    <col min="2564" max="2564" width="10" style="2" bestFit="1" customWidth="1"/>
    <col min="2565" max="2565" width="8.5703125" style="2" bestFit="1" customWidth="1"/>
    <col min="2566" max="2566" width="9.140625" style="2"/>
    <col min="2567" max="2567" width="22.7109375" style="2" customWidth="1"/>
    <col min="2568" max="2569" width="9.140625" style="2"/>
    <col min="2570" max="2570" width="25.5703125" style="2" bestFit="1" customWidth="1"/>
    <col min="2571" max="2817" width="9.140625" style="2"/>
    <col min="2818" max="2818" width="11.140625" style="2" bestFit="1" customWidth="1"/>
    <col min="2819" max="2819" width="8.5703125" style="2" bestFit="1" customWidth="1"/>
    <col min="2820" max="2820" width="10" style="2" bestFit="1" customWidth="1"/>
    <col min="2821" max="2821" width="8.5703125" style="2" bestFit="1" customWidth="1"/>
    <col min="2822" max="2822" width="9.140625" style="2"/>
    <col min="2823" max="2823" width="22.7109375" style="2" customWidth="1"/>
    <col min="2824" max="2825" width="9.140625" style="2"/>
    <col min="2826" max="2826" width="25.5703125" style="2" bestFit="1" customWidth="1"/>
    <col min="2827" max="3073" width="9.140625" style="2"/>
    <col min="3074" max="3074" width="11.140625" style="2" bestFit="1" customWidth="1"/>
    <col min="3075" max="3075" width="8.5703125" style="2" bestFit="1" customWidth="1"/>
    <col min="3076" max="3076" width="10" style="2" bestFit="1" customWidth="1"/>
    <col min="3077" max="3077" width="8.5703125" style="2" bestFit="1" customWidth="1"/>
    <col min="3078" max="3078" width="9.140625" style="2"/>
    <col min="3079" max="3079" width="22.7109375" style="2" customWidth="1"/>
    <col min="3080" max="3081" width="9.140625" style="2"/>
    <col min="3082" max="3082" width="25.5703125" style="2" bestFit="1" customWidth="1"/>
    <col min="3083" max="3329" width="9.140625" style="2"/>
    <col min="3330" max="3330" width="11.140625" style="2" bestFit="1" customWidth="1"/>
    <col min="3331" max="3331" width="8.5703125" style="2" bestFit="1" customWidth="1"/>
    <col min="3332" max="3332" width="10" style="2" bestFit="1" customWidth="1"/>
    <col min="3333" max="3333" width="8.5703125" style="2" bestFit="1" customWidth="1"/>
    <col min="3334" max="3334" width="9.140625" style="2"/>
    <col min="3335" max="3335" width="22.7109375" style="2" customWidth="1"/>
    <col min="3336" max="3337" width="9.140625" style="2"/>
    <col min="3338" max="3338" width="25.5703125" style="2" bestFit="1" customWidth="1"/>
    <col min="3339" max="3585" width="9.140625" style="2"/>
    <col min="3586" max="3586" width="11.140625" style="2" bestFit="1" customWidth="1"/>
    <col min="3587" max="3587" width="8.5703125" style="2" bestFit="1" customWidth="1"/>
    <col min="3588" max="3588" width="10" style="2" bestFit="1" customWidth="1"/>
    <col min="3589" max="3589" width="8.5703125" style="2" bestFit="1" customWidth="1"/>
    <col min="3590" max="3590" width="9.140625" style="2"/>
    <col min="3591" max="3591" width="22.7109375" style="2" customWidth="1"/>
    <col min="3592" max="3593" width="9.140625" style="2"/>
    <col min="3594" max="3594" width="25.5703125" style="2" bestFit="1" customWidth="1"/>
    <col min="3595" max="3841" width="9.140625" style="2"/>
    <col min="3842" max="3842" width="11.140625" style="2" bestFit="1" customWidth="1"/>
    <col min="3843" max="3843" width="8.5703125" style="2" bestFit="1" customWidth="1"/>
    <col min="3844" max="3844" width="10" style="2" bestFit="1" customWidth="1"/>
    <col min="3845" max="3845" width="8.5703125" style="2" bestFit="1" customWidth="1"/>
    <col min="3846" max="3846" width="9.140625" style="2"/>
    <col min="3847" max="3847" width="22.7109375" style="2" customWidth="1"/>
    <col min="3848" max="3849" width="9.140625" style="2"/>
    <col min="3850" max="3850" width="25.5703125" style="2" bestFit="1" customWidth="1"/>
    <col min="3851" max="4097" width="9.140625" style="2"/>
    <col min="4098" max="4098" width="11.140625" style="2" bestFit="1" customWidth="1"/>
    <col min="4099" max="4099" width="8.5703125" style="2" bestFit="1" customWidth="1"/>
    <col min="4100" max="4100" width="10" style="2" bestFit="1" customWidth="1"/>
    <col min="4101" max="4101" width="8.5703125" style="2" bestFit="1" customWidth="1"/>
    <col min="4102" max="4102" width="9.140625" style="2"/>
    <col min="4103" max="4103" width="22.7109375" style="2" customWidth="1"/>
    <col min="4104" max="4105" width="9.140625" style="2"/>
    <col min="4106" max="4106" width="25.5703125" style="2" bestFit="1" customWidth="1"/>
    <col min="4107" max="4353" width="9.140625" style="2"/>
    <col min="4354" max="4354" width="11.140625" style="2" bestFit="1" customWidth="1"/>
    <col min="4355" max="4355" width="8.5703125" style="2" bestFit="1" customWidth="1"/>
    <col min="4356" max="4356" width="10" style="2" bestFit="1" customWidth="1"/>
    <col min="4357" max="4357" width="8.5703125" style="2" bestFit="1" customWidth="1"/>
    <col min="4358" max="4358" width="9.140625" style="2"/>
    <col min="4359" max="4359" width="22.7109375" style="2" customWidth="1"/>
    <col min="4360" max="4361" width="9.140625" style="2"/>
    <col min="4362" max="4362" width="25.5703125" style="2" bestFit="1" customWidth="1"/>
    <col min="4363" max="4609" width="9.140625" style="2"/>
    <col min="4610" max="4610" width="11.140625" style="2" bestFit="1" customWidth="1"/>
    <col min="4611" max="4611" width="8.5703125" style="2" bestFit="1" customWidth="1"/>
    <col min="4612" max="4612" width="10" style="2" bestFit="1" customWidth="1"/>
    <col min="4613" max="4613" width="8.5703125" style="2" bestFit="1" customWidth="1"/>
    <col min="4614" max="4614" width="9.140625" style="2"/>
    <col min="4615" max="4615" width="22.7109375" style="2" customWidth="1"/>
    <col min="4616" max="4617" width="9.140625" style="2"/>
    <col min="4618" max="4618" width="25.5703125" style="2" bestFit="1" customWidth="1"/>
    <col min="4619" max="4865" width="9.140625" style="2"/>
    <col min="4866" max="4866" width="11.140625" style="2" bestFit="1" customWidth="1"/>
    <col min="4867" max="4867" width="8.5703125" style="2" bestFit="1" customWidth="1"/>
    <col min="4868" max="4868" width="10" style="2" bestFit="1" customWidth="1"/>
    <col min="4869" max="4869" width="8.5703125" style="2" bestFit="1" customWidth="1"/>
    <col min="4870" max="4870" width="9.140625" style="2"/>
    <col min="4871" max="4871" width="22.7109375" style="2" customWidth="1"/>
    <col min="4872" max="4873" width="9.140625" style="2"/>
    <col min="4874" max="4874" width="25.5703125" style="2" bestFit="1" customWidth="1"/>
    <col min="4875" max="5121" width="9.140625" style="2"/>
    <col min="5122" max="5122" width="11.140625" style="2" bestFit="1" customWidth="1"/>
    <col min="5123" max="5123" width="8.5703125" style="2" bestFit="1" customWidth="1"/>
    <col min="5124" max="5124" width="10" style="2" bestFit="1" customWidth="1"/>
    <col min="5125" max="5125" width="8.5703125" style="2" bestFit="1" customWidth="1"/>
    <col min="5126" max="5126" width="9.140625" style="2"/>
    <col min="5127" max="5127" width="22.7109375" style="2" customWidth="1"/>
    <col min="5128" max="5129" width="9.140625" style="2"/>
    <col min="5130" max="5130" width="25.5703125" style="2" bestFit="1" customWidth="1"/>
    <col min="5131" max="5377" width="9.140625" style="2"/>
    <col min="5378" max="5378" width="11.140625" style="2" bestFit="1" customWidth="1"/>
    <col min="5379" max="5379" width="8.5703125" style="2" bestFit="1" customWidth="1"/>
    <col min="5380" max="5380" width="10" style="2" bestFit="1" customWidth="1"/>
    <col min="5381" max="5381" width="8.5703125" style="2" bestFit="1" customWidth="1"/>
    <col min="5382" max="5382" width="9.140625" style="2"/>
    <col min="5383" max="5383" width="22.7109375" style="2" customWidth="1"/>
    <col min="5384" max="5385" width="9.140625" style="2"/>
    <col min="5386" max="5386" width="25.5703125" style="2" bestFit="1" customWidth="1"/>
    <col min="5387" max="5633" width="9.140625" style="2"/>
    <col min="5634" max="5634" width="11.140625" style="2" bestFit="1" customWidth="1"/>
    <col min="5635" max="5635" width="8.5703125" style="2" bestFit="1" customWidth="1"/>
    <col min="5636" max="5636" width="10" style="2" bestFit="1" customWidth="1"/>
    <col min="5637" max="5637" width="8.5703125" style="2" bestFit="1" customWidth="1"/>
    <col min="5638" max="5638" width="9.140625" style="2"/>
    <col min="5639" max="5639" width="22.7109375" style="2" customWidth="1"/>
    <col min="5640" max="5641" width="9.140625" style="2"/>
    <col min="5642" max="5642" width="25.5703125" style="2" bestFit="1" customWidth="1"/>
    <col min="5643" max="5889" width="9.140625" style="2"/>
    <col min="5890" max="5890" width="11.140625" style="2" bestFit="1" customWidth="1"/>
    <col min="5891" max="5891" width="8.5703125" style="2" bestFit="1" customWidth="1"/>
    <col min="5892" max="5892" width="10" style="2" bestFit="1" customWidth="1"/>
    <col min="5893" max="5893" width="8.5703125" style="2" bestFit="1" customWidth="1"/>
    <col min="5894" max="5894" width="9.140625" style="2"/>
    <col min="5895" max="5895" width="22.7109375" style="2" customWidth="1"/>
    <col min="5896" max="5897" width="9.140625" style="2"/>
    <col min="5898" max="5898" width="25.5703125" style="2" bestFit="1" customWidth="1"/>
    <col min="5899" max="6145" width="9.140625" style="2"/>
    <col min="6146" max="6146" width="11.140625" style="2" bestFit="1" customWidth="1"/>
    <col min="6147" max="6147" width="8.5703125" style="2" bestFit="1" customWidth="1"/>
    <col min="6148" max="6148" width="10" style="2" bestFit="1" customWidth="1"/>
    <col min="6149" max="6149" width="8.5703125" style="2" bestFit="1" customWidth="1"/>
    <col min="6150" max="6150" width="9.140625" style="2"/>
    <col min="6151" max="6151" width="22.7109375" style="2" customWidth="1"/>
    <col min="6152" max="6153" width="9.140625" style="2"/>
    <col min="6154" max="6154" width="25.5703125" style="2" bestFit="1" customWidth="1"/>
    <col min="6155" max="6401" width="9.140625" style="2"/>
    <col min="6402" max="6402" width="11.140625" style="2" bestFit="1" customWidth="1"/>
    <col min="6403" max="6403" width="8.5703125" style="2" bestFit="1" customWidth="1"/>
    <col min="6404" max="6404" width="10" style="2" bestFit="1" customWidth="1"/>
    <col min="6405" max="6405" width="8.5703125" style="2" bestFit="1" customWidth="1"/>
    <col min="6406" max="6406" width="9.140625" style="2"/>
    <col min="6407" max="6407" width="22.7109375" style="2" customWidth="1"/>
    <col min="6408" max="6409" width="9.140625" style="2"/>
    <col min="6410" max="6410" width="25.5703125" style="2" bestFit="1" customWidth="1"/>
    <col min="6411" max="6657" width="9.140625" style="2"/>
    <col min="6658" max="6658" width="11.140625" style="2" bestFit="1" customWidth="1"/>
    <col min="6659" max="6659" width="8.5703125" style="2" bestFit="1" customWidth="1"/>
    <col min="6660" max="6660" width="10" style="2" bestFit="1" customWidth="1"/>
    <col min="6661" max="6661" width="8.5703125" style="2" bestFit="1" customWidth="1"/>
    <col min="6662" max="6662" width="9.140625" style="2"/>
    <col min="6663" max="6663" width="22.7109375" style="2" customWidth="1"/>
    <col min="6664" max="6665" width="9.140625" style="2"/>
    <col min="6666" max="6666" width="25.5703125" style="2" bestFit="1" customWidth="1"/>
    <col min="6667" max="6913" width="9.140625" style="2"/>
    <col min="6914" max="6914" width="11.140625" style="2" bestFit="1" customWidth="1"/>
    <col min="6915" max="6915" width="8.5703125" style="2" bestFit="1" customWidth="1"/>
    <col min="6916" max="6916" width="10" style="2" bestFit="1" customWidth="1"/>
    <col min="6917" max="6917" width="8.5703125" style="2" bestFit="1" customWidth="1"/>
    <col min="6918" max="6918" width="9.140625" style="2"/>
    <col min="6919" max="6919" width="22.7109375" style="2" customWidth="1"/>
    <col min="6920" max="6921" width="9.140625" style="2"/>
    <col min="6922" max="6922" width="25.5703125" style="2" bestFit="1" customWidth="1"/>
    <col min="6923" max="7169" width="9.140625" style="2"/>
    <col min="7170" max="7170" width="11.140625" style="2" bestFit="1" customWidth="1"/>
    <col min="7171" max="7171" width="8.5703125" style="2" bestFit="1" customWidth="1"/>
    <col min="7172" max="7172" width="10" style="2" bestFit="1" customWidth="1"/>
    <col min="7173" max="7173" width="8.5703125" style="2" bestFit="1" customWidth="1"/>
    <col min="7174" max="7174" width="9.140625" style="2"/>
    <col min="7175" max="7175" width="22.7109375" style="2" customWidth="1"/>
    <col min="7176" max="7177" width="9.140625" style="2"/>
    <col min="7178" max="7178" width="25.5703125" style="2" bestFit="1" customWidth="1"/>
    <col min="7179" max="7425" width="9.140625" style="2"/>
    <col min="7426" max="7426" width="11.140625" style="2" bestFit="1" customWidth="1"/>
    <col min="7427" max="7427" width="8.5703125" style="2" bestFit="1" customWidth="1"/>
    <col min="7428" max="7428" width="10" style="2" bestFit="1" customWidth="1"/>
    <col min="7429" max="7429" width="8.5703125" style="2" bestFit="1" customWidth="1"/>
    <col min="7430" max="7430" width="9.140625" style="2"/>
    <col min="7431" max="7431" width="22.7109375" style="2" customWidth="1"/>
    <col min="7432" max="7433" width="9.140625" style="2"/>
    <col min="7434" max="7434" width="25.5703125" style="2" bestFit="1" customWidth="1"/>
    <col min="7435" max="7681" width="9.140625" style="2"/>
    <col min="7682" max="7682" width="11.140625" style="2" bestFit="1" customWidth="1"/>
    <col min="7683" max="7683" width="8.5703125" style="2" bestFit="1" customWidth="1"/>
    <col min="7684" max="7684" width="10" style="2" bestFit="1" customWidth="1"/>
    <col min="7685" max="7685" width="8.5703125" style="2" bestFit="1" customWidth="1"/>
    <col min="7686" max="7686" width="9.140625" style="2"/>
    <col min="7687" max="7687" width="22.7109375" style="2" customWidth="1"/>
    <col min="7688" max="7689" width="9.140625" style="2"/>
    <col min="7690" max="7690" width="25.5703125" style="2" bestFit="1" customWidth="1"/>
    <col min="7691" max="7937" width="9.140625" style="2"/>
    <col min="7938" max="7938" width="11.140625" style="2" bestFit="1" customWidth="1"/>
    <col min="7939" max="7939" width="8.5703125" style="2" bestFit="1" customWidth="1"/>
    <col min="7940" max="7940" width="10" style="2" bestFit="1" customWidth="1"/>
    <col min="7941" max="7941" width="8.5703125" style="2" bestFit="1" customWidth="1"/>
    <col min="7942" max="7942" width="9.140625" style="2"/>
    <col min="7943" max="7943" width="22.7109375" style="2" customWidth="1"/>
    <col min="7944" max="7945" width="9.140625" style="2"/>
    <col min="7946" max="7946" width="25.5703125" style="2" bestFit="1" customWidth="1"/>
    <col min="7947" max="8193" width="9.140625" style="2"/>
    <col min="8194" max="8194" width="11.140625" style="2" bestFit="1" customWidth="1"/>
    <col min="8195" max="8195" width="8.5703125" style="2" bestFit="1" customWidth="1"/>
    <col min="8196" max="8196" width="10" style="2" bestFit="1" customWidth="1"/>
    <col min="8197" max="8197" width="8.5703125" style="2" bestFit="1" customWidth="1"/>
    <col min="8198" max="8198" width="9.140625" style="2"/>
    <col min="8199" max="8199" width="22.7109375" style="2" customWidth="1"/>
    <col min="8200" max="8201" width="9.140625" style="2"/>
    <col min="8202" max="8202" width="25.5703125" style="2" bestFit="1" customWidth="1"/>
    <col min="8203" max="8449" width="9.140625" style="2"/>
    <col min="8450" max="8450" width="11.140625" style="2" bestFit="1" customWidth="1"/>
    <col min="8451" max="8451" width="8.5703125" style="2" bestFit="1" customWidth="1"/>
    <col min="8452" max="8452" width="10" style="2" bestFit="1" customWidth="1"/>
    <col min="8453" max="8453" width="8.5703125" style="2" bestFit="1" customWidth="1"/>
    <col min="8454" max="8454" width="9.140625" style="2"/>
    <col min="8455" max="8455" width="22.7109375" style="2" customWidth="1"/>
    <col min="8456" max="8457" width="9.140625" style="2"/>
    <col min="8458" max="8458" width="25.5703125" style="2" bestFit="1" customWidth="1"/>
    <col min="8459" max="8705" width="9.140625" style="2"/>
    <col min="8706" max="8706" width="11.140625" style="2" bestFit="1" customWidth="1"/>
    <col min="8707" max="8707" width="8.5703125" style="2" bestFit="1" customWidth="1"/>
    <col min="8708" max="8708" width="10" style="2" bestFit="1" customWidth="1"/>
    <col min="8709" max="8709" width="8.5703125" style="2" bestFit="1" customWidth="1"/>
    <col min="8710" max="8710" width="9.140625" style="2"/>
    <col min="8711" max="8711" width="22.7109375" style="2" customWidth="1"/>
    <col min="8712" max="8713" width="9.140625" style="2"/>
    <col min="8714" max="8714" width="25.5703125" style="2" bestFit="1" customWidth="1"/>
    <col min="8715" max="8961" width="9.140625" style="2"/>
    <col min="8962" max="8962" width="11.140625" style="2" bestFit="1" customWidth="1"/>
    <col min="8963" max="8963" width="8.5703125" style="2" bestFit="1" customWidth="1"/>
    <col min="8964" max="8964" width="10" style="2" bestFit="1" customWidth="1"/>
    <col min="8965" max="8965" width="8.5703125" style="2" bestFit="1" customWidth="1"/>
    <col min="8966" max="8966" width="9.140625" style="2"/>
    <col min="8967" max="8967" width="22.7109375" style="2" customWidth="1"/>
    <col min="8968" max="8969" width="9.140625" style="2"/>
    <col min="8970" max="8970" width="25.5703125" style="2" bestFit="1" customWidth="1"/>
    <col min="8971" max="9217" width="9.140625" style="2"/>
    <col min="9218" max="9218" width="11.140625" style="2" bestFit="1" customWidth="1"/>
    <col min="9219" max="9219" width="8.5703125" style="2" bestFit="1" customWidth="1"/>
    <col min="9220" max="9220" width="10" style="2" bestFit="1" customWidth="1"/>
    <col min="9221" max="9221" width="8.5703125" style="2" bestFit="1" customWidth="1"/>
    <col min="9222" max="9222" width="9.140625" style="2"/>
    <col min="9223" max="9223" width="22.7109375" style="2" customWidth="1"/>
    <col min="9224" max="9225" width="9.140625" style="2"/>
    <col min="9226" max="9226" width="25.5703125" style="2" bestFit="1" customWidth="1"/>
    <col min="9227" max="9473" width="9.140625" style="2"/>
    <col min="9474" max="9474" width="11.140625" style="2" bestFit="1" customWidth="1"/>
    <col min="9475" max="9475" width="8.5703125" style="2" bestFit="1" customWidth="1"/>
    <col min="9476" max="9476" width="10" style="2" bestFit="1" customWidth="1"/>
    <col min="9477" max="9477" width="8.5703125" style="2" bestFit="1" customWidth="1"/>
    <col min="9478" max="9478" width="9.140625" style="2"/>
    <col min="9479" max="9479" width="22.7109375" style="2" customWidth="1"/>
    <col min="9480" max="9481" width="9.140625" style="2"/>
    <col min="9482" max="9482" width="25.5703125" style="2" bestFit="1" customWidth="1"/>
    <col min="9483" max="9729" width="9.140625" style="2"/>
    <col min="9730" max="9730" width="11.140625" style="2" bestFit="1" customWidth="1"/>
    <col min="9731" max="9731" width="8.5703125" style="2" bestFit="1" customWidth="1"/>
    <col min="9732" max="9732" width="10" style="2" bestFit="1" customWidth="1"/>
    <col min="9733" max="9733" width="8.5703125" style="2" bestFit="1" customWidth="1"/>
    <col min="9734" max="9734" width="9.140625" style="2"/>
    <col min="9735" max="9735" width="22.7109375" style="2" customWidth="1"/>
    <col min="9736" max="9737" width="9.140625" style="2"/>
    <col min="9738" max="9738" width="25.5703125" style="2" bestFit="1" customWidth="1"/>
    <col min="9739" max="9985" width="9.140625" style="2"/>
    <col min="9986" max="9986" width="11.140625" style="2" bestFit="1" customWidth="1"/>
    <col min="9987" max="9987" width="8.5703125" style="2" bestFit="1" customWidth="1"/>
    <col min="9988" max="9988" width="10" style="2" bestFit="1" customWidth="1"/>
    <col min="9989" max="9989" width="8.5703125" style="2" bestFit="1" customWidth="1"/>
    <col min="9990" max="9990" width="9.140625" style="2"/>
    <col min="9991" max="9991" width="22.7109375" style="2" customWidth="1"/>
    <col min="9992" max="9993" width="9.140625" style="2"/>
    <col min="9994" max="9994" width="25.5703125" style="2" bestFit="1" customWidth="1"/>
    <col min="9995" max="10241" width="9.140625" style="2"/>
    <col min="10242" max="10242" width="11.140625" style="2" bestFit="1" customWidth="1"/>
    <col min="10243" max="10243" width="8.5703125" style="2" bestFit="1" customWidth="1"/>
    <col min="10244" max="10244" width="10" style="2" bestFit="1" customWidth="1"/>
    <col min="10245" max="10245" width="8.5703125" style="2" bestFit="1" customWidth="1"/>
    <col min="10246" max="10246" width="9.140625" style="2"/>
    <col min="10247" max="10247" width="22.7109375" style="2" customWidth="1"/>
    <col min="10248" max="10249" width="9.140625" style="2"/>
    <col min="10250" max="10250" width="25.5703125" style="2" bestFit="1" customWidth="1"/>
    <col min="10251" max="10497" width="9.140625" style="2"/>
    <col min="10498" max="10498" width="11.140625" style="2" bestFit="1" customWidth="1"/>
    <col min="10499" max="10499" width="8.5703125" style="2" bestFit="1" customWidth="1"/>
    <col min="10500" max="10500" width="10" style="2" bestFit="1" customWidth="1"/>
    <col min="10501" max="10501" width="8.5703125" style="2" bestFit="1" customWidth="1"/>
    <col min="10502" max="10502" width="9.140625" style="2"/>
    <col min="10503" max="10503" width="22.7109375" style="2" customWidth="1"/>
    <col min="10504" max="10505" width="9.140625" style="2"/>
    <col min="10506" max="10506" width="25.5703125" style="2" bestFit="1" customWidth="1"/>
    <col min="10507" max="10753" width="9.140625" style="2"/>
    <col min="10754" max="10754" width="11.140625" style="2" bestFit="1" customWidth="1"/>
    <col min="10755" max="10755" width="8.5703125" style="2" bestFit="1" customWidth="1"/>
    <col min="10756" max="10756" width="10" style="2" bestFit="1" customWidth="1"/>
    <col min="10757" max="10757" width="8.5703125" style="2" bestFit="1" customWidth="1"/>
    <col min="10758" max="10758" width="9.140625" style="2"/>
    <col min="10759" max="10759" width="22.7109375" style="2" customWidth="1"/>
    <col min="10760" max="10761" width="9.140625" style="2"/>
    <col min="10762" max="10762" width="25.5703125" style="2" bestFit="1" customWidth="1"/>
    <col min="10763" max="11009" width="9.140625" style="2"/>
    <col min="11010" max="11010" width="11.140625" style="2" bestFit="1" customWidth="1"/>
    <col min="11011" max="11011" width="8.5703125" style="2" bestFit="1" customWidth="1"/>
    <col min="11012" max="11012" width="10" style="2" bestFit="1" customWidth="1"/>
    <col min="11013" max="11013" width="8.5703125" style="2" bestFit="1" customWidth="1"/>
    <col min="11014" max="11014" width="9.140625" style="2"/>
    <col min="11015" max="11015" width="22.7109375" style="2" customWidth="1"/>
    <col min="11016" max="11017" width="9.140625" style="2"/>
    <col min="11018" max="11018" width="25.5703125" style="2" bestFit="1" customWidth="1"/>
    <col min="11019" max="11265" width="9.140625" style="2"/>
    <col min="11266" max="11266" width="11.140625" style="2" bestFit="1" customWidth="1"/>
    <col min="11267" max="11267" width="8.5703125" style="2" bestFit="1" customWidth="1"/>
    <col min="11268" max="11268" width="10" style="2" bestFit="1" customWidth="1"/>
    <col min="11269" max="11269" width="8.5703125" style="2" bestFit="1" customWidth="1"/>
    <col min="11270" max="11270" width="9.140625" style="2"/>
    <col min="11271" max="11271" width="22.7109375" style="2" customWidth="1"/>
    <col min="11272" max="11273" width="9.140625" style="2"/>
    <col min="11274" max="11274" width="25.5703125" style="2" bestFit="1" customWidth="1"/>
    <col min="11275" max="11521" width="9.140625" style="2"/>
    <col min="11522" max="11522" width="11.140625" style="2" bestFit="1" customWidth="1"/>
    <col min="11523" max="11523" width="8.5703125" style="2" bestFit="1" customWidth="1"/>
    <col min="11524" max="11524" width="10" style="2" bestFit="1" customWidth="1"/>
    <col min="11525" max="11525" width="8.5703125" style="2" bestFit="1" customWidth="1"/>
    <col min="11526" max="11526" width="9.140625" style="2"/>
    <col min="11527" max="11527" width="22.7109375" style="2" customWidth="1"/>
    <col min="11528" max="11529" width="9.140625" style="2"/>
    <col min="11530" max="11530" width="25.5703125" style="2" bestFit="1" customWidth="1"/>
    <col min="11531" max="11777" width="9.140625" style="2"/>
    <col min="11778" max="11778" width="11.140625" style="2" bestFit="1" customWidth="1"/>
    <col min="11779" max="11779" width="8.5703125" style="2" bestFit="1" customWidth="1"/>
    <col min="11780" max="11780" width="10" style="2" bestFit="1" customWidth="1"/>
    <col min="11781" max="11781" width="8.5703125" style="2" bestFit="1" customWidth="1"/>
    <col min="11782" max="11782" width="9.140625" style="2"/>
    <col min="11783" max="11783" width="22.7109375" style="2" customWidth="1"/>
    <col min="11784" max="11785" width="9.140625" style="2"/>
    <col min="11786" max="11786" width="25.5703125" style="2" bestFit="1" customWidth="1"/>
    <col min="11787" max="12033" width="9.140625" style="2"/>
    <col min="12034" max="12034" width="11.140625" style="2" bestFit="1" customWidth="1"/>
    <col min="12035" max="12035" width="8.5703125" style="2" bestFit="1" customWidth="1"/>
    <col min="12036" max="12036" width="10" style="2" bestFit="1" customWidth="1"/>
    <col min="12037" max="12037" width="8.5703125" style="2" bestFit="1" customWidth="1"/>
    <col min="12038" max="12038" width="9.140625" style="2"/>
    <col min="12039" max="12039" width="22.7109375" style="2" customWidth="1"/>
    <col min="12040" max="12041" width="9.140625" style="2"/>
    <col min="12042" max="12042" width="25.5703125" style="2" bestFit="1" customWidth="1"/>
    <col min="12043" max="12289" width="9.140625" style="2"/>
    <col min="12290" max="12290" width="11.140625" style="2" bestFit="1" customWidth="1"/>
    <col min="12291" max="12291" width="8.5703125" style="2" bestFit="1" customWidth="1"/>
    <col min="12292" max="12292" width="10" style="2" bestFit="1" customWidth="1"/>
    <col min="12293" max="12293" width="8.5703125" style="2" bestFit="1" customWidth="1"/>
    <col min="12294" max="12294" width="9.140625" style="2"/>
    <col min="12295" max="12295" width="22.7109375" style="2" customWidth="1"/>
    <col min="12296" max="12297" width="9.140625" style="2"/>
    <col min="12298" max="12298" width="25.5703125" style="2" bestFit="1" customWidth="1"/>
    <col min="12299" max="12545" width="9.140625" style="2"/>
    <col min="12546" max="12546" width="11.140625" style="2" bestFit="1" customWidth="1"/>
    <col min="12547" max="12547" width="8.5703125" style="2" bestFit="1" customWidth="1"/>
    <col min="12548" max="12548" width="10" style="2" bestFit="1" customWidth="1"/>
    <col min="12549" max="12549" width="8.5703125" style="2" bestFit="1" customWidth="1"/>
    <col min="12550" max="12550" width="9.140625" style="2"/>
    <col min="12551" max="12551" width="22.7109375" style="2" customWidth="1"/>
    <col min="12552" max="12553" width="9.140625" style="2"/>
    <col min="12554" max="12554" width="25.5703125" style="2" bestFit="1" customWidth="1"/>
    <col min="12555" max="12801" width="9.140625" style="2"/>
    <col min="12802" max="12802" width="11.140625" style="2" bestFit="1" customWidth="1"/>
    <col min="12803" max="12803" width="8.5703125" style="2" bestFit="1" customWidth="1"/>
    <col min="12804" max="12804" width="10" style="2" bestFit="1" customWidth="1"/>
    <col min="12805" max="12805" width="8.5703125" style="2" bestFit="1" customWidth="1"/>
    <col min="12806" max="12806" width="9.140625" style="2"/>
    <col min="12807" max="12807" width="22.7109375" style="2" customWidth="1"/>
    <col min="12808" max="12809" width="9.140625" style="2"/>
    <col min="12810" max="12810" width="25.5703125" style="2" bestFit="1" customWidth="1"/>
    <col min="12811" max="13057" width="9.140625" style="2"/>
    <col min="13058" max="13058" width="11.140625" style="2" bestFit="1" customWidth="1"/>
    <col min="13059" max="13059" width="8.5703125" style="2" bestFit="1" customWidth="1"/>
    <col min="13060" max="13060" width="10" style="2" bestFit="1" customWidth="1"/>
    <col min="13061" max="13061" width="8.5703125" style="2" bestFit="1" customWidth="1"/>
    <col min="13062" max="13062" width="9.140625" style="2"/>
    <col min="13063" max="13063" width="22.7109375" style="2" customWidth="1"/>
    <col min="13064" max="13065" width="9.140625" style="2"/>
    <col min="13066" max="13066" width="25.5703125" style="2" bestFit="1" customWidth="1"/>
    <col min="13067" max="13313" width="9.140625" style="2"/>
    <col min="13314" max="13314" width="11.140625" style="2" bestFit="1" customWidth="1"/>
    <col min="13315" max="13315" width="8.5703125" style="2" bestFit="1" customWidth="1"/>
    <col min="13316" max="13316" width="10" style="2" bestFit="1" customWidth="1"/>
    <col min="13317" max="13317" width="8.5703125" style="2" bestFit="1" customWidth="1"/>
    <col min="13318" max="13318" width="9.140625" style="2"/>
    <col min="13319" max="13319" width="22.7109375" style="2" customWidth="1"/>
    <col min="13320" max="13321" width="9.140625" style="2"/>
    <col min="13322" max="13322" width="25.5703125" style="2" bestFit="1" customWidth="1"/>
    <col min="13323" max="13569" width="9.140625" style="2"/>
    <col min="13570" max="13570" width="11.140625" style="2" bestFit="1" customWidth="1"/>
    <col min="13571" max="13571" width="8.5703125" style="2" bestFit="1" customWidth="1"/>
    <col min="13572" max="13572" width="10" style="2" bestFit="1" customWidth="1"/>
    <col min="13573" max="13573" width="8.5703125" style="2" bestFit="1" customWidth="1"/>
    <col min="13574" max="13574" width="9.140625" style="2"/>
    <col min="13575" max="13575" width="22.7109375" style="2" customWidth="1"/>
    <col min="13576" max="13577" width="9.140625" style="2"/>
    <col min="13578" max="13578" width="25.5703125" style="2" bestFit="1" customWidth="1"/>
    <col min="13579" max="13825" width="9.140625" style="2"/>
    <col min="13826" max="13826" width="11.140625" style="2" bestFit="1" customWidth="1"/>
    <col min="13827" max="13827" width="8.5703125" style="2" bestFit="1" customWidth="1"/>
    <col min="13828" max="13828" width="10" style="2" bestFit="1" customWidth="1"/>
    <col min="13829" max="13829" width="8.5703125" style="2" bestFit="1" customWidth="1"/>
    <col min="13830" max="13830" width="9.140625" style="2"/>
    <col min="13831" max="13831" width="22.7109375" style="2" customWidth="1"/>
    <col min="13832" max="13833" width="9.140625" style="2"/>
    <col min="13834" max="13834" width="25.5703125" style="2" bestFit="1" customWidth="1"/>
    <col min="13835" max="14081" width="9.140625" style="2"/>
    <col min="14082" max="14082" width="11.140625" style="2" bestFit="1" customWidth="1"/>
    <col min="14083" max="14083" width="8.5703125" style="2" bestFit="1" customWidth="1"/>
    <col min="14084" max="14084" width="10" style="2" bestFit="1" customWidth="1"/>
    <col min="14085" max="14085" width="8.5703125" style="2" bestFit="1" customWidth="1"/>
    <col min="14086" max="14086" width="9.140625" style="2"/>
    <col min="14087" max="14087" width="22.7109375" style="2" customWidth="1"/>
    <col min="14088" max="14089" width="9.140625" style="2"/>
    <col min="14090" max="14090" width="25.5703125" style="2" bestFit="1" customWidth="1"/>
    <col min="14091" max="14337" width="9.140625" style="2"/>
    <col min="14338" max="14338" width="11.140625" style="2" bestFit="1" customWidth="1"/>
    <col min="14339" max="14339" width="8.5703125" style="2" bestFit="1" customWidth="1"/>
    <col min="14340" max="14340" width="10" style="2" bestFit="1" customWidth="1"/>
    <col min="14341" max="14341" width="8.5703125" style="2" bestFit="1" customWidth="1"/>
    <col min="14342" max="14342" width="9.140625" style="2"/>
    <col min="14343" max="14343" width="22.7109375" style="2" customWidth="1"/>
    <col min="14344" max="14345" width="9.140625" style="2"/>
    <col min="14346" max="14346" width="25.5703125" style="2" bestFit="1" customWidth="1"/>
    <col min="14347" max="14593" width="9.140625" style="2"/>
    <col min="14594" max="14594" width="11.140625" style="2" bestFit="1" customWidth="1"/>
    <col min="14595" max="14595" width="8.5703125" style="2" bestFit="1" customWidth="1"/>
    <col min="14596" max="14596" width="10" style="2" bestFit="1" customWidth="1"/>
    <col min="14597" max="14597" width="8.5703125" style="2" bestFit="1" customWidth="1"/>
    <col min="14598" max="14598" width="9.140625" style="2"/>
    <col min="14599" max="14599" width="22.7109375" style="2" customWidth="1"/>
    <col min="14600" max="14601" width="9.140625" style="2"/>
    <col min="14602" max="14602" width="25.5703125" style="2" bestFit="1" customWidth="1"/>
    <col min="14603" max="14849" width="9.140625" style="2"/>
    <col min="14850" max="14850" width="11.140625" style="2" bestFit="1" customWidth="1"/>
    <col min="14851" max="14851" width="8.5703125" style="2" bestFit="1" customWidth="1"/>
    <col min="14852" max="14852" width="10" style="2" bestFit="1" customWidth="1"/>
    <col min="14853" max="14853" width="8.5703125" style="2" bestFit="1" customWidth="1"/>
    <col min="14854" max="14854" width="9.140625" style="2"/>
    <col min="14855" max="14855" width="22.7109375" style="2" customWidth="1"/>
    <col min="14856" max="14857" width="9.140625" style="2"/>
    <col min="14858" max="14858" width="25.5703125" style="2" bestFit="1" customWidth="1"/>
    <col min="14859" max="15105" width="9.140625" style="2"/>
    <col min="15106" max="15106" width="11.140625" style="2" bestFit="1" customWidth="1"/>
    <col min="15107" max="15107" width="8.5703125" style="2" bestFit="1" customWidth="1"/>
    <col min="15108" max="15108" width="10" style="2" bestFit="1" customWidth="1"/>
    <col min="15109" max="15109" width="8.5703125" style="2" bestFit="1" customWidth="1"/>
    <col min="15110" max="15110" width="9.140625" style="2"/>
    <col min="15111" max="15111" width="22.7109375" style="2" customWidth="1"/>
    <col min="15112" max="15113" width="9.140625" style="2"/>
    <col min="15114" max="15114" width="25.5703125" style="2" bestFit="1" customWidth="1"/>
    <col min="15115" max="15361" width="9.140625" style="2"/>
    <col min="15362" max="15362" width="11.140625" style="2" bestFit="1" customWidth="1"/>
    <col min="15363" max="15363" width="8.5703125" style="2" bestFit="1" customWidth="1"/>
    <col min="15364" max="15364" width="10" style="2" bestFit="1" customWidth="1"/>
    <col min="15365" max="15365" width="8.5703125" style="2" bestFit="1" customWidth="1"/>
    <col min="15366" max="15366" width="9.140625" style="2"/>
    <col min="15367" max="15367" width="22.7109375" style="2" customWidth="1"/>
    <col min="15368" max="15369" width="9.140625" style="2"/>
    <col min="15370" max="15370" width="25.5703125" style="2" bestFit="1" customWidth="1"/>
    <col min="15371" max="15617" width="9.140625" style="2"/>
    <col min="15618" max="15618" width="11.140625" style="2" bestFit="1" customWidth="1"/>
    <col min="15619" max="15619" width="8.5703125" style="2" bestFit="1" customWidth="1"/>
    <col min="15620" max="15620" width="10" style="2" bestFit="1" customWidth="1"/>
    <col min="15621" max="15621" width="8.5703125" style="2" bestFit="1" customWidth="1"/>
    <col min="15622" max="15622" width="9.140625" style="2"/>
    <col min="15623" max="15623" width="22.7109375" style="2" customWidth="1"/>
    <col min="15624" max="15625" width="9.140625" style="2"/>
    <col min="15626" max="15626" width="25.5703125" style="2" bestFit="1" customWidth="1"/>
    <col min="15627" max="15873" width="9.140625" style="2"/>
    <col min="15874" max="15874" width="11.140625" style="2" bestFit="1" customWidth="1"/>
    <col min="15875" max="15875" width="8.5703125" style="2" bestFit="1" customWidth="1"/>
    <col min="15876" max="15876" width="10" style="2" bestFit="1" customWidth="1"/>
    <col min="15877" max="15877" width="8.5703125" style="2" bestFit="1" customWidth="1"/>
    <col min="15878" max="15878" width="9.140625" style="2"/>
    <col min="15879" max="15879" width="22.7109375" style="2" customWidth="1"/>
    <col min="15880" max="15881" width="9.140625" style="2"/>
    <col min="15882" max="15882" width="25.5703125" style="2" bestFit="1" customWidth="1"/>
    <col min="15883" max="16129" width="9.140625" style="2"/>
    <col min="16130" max="16130" width="11.140625" style="2" bestFit="1" customWidth="1"/>
    <col min="16131" max="16131" width="8.5703125" style="2" bestFit="1" customWidth="1"/>
    <col min="16132" max="16132" width="10" style="2" bestFit="1" customWidth="1"/>
    <col min="16133" max="16133" width="8.5703125" style="2" bestFit="1" customWidth="1"/>
    <col min="16134" max="16134" width="9.140625" style="2"/>
    <col min="16135" max="16135" width="22.7109375" style="2" customWidth="1"/>
    <col min="16136" max="16137" width="9.140625" style="2"/>
    <col min="16138" max="16138" width="25.5703125" style="2" bestFit="1" customWidth="1"/>
    <col min="16139" max="16384" width="9.140625" style="2"/>
  </cols>
  <sheetData>
    <row r="1" spans="1:15" x14ac:dyDescent="0.25">
      <c r="A1" s="1" t="s">
        <v>11</v>
      </c>
      <c r="B1" s="1" t="s">
        <v>10</v>
      </c>
      <c r="C1" s="1" t="s">
        <v>9</v>
      </c>
      <c r="D1" s="1" t="s">
        <v>8</v>
      </c>
      <c r="E1" s="1" t="s">
        <v>7</v>
      </c>
      <c r="G1" s="2" t="s">
        <v>6</v>
      </c>
      <c r="H1" s="3">
        <v>5</v>
      </c>
      <c r="N1" s="8" t="s">
        <v>12</v>
      </c>
      <c r="O1" s="9"/>
    </row>
    <row r="2" spans="1:15" ht="15.75" thickBot="1" x14ac:dyDescent="0.3">
      <c r="A2" s="4">
        <v>0</v>
      </c>
      <c r="B2" s="5">
        <f>H2</f>
        <v>49990</v>
      </c>
      <c r="C2" s="5">
        <f>H3</f>
        <v>5</v>
      </c>
      <c r="D2" s="4">
        <v>0</v>
      </c>
      <c r="E2" s="4">
        <v>0</v>
      </c>
      <c r="G2" s="2" t="s">
        <v>5</v>
      </c>
      <c r="H2" s="3">
        <v>49990</v>
      </c>
      <c r="N2" s="10"/>
      <c r="O2" s="11"/>
    </row>
    <row r="3" spans="1:15" ht="16.5" thickTop="1" thickBot="1" x14ac:dyDescent="0.3">
      <c r="A3" s="6">
        <f>A2+$H$1</f>
        <v>5</v>
      </c>
      <c r="B3" s="7">
        <f>B2-($H$6*B2*C2)*$H$1</f>
        <v>49983.751250000001</v>
      </c>
      <c r="C3" s="7">
        <f>C2+($H$6*B2*C2-$H$7*C2)*$H$1</f>
        <v>10.748750000000001</v>
      </c>
      <c r="D3" s="7">
        <f>D2+((1-$H$8)*$H$7*C2)*$H$1</f>
        <v>0.47499999999999998</v>
      </c>
      <c r="E3" s="7">
        <f>E2+($H$8*$H$7*C2)*$H$1</f>
        <v>2.5000000000000001E-2</v>
      </c>
      <c r="G3" s="2" t="s">
        <v>4</v>
      </c>
      <c r="H3" s="3">
        <v>5</v>
      </c>
      <c r="N3" s="12"/>
      <c r="O3" s="13"/>
    </row>
    <row r="4" spans="1:15" x14ac:dyDescent="0.25">
      <c r="A4" s="6">
        <f>A3+$H$1</f>
        <v>10</v>
      </c>
      <c r="B4" s="7">
        <f>B3-($H$6*B3*C3)*$H$1</f>
        <v>49970.319678843793</v>
      </c>
      <c r="C4" s="7">
        <f>C3+($H$6*B3*C3-$H$7*C3)*$H$1</f>
        <v>23.105446156210942</v>
      </c>
      <c r="D4" s="7">
        <f>D3+((1-$H$8)*$H$7*C3)*$H$1</f>
        <v>1.4961312499999999</v>
      </c>
      <c r="E4" s="7">
        <f>E3+($H$8*$H$7*C3)*$H$1</f>
        <v>7.8743750000000001E-2</v>
      </c>
      <c r="G4" s="2" t="s">
        <v>3</v>
      </c>
      <c r="H4" s="3">
        <v>50000</v>
      </c>
    </row>
    <row r="5" spans="1:15" x14ac:dyDescent="0.25">
      <c r="A5" s="6">
        <f>A4+$H$1</f>
        <v>15</v>
      </c>
      <c r="B5" s="7">
        <f>B4-($H$6*B4*C4)*$H$1</f>
        <v>49941.455015575091</v>
      </c>
      <c r="C5" s="7">
        <f>C4+($H$6*B4*C4-$H$7*C4)*$H$1</f>
        <v>49.659564809294181</v>
      </c>
      <c r="D5" s="7">
        <f>D4+((1-$H$8)*$H$7*C4)*$H$1</f>
        <v>3.6911486348400393</v>
      </c>
      <c r="E5" s="7">
        <f>E4+($H$8*$H$7*C4)*$H$1</f>
        <v>0.1942709807810547</v>
      </c>
    </row>
    <row r="6" spans="1:15" x14ac:dyDescent="0.25">
      <c r="A6" s="6">
        <f>A5+$H$1</f>
        <v>20</v>
      </c>
      <c r="B6" s="7">
        <f>B5-($H$6*B5*C5)*$H$1</f>
        <v>49879.45324252468</v>
      </c>
      <c r="C6" s="7">
        <f>C5+($H$6*B5*C5-$H$7*C5)*$H$1</f>
        <v>106.6953813787748</v>
      </c>
      <c r="D6" s="7">
        <f>D5+((1-$H$8)*$H$7*C5)*$H$1</f>
        <v>8.4088072917229866</v>
      </c>
      <c r="E6" s="7">
        <f>E5+($H$8*$H$7*C5)*$H$1</f>
        <v>0.44256880482752559</v>
      </c>
      <c r="G6" s="2" t="s">
        <v>2</v>
      </c>
      <c r="H6" s="3">
        <v>5.0000000000000004E-6</v>
      </c>
    </row>
    <row r="7" spans="1:15" ht="15.75" thickBot="1" x14ac:dyDescent="0.3">
      <c r="A7" s="6">
        <f>A6+$H$1</f>
        <v>25</v>
      </c>
      <c r="B7" s="7">
        <f>B6-($H$6*B6*C6)*$H$1</f>
        <v>49746.40556035778</v>
      </c>
      <c r="C7" s="7">
        <f>C6+($H$6*B6*C6-$H$7*C6)*$H$1</f>
        <v>229.07352540779573</v>
      </c>
      <c r="D7" s="7">
        <f>D6+((1-$H$8)*$H$7*C6)*$H$1</f>
        <v>18.544868522706594</v>
      </c>
      <c r="E7" s="7">
        <f>E6+($H$8*$H$7*C6)*$H$1</f>
        <v>0.97604571172139953</v>
      </c>
      <c r="G7" s="2" t="s">
        <v>1</v>
      </c>
      <c r="H7" s="3">
        <v>0.02</v>
      </c>
    </row>
    <row r="8" spans="1:15" ht="15.75" thickBot="1" x14ac:dyDescent="0.3">
      <c r="A8" s="6">
        <f>A7+$H$1</f>
        <v>30</v>
      </c>
      <c r="B8" s="7">
        <f>B7-($H$6*B7*C7)*$H$1</f>
        <v>49461.515947905849</v>
      </c>
      <c r="C8" s="7">
        <f>C7+($H$6*B7*C7-$H$7*C7)*$H$1</f>
        <v>491.05578531894434</v>
      </c>
      <c r="D8" s="7">
        <f>D7+((1-$H$8)*$H$7*C7)*$H$1</f>
        <v>40.306853436447184</v>
      </c>
      <c r="E8" s="7">
        <f>E7+($H$8*$H$7*C7)*$H$1</f>
        <v>2.1214133387603784</v>
      </c>
      <c r="G8" s="2" t="s">
        <v>0</v>
      </c>
      <c r="H8" s="3">
        <v>0.05</v>
      </c>
      <c r="J8" s="14" t="s">
        <v>13</v>
      </c>
      <c r="K8" s="15"/>
      <c r="L8" s="15"/>
      <c r="M8" s="15"/>
      <c r="N8" s="15"/>
      <c r="O8" s="16"/>
    </row>
    <row r="9" spans="1:15" x14ac:dyDescent="0.25">
      <c r="A9" s="6">
        <f>A8+$H$1</f>
        <v>35</v>
      </c>
      <c r="B9" s="7">
        <f>B8-($H$6*B8*C8)*$H$1</f>
        <v>48854.306858984237</v>
      </c>
      <c r="C9" s="7">
        <f>C8+($H$6*B8*C8-$H$7*C8)*$H$1</f>
        <v>1049.15929570866</v>
      </c>
      <c r="D9" s="7">
        <f>D8+((1-$H$8)*$H$7*C8)*$H$1</f>
        <v>86.957153041746892</v>
      </c>
      <c r="E9" s="7">
        <f>E8+($H$8*$H$7*C8)*$H$1</f>
        <v>4.5766922653551001</v>
      </c>
    </row>
    <row r="10" spans="1:15" x14ac:dyDescent="0.25">
      <c r="A10" s="6">
        <f>A9+$H$1</f>
        <v>40</v>
      </c>
      <c r="B10" s="7">
        <f>B9-($H$6*B9*C9)*$H$1</f>
        <v>47572.908104571572</v>
      </c>
      <c r="C10" s="7">
        <f>C9+($H$6*B9*C9-$H$7*C9)*$H$1</f>
        <v>2225.6421205504607</v>
      </c>
      <c r="D10" s="7">
        <f>D9+((1-$H$8)*$H$7*C9)*$H$1</f>
        <v>186.62728613406961</v>
      </c>
      <c r="E10" s="7">
        <f>E9+($H$8*$H$7*C9)*$H$1</f>
        <v>9.8224887438984005</v>
      </c>
    </row>
    <row r="11" spans="1:15" x14ac:dyDescent="0.25">
      <c r="A11" s="6">
        <f>A10+$H$1</f>
        <v>45</v>
      </c>
      <c r="B11" s="7">
        <f>B10-($H$6*B10*C10)*$H$1</f>
        <v>44925.901402706302</v>
      </c>
      <c r="C11" s="7">
        <f>C10+($H$6*B10*C10-$H$7*C10)*$H$1</f>
        <v>4650.0846103606864</v>
      </c>
      <c r="D11" s="7">
        <f>D10+((1-$H$8)*$H$7*C10)*$H$1</f>
        <v>398.0632875863634</v>
      </c>
      <c r="E11" s="7">
        <f>E10+($H$8*$H$7*C10)*$H$1</f>
        <v>20.950699346650705</v>
      </c>
    </row>
    <row r="12" spans="1:15" x14ac:dyDescent="0.25">
      <c r="A12" s="6">
        <f>A11+$H$1</f>
        <v>50</v>
      </c>
      <c r="B12" s="7">
        <f>B11-($H$6*B11*C11)*$H$1</f>
        <v>39703.170334723647</v>
      </c>
      <c r="C12" s="7">
        <f>C11+($H$6*B11*C11-$H$7*C11)*$H$1</f>
        <v>9407.8072173072724</v>
      </c>
      <c r="D12" s="7">
        <f>D11+((1-$H$8)*$H$7*C11)*$H$1</f>
        <v>839.82132557062869</v>
      </c>
      <c r="E12" s="7">
        <f>E11+($H$8*$H$7*C11)*$H$1</f>
        <v>44.201122398454132</v>
      </c>
    </row>
    <row r="13" spans="1:15" x14ac:dyDescent="0.25">
      <c r="A13" s="6">
        <f>A12+$H$1</f>
        <v>55</v>
      </c>
      <c r="B13" s="7">
        <f>B12-($H$6*B12*C12)*$H$1</f>
        <v>30365.176024098815</v>
      </c>
      <c r="C13" s="7">
        <f>C12+($H$6*B12*C12-$H$7*C12)*$H$1</f>
        <v>17805.020806201377</v>
      </c>
      <c r="D13" s="7">
        <f>D12+((1-$H$8)*$H$7*C12)*$H$1</f>
        <v>1733.5630112148194</v>
      </c>
      <c r="E13" s="7">
        <f>E12+($H$8*$H$7*C12)*$H$1</f>
        <v>91.240158484990502</v>
      </c>
    </row>
    <row r="14" spans="1:15" x14ac:dyDescent="0.25">
      <c r="A14" s="6">
        <f>A13+$H$1</f>
        <v>60</v>
      </c>
      <c r="B14" s="7">
        <f>B13-($H$6*B13*C13)*$H$1</f>
        <v>16848.861251772651</v>
      </c>
      <c r="C14" s="7">
        <f>C13+($H$6*B13*C13-$H$7*C13)*$H$1</f>
        <v>29540.833497907406</v>
      </c>
      <c r="D14" s="7">
        <f>D13+((1-$H$8)*$H$7*C13)*$H$1</f>
        <v>3425.0399878039502</v>
      </c>
      <c r="E14" s="7">
        <f>E13+($H$8*$H$7*C13)*$H$1</f>
        <v>180.26526251599739</v>
      </c>
    </row>
    <row r="15" spans="1:15" x14ac:dyDescent="0.25">
      <c r="A15" s="6">
        <f>A14+$H$1</f>
        <v>65</v>
      </c>
      <c r="B15" s="7">
        <f>B14-($H$6*B14*C14)*$H$1</f>
        <v>4405.6261300736605</v>
      </c>
      <c r="C15" s="7">
        <f>C14+($H$6*B14*C14-$H$7*C14)*$H$1</f>
        <v>39029.985269815654</v>
      </c>
      <c r="D15" s="7">
        <f>D14+((1-$H$8)*$H$7*C14)*$H$1</f>
        <v>6231.4191701051532</v>
      </c>
      <c r="E15" s="7">
        <f>E14+($H$8*$H$7*C14)*$H$1</f>
        <v>327.96943000553443</v>
      </c>
    </row>
    <row r="16" spans="1:15" x14ac:dyDescent="0.25">
      <c r="A16" s="6">
        <f>A15+$H$1</f>
        <v>70</v>
      </c>
      <c r="B16" s="7">
        <f>B15-($H$6*B15*C15)*$H$1</f>
        <v>106.83805604641202</v>
      </c>
      <c r="C16" s="7">
        <f>C15+($H$6*B15*C15-$H$7*C15)*$H$1</f>
        <v>39425.77481686134</v>
      </c>
      <c r="D16" s="7">
        <f>D15+((1-$H$8)*$H$7*C15)*$H$1</f>
        <v>9939.2677707376406</v>
      </c>
      <c r="E16" s="7">
        <f>E15+($H$8*$H$7*C15)*$H$1</f>
        <v>523.11935635461271</v>
      </c>
    </row>
    <row r="17" spans="1:5" x14ac:dyDescent="0.25">
      <c r="A17" s="6">
        <f>A16+$H$1</f>
        <v>75</v>
      </c>
      <c r="B17" s="7">
        <f>B16-($H$6*B16*C16)*$H$1</f>
        <v>1.533727557485733</v>
      </c>
      <c r="C17" s="7">
        <f>C16+($H$6*B16*C16-$H$7*C16)*$H$1</f>
        <v>35588.50166366413</v>
      </c>
      <c r="D17" s="7">
        <f>D16+((1-$H$8)*$H$7*C16)*$H$1</f>
        <v>13684.716378339468</v>
      </c>
      <c r="E17" s="7">
        <f>E16+($H$8*$H$7*C16)*$H$1</f>
        <v>720.24823043891945</v>
      </c>
    </row>
    <row r="18" spans="1:5" x14ac:dyDescent="0.25">
      <c r="A18" s="6">
        <f>A17+$H$1</f>
        <v>80</v>
      </c>
      <c r="B18" s="7">
        <f>B17-($H$6*B17*C17)*$H$1</f>
        <v>0.16915091420601946</v>
      </c>
      <c r="C18" s="7">
        <f>C17+($H$6*B17*C17-$H$7*C17)*$H$1</f>
        <v>32031.016073940998</v>
      </c>
      <c r="D18" s="7">
        <f>D17+((1-$H$8)*$H$7*C17)*$H$1</f>
        <v>17065.624036387562</v>
      </c>
      <c r="E18" s="7">
        <f>E17+($H$8*$H$7*C17)*$H$1</f>
        <v>898.19073875724007</v>
      </c>
    </row>
    <row r="19" spans="1:5" x14ac:dyDescent="0.25">
      <c r="A19" s="6">
        <f>A18+$H$1</f>
        <v>85</v>
      </c>
      <c r="B19" s="7">
        <f>B18-($H$6*B18*C18)*$H$1</f>
        <v>3.3699022909648851E-2</v>
      </c>
      <c r="C19" s="7">
        <f>C18+($H$6*B18*C18-$H$7*C18)*$H$1</f>
        <v>28828.049918438195</v>
      </c>
      <c r="D19" s="7">
        <f>D18+((1-$H$8)*$H$7*C18)*$H$1</f>
        <v>20108.570563411959</v>
      </c>
      <c r="E19" s="7">
        <f>E18+($H$8*$H$7*C18)*$H$1</f>
        <v>1058.3458191269451</v>
      </c>
    </row>
    <row r="20" spans="1:5" x14ac:dyDescent="0.25">
      <c r="A20" s="6">
        <f>A19+$H$1</f>
        <v>90</v>
      </c>
      <c r="B20" s="7">
        <f>B19-($H$6*B19*C19)*$H$1</f>
        <v>9.4120950436001119E-3</v>
      </c>
      <c r="C20" s="7">
        <f>C19+($H$6*B19*C19-$H$7*C19)*$H$1</f>
        <v>25945.269213522242</v>
      </c>
      <c r="D20" s="7">
        <f>D19+((1-$H$8)*$H$7*C19)*$H$1</f>
        <v>22847.235305663587</v>
      </c>
      <c r="E20" s="7">
        <f>E19+($H$8*$H$7*C19)*$H$1</f>
        <v>1202.486068719136</v>
      </c>
    </row>
    <row r="21" spans="1:5" x14ac:dyDescent="0.25">
      <c r="A21" s="6">
        <f>A20+$H$1</f>
        <v>95</v>
      </c>
      <c r="B21" s="7">
        <f>B20-($H$6*B20*C20)*$H$1</f>
        <v>3.3071115493635301E-3</v>
      </c>
      <c r="C21" s="7">
        <f>C20+($H$6*B20*C20-$H$7*C20)*$H$1</f>
        <v>23350.748397153511</v>
      </c>
      <c r="D21" s="7">
        <f>D20+((1-$H$8)*$H$7*C20)*$H$1</f>
        <v>25312.035880948199</v>
      </c>
      <c r="E21" s="7">
        <f>E20+($H$8*$H$7*C20)*$H$1</f>
        <v>1332.2124147867473</v>
      </c>
    </row>
    <row r="22" spans="1:5" x14ac:dyDescent="0.25">
      <c r="A22" s="6">
        <f>A21+$H$1</f>
        <v>100</v>
      </c>
      <c r="B22" s="7">
        <f>B21-($H$6*B21*C21)*$H$1</f>
        <v>1.3765233066008221E-3</v>
      </c>
      <c r="C22" s="7">
        <f>C21+($H$6*B21*C21-$H$7*C21)*$H$1</f>
        <v>21015.675488026402</v>
      </c>
      <c r="D22" s="7">
        <f>D21+((1-$H$8)*$H$7*C21)*$H$1</f>
        <v>27530.356978677781</v>
      </c>
      <c r="E22" s="7">
        <f>E21+($H$8*$H$7*C21)*$H$1</f>
        <v>1448.966156772515</v>
      </c>
    </row>
    <row r="23" spans="1:5" x14ac:dyDescent="0.25">
      <c r="A23" s="6">
        <f>A22+$H$1</f>
        <v>105</v>
      </c>
      <c r="B23" s="7">
        <f>B22-($H$6*B22*C22)*$H$1</f>
        <v>6.5330912877012328E-4</v>
      </c>
      <c r="C23" s="7">
        <f>C22+($H$6*B22*C22-$H$7*C22)*$H$1</f>
        <v>18914.108662437939</v>
      </c>
      <c r="D23" s="7">
        <f>D22+((1-$H$8)*$H$7*C22)*$H$1</f>
        <v>29526.846150040288</v>
      </c>
      <c r="E23" s="7">
        <f>E22+($H$8*$H$7*C22)*$H$1</f>
        <v>1554.044534212647</v>
      </c>
    </row>
    <row r="24" spans="1:5" x14ac:dyDescent="0.25">
      <c r="A24" s="6">
        <f>A23+$H$1</f>
        <v>110</v>
      </c>
      <c r="B24" s="7">
        <f>B23-($H$6*B23*C23)*$H$1</f>
        <v>3.4439013247710391E-4</v>
      </c>
      <c r="C24" s="7">
        <f>C23+($H$6*B23*C23-$H$7*C23)*$H$1</f>
        <v>17022.698105113141</v>
      </c>
      <c r="D24" s="7">
        <f>D23+((1-$H$8)*$H$7*C23)*$H$1</f>
        <v>31323.686472971891</v>
      </c>
      <c r="E24" s="7">
        <f>E23+($H$8*$H$7*C23)*$H$1</f>
        <v>1648.6150775248368</v>
      </c>
    </row>
    <row r="25" spans="1:5" x14ac:dyDescent="0.25">
      <c r="A25" s="6">
        <f>A24+$H$1</f>
        <v>115</v>
      </c>
      <c r="B25" s="7">
        <f>B24-($H$6*B24*C24)*$H$1</f>
        <v>1.9782890108866239E-4</v>
      </c>
      <c r="C25" s="7">
        <f>C24+($H$6*B24*C24-$H$7*C24)*$H$1</f>
        <v>15320.428441163058</v>
      </c>
      <c r="D25" s="7">
        <f>D24+((1-$H$8)*$H$7*C24)*$H$1</f>
        <v>32940.842792957643</v>
      </c>
      <c r="E25" s="7">
        <f>E24+($H$8*$H$7*C24)*$H$1</f>
        <v>1733.7285680504026</v>
      </c>
    </row>
    <row r="26" spans="1:5" x14ac:dyDescent="0.25">
      <c r="A26" s="6">
        <f>A25+$H$1</f>
        <v>120</v>
      </c>
      <c r="B26" s="7">
        <f>B25-($H$6*B25*C25)*$H$1</f>
        <v>1.2205831302059297E-4</v>
      </c>
      <c r="C26" s="7">
        <f>C25+($H$6*B25*C25-$H$7*C25)*$H$1</f>
        <v>13788.38567281734</v>
      </c>
      <c r="D26" s="7">
        <f>D25+((1-$H$8)*$H$7*C25)*$H$1</f>
        <v>34396.283494868134</v>
      </c>
      <c r="E26" s="7">
        <f>E25+($H$8*$H$7*C25)*$H$1</f>
        <v>1810.3307102562178</v>
      </c>
    </row>
    <row r="27" spans="1:5" x14ac:dyDescent="0.25">
      <c r="A27" s="6">
        <f>A26+$H$1</f>
        <v>125</v>
      </c>
      <c r="B27" s="7">
        <f>B26-($H$6*B26*C26)*$H$1</f>
        <v>7.9983635658058006E-5</v>
      </c>
      <c r="C27" s="7">
        <f>C26+($H$6*B26*C26-$H$7*C26)*$H$1</f>
        <v>12409.547147610283</v>
      </c>
      <c r="D27" s="7">
        <f>D26+((1-$H$8)*$H$7*C26)*$H$1</f>
        <v>35706.180133785783</v>
      </c>
      <c r="E27" s="7">
        <f>E26+($H$8*$H$7*C26)*$H$1</f>
        <v>1879.2726386203044</v>
      </c>
    </row>
    <row r="28" spans="1:5" x14ac:dyDescent="0.25">
      <c r="A28" s="6">
        <f>A27+$H$1</f>
        <v>130</v>
      </c>
      <c r="B28" s="7">
        <f>B27-($H$6*B27*C27)*$H$1</f>
        <v>5.5169618214659159E-5</v>
      </c>
      <c r="C28" s="7">
        <f>C27+($H$6*B27*C27-$H$7*C27)*$H$1</f>
        <v>11168.592457663271</v>
      </c>
      <c r="D28" s="7">
        <f>D27+((1-$H$8)*$H$7*C27)*$H$1</f>
        <v>36885.08711280876</v>
      </c>
      <c r="E28" s="7">
        <f>E27+($H$8*$H$7*C27)*$H$1</f>
        <v>1941.3203743583558</v>
      </c>
    </row>
    <row r="29" spans="1:5" x14ac:dyDescent="0.25">
      <c r="A29" s="6">
        <f>A28+$H$1</f>
        <v>135</v>
      </c>
      <c r="B29" s="7">
        <f>B28-($H$6*B28*C28)*$H$1</f>
        <v>3.9765443667549046E-5</v>
      </c>
      <c r="C29" s="7">
        <f>C28+($H$6*B28*C28-$H$7*C28)*$H$1</f>
        <v>10051.73322730112</v>
      </c>
      <c r="D29" s="7">
        <f>D28+((1-$H$8)*$H$7*C28)*$H$1</f>
        <v>37946.103396286773</v>
      </c>
      <c r="E29" s="7">
        <f>E28+($H$8*$H$7*C28)*$H$1</f>
        <v>1997.1633366466722</v>
      </c>
    </row>
    <row r="30" spans="1:5" x14ac:dyDescent="0.25">
      <c r="A30" s="6">
        <f>A29+$H$1</f>
        <v>140</v>
      </c>
      <c r="B30" s="7">
        <f>B29-($H$6*B29*C29)*$H$1</f>
        <v>2.9772652882262205E-5</v>
      </c>
      <c r="C30" s="7">
        <f>C29+($H$6*B29*C29-$H$7*C29)*$H$1</f>
        <v>9046.5599145637989</v>
      </c>
      <c r="D30" s="7">
        <f>D29+((1-$H$8)*$H$7*C29)*$H$1</f>
        <v>38901.018052880383</v>
      </c>
      <c r="E30" s="7">
        <f>E29+($H$8*$H$7*C29)*$H$1</f>
        <v>2047.4220027831777</v>
      </c>
    </row>
    <row r="31" spans="1:5" x14ac:dyDescent="0.25">
      <c r="A31" s="6">
        <f>A30+$H$1</f>
        <v>145</v>
      </c>
      <c r="B31" s="7">
        <f>B30-($H$6*B30*C30)*$H$1</f>
        <v>2.3039150679389814E-5</v>
      </c>
      <c r="C31" s="7">
        <f>C30+($H$6*B30*C30-$H$7*C30)*$H$1</f>
        <v>8141.9039298409207</v>
      </c>
      <c r="D31" s="7">
        <f>D30+((1-$H$8)*$H$7*C30)*$H$1</f>
        <v>39760.441244763941</v>
      </c>
      <c r="E31" s="7">
        <f>E30+($H$8*$H$7*C30)*$H$1</f>
        <v>2092.6548023559967</v>
      </c>
    </row>
    <row r="32" spans="1:5" x14ac:dyDescent="0.25">
      <c r="A32" s="6">
        <f>A31+$H$1</f>
        <v>150</v>
      </c>
      <c r="B32" s="7">
        <f>B31-($H$6*B31*C31)*$H$1</f>
        <v>1.8349586892971786E-5</v>
      </c>
      <c r="C32" s="7">
        <f>C31+($H$6*B31*C31-$H$7*C31)*$H$1</f>
        <v>7327.7135415463927</v>
      </c>
      <c r="D32" s="7">
        <f>D31+((1-$H$8)*$H$7*C31)*$H$1</f>
        <v>40533.922118098832</v>
      </c>
      <c r="E32" s="7">
        <f>E31+($H$8*$H$7*C31)*$H$1</f>
        <v>2133.3643220052013</v>
      </c>
    </row>
    <row r="33" spans="1:5" x14ac:dyDescent="0.25">
      <c r="A33" s="6">
        <f>A32+$H$1</f>
        <v>155</v>
      </c>
      <c r="B33" s="7">
        <f>B32-($H$6*B32*C32)*$H$1</f>
        <v>1.4988073984036497E-5</v>
      </c>
      <c r="C33" s="7">
        <f>C32+($H$6*B32*C32-$H$7*C32)*$H$1</f>
        <v>6594.942190753266</v>
      </c>
      <c r="D33" s="7">
        <f>D32+((1-$H$8)*$H$7*C32)*$H$1</f>
        <v>41230.054904545737</v>
      </c>
      <c r="E33" s="7">
        <f>E32+($H$8*$H$7*C32)*$H$1</f>
        <v>2170.0028897129332</v>
      </c>
    </row>
    <row r="34" spans="1:5" x14ac:dyDescent="0.25">
      <c r="A34" s="6">
        <f>A33+$H$1</f>
        <v>160</v>
      </c>
      <c r="B34" s="7">
        <f>B33-($H$6*B33*C33)*$H$1</f>
        <v>1.2516936947150155E-5</v>
      </c>
      <c r="C34" s="7">
        <f>C33+($H$6*B33*C33-$H$7*C33)*$H$1</f>
        <v>5935.4479741490759</v>
      </c>
      <c r="D34" s="7">
        <f>D33+((1-$H$8)*$H$7*C33)*$H$1</f>
        <v>41856.574412667294</v>
      </c>
      <c r="E34" s="7">
        <f>E33+($H$8*$H$7*C33)*$H$1</f>
        <v>2202.9776006666993</v>
      </c>
    </row>
    <row r="35" spans="1:5" x14ac:dyDescent="0.25">
      <c r="A35" s="6">
        <f>A34+$H$1</f>
        <v>165</v>
      </c>
      <c r="B35" s="7">
        <f>B34-($H$6*B34*C34)*$H$1</f>
        <v>1.0659596246012301E-5</v>
      </c>
      <c r="C35" s="7">
        <f>C34+($H$6*B34*C34-$H$7*C34)*$H$1</f>
        <v>5341.9031785915085</v>
      </c>
      <c r="D35" s="7">
        <f>D34+((1-$H$8)*$H$7*C34)*$H$1</f>
        <v>42420.441970211454</v>
      </c>
      <c r="E35" s="7">
        <f>E34+($H$8*$H$7*C34)*$H$1</f>
        <v>2232.6548405374447</v>
      </c>
    </row>
    <row r="36" spans="1:5" x14ac:dyDescent="0.25">
      <c r="A36" s="6">
        <f>A35+$H$1</f>
        <v>170</v>
      </c>
      <c r="B36" s="7">
        <f>B35-($H$6*B35*C35)*$H$1</f>
        <v>9.2360329692854211E-6</v>
      </c>
      <c r="C36" s="7">
        <f>C35+($H$6*B35*C35-$H$7*C35)*$H$1</f>
        <v>4807.7128621559204</v>
      </c>
      <c r="D36" s="7">
        <f>D35+((1-$H$8)*$H$7*C35)*$H$1</f>
        <v>42927.922772177648</v>
      </c>
      <c r="E36" s="7">
        <f>E35+($H$8*$H$7*C35)*$H$1</f>
        <v>2259.364356430402</v>
      </c>
    </row>
    <row r="37" spans="1:5" x14ac:dyDescent="0.25">
      <c r="A37" s="6">
        <f>A36+$H$1</f>
        <v>175</v>
      </c>
      <c r="B37" s="7">
        <f>B36-($H$6*B36*C36)*$H$1</f>
        <v>8.1259281067421801E-6</v>
      </c>
      <c r="C37" s="7">
        <f>C36+($H$6*B36*C36-$H$7*C36)*$H$1</f>
        <v>4326.9415770504329</v>
      </c>
      <c r="D37" s="7">
        <f>D36+((1-$H$8)*$H$7*C36)*$H$1</f>
        <v>43384.655494082457</v>
      </c>
      <c r="E37" s="7">
        <f>E36+($H$8*$H$7*C36)*$H$1</f>
        <v>2283.4029207411818</v>
      </c>
    </row>
    <row r="38" spans="1:5" x14ac:dyDescent="0.25">
      <c r="A38" s="6">
        <f>A37+$H$1</f>
        <v>180</v>
      </c>
      <c r="B38" s="7">
        <f>B37-($H$6*B37*C37)*$H$1</f>
        <v>7.2469177023125442E-6</v>
      </c>
      <c r="C38" s="7">
        <f>C37+($H$6*B37*C37-$H$7*C37)*$H$1</f>
        <v>3894.2474202244002</v>
      </c>
      <c r="D38" s="7">
        <f>D37+((1-$H$8)*$H$7*C37)*$H$1</f>
        <v>43795.714943902247</v>
      </c>
      <c r="E38" s="7">
        <f>E37+($H$8*$H$7*C37)*$H$1</f>
        <v>2305.0376286264341</v>
      </c>
    </row>
    <row r="39" spans="1:5" x14ac:dyDescent="0.25">
      <c r="A39" s="6">
        <f>A38+$H$1</f>
        <v>185</v>
      </c>
      <c r="B39" s="7">
        <f>B38-($H$6*B38*C38)*$H$1</f>
        <v>6.5413854381423156E-6</v>
      </c>
      <c r="C39" s="7">
        <f>C38+($H$6*B38*C38-$H$7*C38)*$H$1</f>
        <v>3504.8226789074924</v>
      </c>
      <c r="D39" s="7">
        <f>D38+((1-$H$8)*$H$7*C38)*$H$1</f>
        <v>44165.668448823562</v>
      </c>
      <c r="E39" s="7">
        <f>E38+($H$8*$H$7*C38)*$H$1</f>
        <v>2324.508865727556</v>
      </c>
    </row>
    <row r="40" spans="1:5" x14ac:dyDescent="0.25">
      <c r="A40" s="6">
        <f>A39+$H$1</f>
        <v>190</v>
      </c>
      <c r="B40" s="7">
        <f>B39-($H$6*B39*C39)*$H$1</f>
        <v>5.9682255372654056E-6</v>
      </c>
      <c r="C40" s="7">
        <f>C39+($H$6*B39*C39-$H$7*C39)*$H$1</f>
        <v>3154.3404115899029</v>
      </c>
      <c r="D40" s="7">
        <f>D39+((1-$H$8)*$H$7*C39)*$H$1</f>
        <v>44498.626603319775</v>
      </c>
      <c r="E40" s="7">
        <f>E39+($H$8*$H$7*C39)*$H$1</f>
        <v>2342.0329791220934</v>
      </c>
    </row>
    <row r="41" spans="1:5" x14ac:dyDescent="0.25">
      <c r="A41" s="6">
        <f>A40+$H$1</f>
        <v>195</v>
      </c>
      <c r="B41" s="7">
        <f>B40-($H$6*B40*C40)*$H$1</f>
        <v>5.4975801623234272E-6</v>
      </c>
      <c r="C41" s="7">
        <f>C40+($H$6*B40*C40-$H$7*C40)*$H$1</f>
        <v>2838.9063709015581</v>
      </c>
      <c r="D41" s="7">
        <f>D40+((1-$H$8)*$H$7*C40)*$H$1</f>
        <v>44798.288942420819</v>
      </c>
      <c r="E41" s="7">
        <f>E40+($H$8*$H$7*C40)*$H$1</f>
        <v>2357.8046811800427</v>
      </c>
    </row>
    <row r="42" spans="1:5" x14ac:dyDescent="0.25">
      <c r="A42" s="6">
        <f>A41+$H$1</f>
        <v>200</v>
      </c>
      <c r="B42" s="7">
        <f>B41-($H$6*B41*C41)*$H$1</f>
        <v>5.1074022786393773E-6</v>
      </c>
      <c r="C42" s="7">
        <f>C41+($H$6*B41*C41-$H$7*C41)*$H$1</f>
        <v>2555.01573420158</v>
      </c>
      <c r="D42" s="7">
        <f>D41+((1-$H$8)*$H$7*C41)*$H$1</f>
        <v>45067.985047656468</v>
      </c>
      <c r="E42" s="7">
        <f>E41+($H$8*$H$7*C41)*$H$1</f>
        <v>2371.9992130345504</v>
      </c>
    </row>
    <row r="43" spans="1:5" x14ac:dyDescent="0.25">
      <c r="A43" s="6">
        <f>A42+$H$1</f>
        <v>205</v>
      </c>
      <c r="B43" s="7">
        <f>B42-($H$6*B42*C42)*$H$1</f>
        <v>4.781164949068862E-6</v>
      </c>
      <c r="C43" s="7">
        <f>C42+($H$6*B42*C42-$H$7*C42)*$H$1</f>
        <v>2299.5141611076592</v>
      </c>
      <c r="D43" s="7">
        <f>D42+((1-$H$8)*$H$7*C42)*$H$1</f>
        <v>45310.711542405617</v>
      </c>
      <c r="E43" s="7">
        <f>E42+($H$8*$H$7*C42)*$H$1</f>
        <v>2384.7742917055584</v>
      </c>
    </row>
    <row r="44" spans="1:5" x14ac:dyDescent="0.25">
      <c r="A44" s="6">
        <f>A43+$H$1</f>
        <v>210</v>
      </c>
      <c r="B44" s="7">
        <f>B43-($H$6*B43*C43)*$H$1</f>
        <v>4.5063060363944758E-6</v>
      </c>
      <c r="C44" s="7">
        <f>C43+($H$6*B43*C43-$H$7*C43)*$H$1</f>
        <v>2069.5627452717522</v>
      </c>
      <c r="D44" s="7">
        <f>D43+((1-$H$8)*$H$7*C43)*$H$1</f>
        <v>45529.165387710847</v>
      </c>
      <c r="E44" s="7">
        <f>E43+($H$8*$H$7*C43)*$H$1</f>
        <v>2396.2718625110965</v>
      </c>
    </row>
    <row r="45" spans="1:5" x14ac:dyDescent="0.25">
      <c r="A45" s="6">
        <f>A44+$H$1</f>
        <v>215</v>
      </c>
      <c r="B45" s="7">
        <f>B44-($H$6*B44*C44)*$H$1</f>
        <v>4.2731539591015952E-6</v>
      </c>
      <c r="C45" s="7">
        <f>C44+($H$6*B44*C44-$H$7*C44)*$H$1</f>
        <v>1862.606470977729</v>
      </c>
      <c r="D45" s="7">
        <f>D44+((1-$H$8)*$H$7*C44)*$H$1</f>
        <v>45725.773848511664</v>
      </c>
      <c r="E45" s="7">
        <f>E44+($H$8*$H$7*C44)*$H$1</f>
        <v>2406.6196762374552</v>
      </c>
    </row>
    <row r="46" spans="1:5" x14ac:dyDescent="0.25">
      <c r="A46" s="6">
        <f>A45+$H$1</f>
        <v>220</v>
      </c>
      <c r="B46" s="7">
        <f>B45-($H$6*B45*C45)*$H$1</f>
        <v>4.0741738537089266E-6</v>
      </c>
      <c r="C46" s="7">
        <f>C45+($H$6*B45*C45-$H$7*C45)*$H$1</f>
        <v>1676.3458240789362</v>
      </c>
      <c r="D46" s="7">
        <f>D45+((1-$H$8)*$H$7*C45)*$H$1</f>
        <v>45902.721463254551</v>
      </c>
      <c r="E46" s="7">
        <f>E45+($H$8*$H$7*C45)*$H$1</f>
        <v>2415.9327085923437</v>
      </c>
    </row>
    <row r="47" spans="1:5" x14ac:dyDescent="0.25">
      <c r="A47" s="6">
        <f>A46+$H$1</f>
        <v>225</v>
      </c>
      <c r="B47" s="7">
        <f>B46-($H$6*B46*C46)*$H$1</f>
        <v>3.9034307455530132E-6</v>
      </c>
      <c r="C47" s="7">
        <f>C46+($H$6*B46*C46-$H$7*C46)*$H$1</f>
        <v>1508.7112418417857</v>
      </c>
      <c r="D47" s="7">
        <f>D46+((1-$H$8)*$H$7*C46)*$H$1</f>
        <v>46061.974316542051</v>
      </c>
      <c r="E47" s="7">
        <f>E46+($H$8*$H$7*C46)*$H$1</f>
        <v>2424.3144377127383</v>
      </c>
    </row>
    <row r="48" spans="1:5" x14ac:dyDescent="0.25">
      <c r="A48" s="6">
        <f>A47+$H$1</f>
        <v>230</v>
      </c>
      <c r="B48" s="7">
        <f>B47-($H$6*B47*C47)*$H$1</f>
        <v>3.7562019993638458E-6</v>
      </c>
      <c r="C48" s="7">
        <f>C47+($H$6*B47*C47-$H$7*C47)*$H$1</f>
        <v>1357.8401178048359</v>
      </c>
      <c r="D48" s="7">
        <f>D47+((1-$H$8)*$H$7*C47)*$H$1</f>
        <v>46205.301884517023</v>
      </c>
      <c r="E48" s="7">
        <f>E47+($H$8*$H$7*C47)*$H$1</f>
        <v>2431.8579939219471</v>
      </c>
    </row>
    <row r="49" spans="1:5" x14ac:dyDescent="0.25">
      <c r="A49" s="6">
        <f>A48+$H$1</f>
        <v>235</v>
      </c>
      <c r="B49" s="7">
        <f>B48-($H$6*B48*C48)*$H$1</f>
        <v>3.6286939552309718E-6</v>
      </c>
      <c r="C49" s="7">
        <f>C48+($H$6*B48*C48-$H$7*C48)*$H$1</f>
        <v>1222.0561061518604</v>
      </c>
      <c r="D49" s="7">
        <f>D48+((1-$H$8)*$H$7*C48)*$H$1</f>
        <v>46334.296695708479</v>
      </c>
      <c r="E49" s="7">
        <f>E48+($H$8*$H$7*C48)*$H$1</f>
        <v>2438.6471945109715</v>
      </c>
    </row>
    <row r="50" spans="1:5" x14ac:dyDescent="0.25">
      <c r="A50" s="6">
        <f>A49+$H$1</f>
        <v>240</v>
      </c>
      <c r="B50" s="7">
        <f>B49-($H$6*B49*C49)*$H$1</f>
        <v>3.5178322650973127E-6</v>
      </c>
      <c r="C50" s="7">
        <f>C49+($H$6*B49*C49-$H$7*C49)*$H$1</f>
        <v>1099.850495647536</v>
      </c>
      <c r="D50" s="7">
        <f>D49+((1-$H$8)*$H$7*C49)*$H$1</f>
        <v>46450.392025792906</v>
      </c>
      <c r="E50" s="7">
        <f>E49+($H$8*$H$7*C49)*$H$1</f>
        <v>2444.7574750417307</v>
      </c>
    </row>
    <row r="51" spans="1:5" x14ac:dyDescent="0.25">
      <c r="A51" s="6">
        <f>A50+$H$1</f>
        <v>245</v>
      </c>
      <c r="B51" s="7">
        <f>B50-($H$6*B50*C50)*$H$1</f>
        <v>3.4211050260880084E-6</v>
      </c>
      <c r="C51" s="7">
        <f>C50+($H$6*B50*C50-$H$7*C50)*$H$1</f>
        <v>989.86544617950972</v>
      </c>
      <c r="D51" s="7">
        <f>D50+((1-$H$8)*$H$7*C50)*$H$1</f>
        <v>46554.877822879418</v>
      </c>
      <c r="E51" s="7">
        <f>E50+($H$8*$H$7*C50)*$H$1</f>
        <v>2450.2567275199685</v>
      </c>
    </row>
    <row r="52" spans="1:5" x14ac:dyDescent="0.25">
      <c r="A52" s="6">
        <f>A51+$H$1</f>
        <v>250</v>
      </c>
      <c r="B52" s="7">
        <f>B51-($H$6*B51*C51)*$H$1</f>
        <v>3.3364441847611189E-6</v>
      </c>
      <c r="C52" s="7">
        <f>C51+($H$6*B51*C51-$H$7*C51)*$H$1</f>
        <v>890.87890164621956</v>
      </c>
      <c r="D52" s="7">
        <f>D51+((1-$H$8)*$H$7*C51)*$H$1</f>
        <v>46648.915040266475</v>
      </c>
      <c r="E52" s="7">
        <f>E51+($H$8*$H$7*C51)*$H$1</f>
        <v>2455.2060547508659</v>
      </c>
    </row>
    <row r="53" spans="1:5" x14ac:dyDescent="0.25">
      <c r="A53" s="6">
        <f>A52+$H$1</f>
        <v>255</v>
      </c>
      <c r="B53" s="7">
        <f>B52-($H$6*B52*C52)*$H$1</f>
        <v>3.2621349914930215E-6</v>
      </c>
      <c r="C53" s="7">
        <f>C52+($H$6*B52*C52-$H$7*C52)*$H$1</f>
        <v>801.79101155590683</v>
      </c>
      <c r="D53" s="7">
        <f>D52+((1-$H$8)*$H$7*C52)*$H$1</f>
        <v>46733.548535922862</v>
      </c>
      <c r="E53" s="7">
        <f>E52+($H$8*$H$7*C52)*$H$1</f>
        <v>2459.6604492590968</v>
      </c>
    </row>
    <row r="54" spans="1:5" x14ac:dyDescent="0.25">
      <c r="A54" s="6">
        <f>A53+$H$1</f>
        <v>260</v>
      </c>
      <c r="B54" s="7">
        <f>B53-($H$6*B53*C53)*$H$1</f>
        <v>3.1967462286264937E-6</v>
      </c>
      <c r="C54" s="7">
        <f>C53+($H$6*B53*C53-$H$7*C53)*$H$1</f>
        <v>721.61191046570491</v>
      </c>
      <c r="D54" s="7">
        <f>D53+((1-$H$8)*$H$7*C53)*$H$1</f>
        <v>46809.718682020677</v>
      </c>
      <c r="E54" s="7">
        <f>E53+($H$8*$H$7*C53)*$H$1</f>
        <v>2463.6694043168764</v>
      </c>
    </row>
    <row r="55" spans="1:5" x14ac:dyDescent="0.25">
      <c r="A55" s="6">
        <f>A54+$H$1</f>
        <v>265</v>
      </c>
      <c r="B55" s="7">
        <f>B54-($H$6*B54*C54)*$H$1</f>
        <v>3.1390759747936635E-6</v>
      </c>
      <c r="C55" s="7">
        <f>C54+($H$6*B54*C54-$H$7*C54)*$H$1</f>
        <v>649.45071947680469</v>
      </c>
      <c r="D55" s="7">
        <f>D54+((1-$H$8)*$H$7*C54)*$H$1</f>
        <v>46878.271813514919</v>
      </c>
      <c r="E55" s="7">
        <f>E54+($H$8*$H$7*C54)*$H$1</f>
        <v>2467.2774638692049</v>
      </c>
    </row>
    <row r="56" spans="1:5" x14ac:dyDescent="0.25">
      <c r="A56" s="6">
        <f>A55+$H$1</f>
        <v>270</v>
      </c>
      <c r="B56" s="7">
        <f>B55-($H$6*B55*C55)*$H$1</f>
        <v>3.0881090960356111E-6</v>
      </c>
      <c r="C56" s="7">
        <f>C55+($H$6*B55*C55-$H$7*C55)*$H$1</f>
        <v>584.50564758009114</v>
      </c>
      <c r="D56" s="7">
        <f>D55+((1-$H$8)*$H$7*C55)*$H$1</f>
        <v>46939.969631865213</v>
      </c>
      <c r="E56" s="7">
        <f>E55+($H$8*$H$7*C55)*$H$1</f>
        <v>2470.5247174665888</v>
      </c>
    </row>
    <row r="57" spans="1:5" x14ac:dyDescent="0.25">
      <c r="A57" s="6">
        <f>A56+$H$1</f>
        <v>275</v>
      </c>
      <c r="B57" s="7">
        <f>B56-($H$6*B56*C56)*$H$1</f>
        <v>3.0429836658612045E-6</v>
      </c>
      <c r="C57" s="7">
        <f>C56+($H$6*B56*C56-$H$7*C56)*$H$1</f>
        <v>526.05508286720749</v>
      </c>
      <c r="D57" s="7">
        <f>D56+((1-$H$8)*$H$7*C56)*$H$1</f>
        <v>46995.497668385324</v>
      </c>
      <c r="E57" s="7">
        <f>E56+($H$8*$H$7*C56)*$H$1</f>
        <v>2473.4472457044894</v>
      </c>
    </row>
    <row r="58" spans="1:5" x14ac:dyDescent="0.25">
      <c r="A58" s="6">
        <f>A57+$H$1</f>
        <v>280</v>
      </c>
      <c r="B58" s="7">
        <f>B57-($H$6*B57*C57)*$H$1</f>
        <v>3.0029642402485002E-6</v>
      </c>
      <c r="C58" s="7">
        <f>C57+($H$6*B57*C57-$H$7*C57)*$H$1</f>
        <v>473.44957462050616</v>
      </c>
      <c r="D58" s="7">
        <f>D57+((1-$H$8)*$H$7*C57)*$H$1</f>
        <v>47045.472901257708</v>
      </c>
      <c r="E58" s="7">
        <f>E57+($H$8*$H$7*C57)*$H$1</f>
        <v>2476.0775211188256</v>
      </c>
    </row>
    <row r="59" spans="1:5" x14ac:dyDescent="0.25">
      <c r="A59" s="6">
        <f>A58+$H$1</f>
        <v>285</v>
      </c>
      <c r="B59" s="7">
        <f>B58-($H$6*B58*C58)*$H$1</f>
        <v>2.9674204366948442E-6</v>
      </c>
      <c r="C59" s="7">
        <f>C58+($H$6*B58*C58-$H$7*C58)*$H$1</f>
        <v>426.10461719399933</v>
      </c>
      <c r="D59" s="7">
        <f>D58+((1-$H$8)*$H$7*C58)*$H$1</f>
        <v>47090.450610846659</v>
      </c>
      <c r="E59" s="7">
        <f>E58+($H$8*$H$7*C58)*$H$1</f>
        <v>2478.444768991928</v>
      </c>
    </row>
    <row r="60" spans="1:5" x14ac:dyDescent="0.25">
      <c r="A60" s="6">
        <f>A59+$H$1</f>
        <v>290</v>
      </c>
      <c r="B60" s="7">
        <f>B59-($H$6*B59*C59)*$H$1</f>
        <v>2.9358096479640563E-6</v>
      </c>
      <c r="C60" s="7">
        <f>C59+($H$6*B59*C59-$H$7*C59)*$H$1</f>
        <v>383.49415550621018</v>
      </c>
      <c r="D60" s="7">
        <f>D59+((1-$H$8)*$H$7*C59)*$H$1</f>
        <v>47130.930549480086</v>
      </c>
      <c r="E60" s="7">
        <f>E59+($H$8*$H$7*C59)*$H$1</f>
        <v>2480.5752920778978</v>
      </c>
    </row>
    <row r="61" spans="1:5" x14ac:dyDescent="0.25">
      <c r="A61" s="6">
        <f>A60+$H$1</f>
        <v>295</v>
      </c>
      <c r="B61" s="7">
        <f>B60-($H$6*B60*C60)*$H$1</f>
        <v>2.9076630019222322E-6</v>
      </c>
      <c r="C61" s="7">
        <f>C60+($H$6*B60*C60-$H$7*C60)*$H$1</f>
        <v>345.1447399837358</v>
      </c>
      <c r="D61" s="7">
        <f>D60+((1-$H$8)*$H$7*C60)*$H$1</f>
        <v>47167.362494253175</v>
      </c>
      <c r="E61" s="7">
        <f>E60+($H$8*$H$7*C60)*$H$1</f>
        <v>2482.4927628554287</v>
      </c>
    </row>
    <row r="62" spans="1:5" x14ac:dyDescent="0.25">
      <c r="A62" s="6">
        <f>A61+$H$1</f>
        <v>300</v>
      </c>
      <c r="B62" s="7">
        <f>B61-($H$6*B61*C61)*$H$1</f>
        <v>2.8825738871532625E-6</v>
      </c>
      <c r="C62" s="7">
        <f>C61+($H$6*B61*C61-$H$7*C61)*$H$1</f>
        <v>310.63026601045135</v>
      </c>
      <c r="D62" s="7">
        <f>D61+((1-$H$8)*$H$7*C61)*$H$1</f>
        <v>47200.151244551627</v>
      </c>
      <c r="E62" s="7">
        <f>E61+($H$8*$H$7*C61)*$H$1</f>
        <v>2484.2184865553472</v>
      </c>
    </row>
    <row r="63" spans="1:5" x14ac:dyDescent="0.25">
      <c r="A63" s="6">
        <f>A62+$H$1</f>
        <v>305</v>
      </c>
      <c r="B63" s="7">
        <f>B62-($H$6*B62*C62)*$H$1</f>
        <v>2.8601885198192326E-6</v>
      </c>
      <c r="C63" s="7">
        <f>C62+($H$6*B62*C62-$H$7*C62)*$H$1</f>
        <v>279.56723943179156</v>
      </c>
      <c r="D63" s="7">
        <f>D62+((1-$H$8)*$H$7*C62)*$H$1</f>
        <v>47229.661119822624</v>
      </c>
      <c r="E63" s="7">
        <f>E62+($H$8*$H$7*C62)*$H$1</f>
        <v>2485.7716378853993</v>
      </c>
    </row>
    <row r="64" spans="1:5" x14ac:dyDescent="0.25">
      <c r="A64" s="6">
        <f>A63+$H$1</f>
        <v>310</v>
      </c>
      <c r="B64" s="7">
        <f>B63-($H$6*B63*C63)*$H$1</f>
        <v>2.8401981446007234E-6</v>
      </c>
      <c r="C64" s="7">
        <f>C63+($H$6*B63*C63-$H$7*C63)*$H$1</f>
        <v>251.61051550860279</v>
      </c>
      <c r="D64" s="7">
        <f>D63+((1-$H$8)*$H$7*C63)*$H$1</f>
        <v>47256.220007568641</v>
      </c>
      <c r="E64" s="7">
        <f>E63+($H$8*$H$7*C63)*$H$1</f>
        <v>2487.1694740825583</v>
      </c>
    </row>
    <row r="65" spans="1:5" x14ac:dyDescent="0.25">
      <c r="A65" s="6">
        <f>A64+$H$1</f>
        <v>315</v>
      </c>
      <c r="B65" s="7">
        <f>B64-($H$6*B64*C64)*$H$1</f>
        <v>2.8223325516179843E-6</v>
      </c>
      <c r="C65" s="7">
        <f>C64+($H$6*B64*C64-$H$7*C64)*$H$1</f>
        <v>226.4494639756081</v>
      </c>
      <c r="D65" s="7">
        <f>D64+((1-$H$8)*$H$7*C64)*$H$1</f>
        <v>47280.123006541959</v>
      </c>
      <c r="E65" s="7">
        <f>E64+($H$8*$H$7*C64)*$H$1</f>
        <v>2488.4275266601012</v>
      </c>
    </row>
    <row r="66" spans="1:5" x14ac:dyDescent="0.25">
      <c r="A66" s="6">
        <f>A65+$H$1</f>
        <v>320</v>
      </c>
      <c r="B66" s="7">
        <f>B65-($H$6*B65*C65)*$H$1</f>
        <v>2.8063546592811145E-6</v>
      </c>
      <c r="C66" s="7">
        <f>C65+($H$6*B65*C65-$H$7*C65)*$H$1</f>
        <v>203.80451759402519</v>
      </c>
      <c r="D66" s="7">
        <f>D65+((1-$H$8)*$H$7*C65)*$H$1</f>
        <v>47301.635705619643</v>
      </c>
      <c r="E66" s="7">
        <f>E65+($H$8*$H$7*C65)*$H$1</f>
        <v>2489.5597739799791</v>
      </c>
    </row>
    <row r="67" spans="1:5" x14ac:dyDescent="0.25">
      <c r="A67" s="6">
        <f>A66+$H$1</f>
        <v>325</v>
      </c>
      <c r="B67" s="7">
        <f>B66-($H$6*B66*C66)*$H$1</f>
        <v>2.7920559653428012E-6</v>
      </c>
      <c r="C67" s="7">
        <f>C66+($H$6*B66*C66-$H$7*C66)*$H$1</f>
        <v>183.42406584892137</v>
      </c>
      <c r="D67" s="7">
        <f>D66+((1-$H$8)*$H$7*C66)*$H$1</f>
        <v>47320.997134791076</v>
      </c>
      <c r="E67" s="7">
        <f>E66+($H$8*$H$7*C66)*$H$1</f>
        <v>2490.5787965679492</v>
      </c>
    </row>
    <row r="68" spans="1:5" x14ac:dyDescent="0.25">
      <c r="A68" s="6">
        <f>A67+$H$1</f>
        <v>330</v>
      </c>
      <c r="B68" s="7">
        <f>B67-($H$6*B67*C67)*$H$1</f>
        <v>2.7792527089117782E-6</v>
      </c>
      <c r="C68" s="7">
        <f>C67+($H$6*B67*C67-$H$7*C67)*$H$1</f>
        <v>165.08165927683248</v>
      </c>
      <c r="D68" s="7">
        <f>D67+((1-$H$8)*$H$7*C67)*$H$1</f>
        <v>47338.422421046722</v>
      </c>
      <c r="E68" s="7">
        <f>E67+($H$8*$H$7*C67)*$H$1</f>
        <v>2491.4959168971936</v>
      </c>
    </row>
    <row r="69" spans="1:5" x14ac:dyDescent="0.25">
      <c r="A69" s="6">
        <f>A68+$H$1</f>
        <v>335</v>
      </c>
      <c r="B69" s="7">
        <f>B68-($H$6*B68*C68)*$H$1</f>
        <v>2.7677826176933587E-6</v>
      </c>
      <c r="C69" s="7">
        <f>C68+($H$6*B68*C68-$H$7*C68)*$H$1</f>
        <v>148.57349336061932</v>
      </c>
      <c r="D69" s="7">
        <f>D68+((1-$H$8)*$H$7*C68)*$H$1</f>
        <v>47354.105178678023</v>
      </c>
      <c r="E69" s="7">
        <f>E68+($H$8*$H$7*C68)*$H$1</f>
        <v>2492.3213251935776</v>
      </c>
    </row>
    <row r="70" spans="1:5" x14ac:dyDescent="0.25">
      <c r="A70" s="6">
        <f>A69+$H$1</f>
        <v>340</v>
      </c>
      <c r="B70" s="7">
        <f>B69-($H$6*B69*C69)*$H$1</f>
        <v>2.7575021393840211E-6</v>
      </c>
      <c r="C70" s="7">
        <f>C69+($H$6*B69*C69-$H$7*C69)*$H$1</f>
        <v>133.71614403483787</v>
      </c>
      <c r="D70" s="7">
        <f>D69+((1-$H$8)*$H$7*C69)*$H$1</f>
        <v>47368.219660547278</v>
      </c>
      <c r="E70" s="7">
        <f>E69+($H$8*$H$7*C69)*$H$1</f>
        <v>2493.0641926603807</v>
      </c>
    </row>
    <row r="71" spans="1:5" x14ac:dyDescent="0.25">
      <c r="A71" s="6">
        <f>A70+$H$1</f>
        <v>345</v>
      </c>
      <c r="B71" s="7">
        <f>B70-($H$6*B70*C70)*$H$1</f>
        <v>2.7482840755528651E-6</v>
      </c>
      <c r="C71" s="7">
        <f>C70+($H$6*B70*C70-$H$7*C70)*$H$1</f>
        <v>120.34452964057215</v>
      </c>
      <c r="D71" s="7">
        <f>D70+((1-$H$8)*$H$7*C70)*$H$1</f>
        <v>47380.92269423059</v>
      </c>
      <c r="E71" s="7">
        <f>E70+($H$8*$H$7*C70)*$H$1</f>
        <v>2493.732773380555</v>
      </c>
    </row>
    <row r="72" spans="1:5" x14ac:dyDescent="0.25">
      <c r="A72" s="6">
        <f>A71+$H$1</f>
        <v>350</v>
      </c>
      <c r="B72" s="7">
        <f>B71-($H$6*B71*C71)*$H$1</f>
        <v>2.7400155516930879E-6</v>
      </c>
      <c r="C72" s="7">
        <f>C71+($H$6*B71*C71-$H$7*C71)*$H$1</f>
        <v>108.31007668478345</v>
      </c>
      <c r="D72" s="7">
        <f>D71+((1-$H$8)*$H$7*C71)*$H$1</f>
        <v>47392.355424546447</v>
      </c>
      <c r="E72" s="7">
        <f>E71+($H$8*$H$7*C71)*$H$1</f>
        <v>2494.3344960287577</v>
      </c>
    </row>
    <row r="73" spans="1:5" x14ac:dyDescent="0.25">
      <c r="A73" s="6">
        <f>A72+$H$1</f>
        <v>355</v>
      </c>
      <c r="B73" s="7">
        <f>B72-($H$6*B72*C72)*$H$1</f>
        <v>2.7325962693300534E-6</v>
      </c>
      <c r="C73" s="7">
        <f>C72+($H$6*B72*C72-$H$7*C72)*$H$1</f>
        <v>97.479069023724392</v>
      </c>
      <c r="D73" s="7">
        <f>D72+((1-$H$8)*$H$7*C72)*$H$1</f>
        <v>47402.644881831504</v>
      </c>
      <c r="E73" s="7">
        <f>E72+($H$8*$H$7*C72)*$H$1</f>
        <v>2494.8760464121815</v>
      </c>
    </row>
    <row r="74" spans="1:5" x14ac:dyDescent="0.25">
      <c r="A74" s="6">
        <f>A73+$H$1</f>
        <v>360</v>
      </c>
      <c r="B74" s="7">
        <f>B73-($H$6*B73*C73)*$H$1</f>
        <v>2.7259369958212536E-6</v>
      </c>
      <c r="C74" s="7">
        <f>C73+($H$6*B73*C73-$H$7*C73)*$H$1</f>
        <v>87.731162128011221</v>
      </c>
      <c r="D74" s="7">
        <f>D73+((1-$H$8)*$H$7*C73)*$H$1</f>
        <v>47411.905393388755</v>
      </c>
      <c r="E74" s="7">
        <f>E73+($H$8*$H$7*C73)*$H$1</f>
        <v>2495.3634417573003</v>
      </c>
    </row>
    <row r="75" spans="1:5" x14ac:dyDescent="0.25">
      <c r="A75" s="6">
        <f>A74+$H$1</f>
        <v>365</v>
      </c>
      <c r="B75" s="7">
        <f>B74-($H$6*B74*C74)*$H$1</f>
        <v>2.7199582553079749E-6</v>
      </c>
      <c r="C75" s="7">
        <f>C74+($H$6*B74*C74-$H$7*C74)*$H$1</f>
        <v>78.958045921188841</v>
      </c>
      <c r="D75" s="7">
        <f>D74+((1-$H$8)*$H$7*C74)*$H$1</f>
        <v>47420.239853790918</v>
      </c>
      <c r="E75" s="7">
        <f>E74+($H$8*$H$7*C74)*$H$1</f>
        <v>2495.8020975679401</v>
      </c>
    </row>
    <row r="76" spans="1:5" x14ac:dyDescent="0.25">
      <c r="A76" s="6">
        <f>A75+$H$1</f>
        <v>370</v>
      </c>
      <c r="B76" s="7">
        <f>B75-($H$6*B75*C75)*$H$1</f>
        <v>2.7145891905873167E-6</v>
      </c>
      <c r="C76" s="7">
        <f>C75+($H$6*B75*C75-$H$7*C75)*$H$1</f>
        <v>71.062241334439022</v>
      </c>
      <c r="D76" s="7">
        <f>D75+((1-$H$8)*$H$7*C75)*$H$1</f>
        <v>47427.740868153429</v>
      </c>
      <c r="E76" s="7">
        <f>E75+($H$8*$H$7*C75)*$H$1</f>
        <v>2496.196887797546</v>
      </c>
    </row>
    <row r="77" spans="1:5" x14ac:dyDescent="0.25">
      <c r="A77" s="6">
        <f>A76+$H$1</f>
        <v>375</v>
      </c>
      <c r="B77" s="7">
        <f>B76-($H$6*B76*C76)*$H$1</f>
        <v>2.7097665707826825E-6</v>
      </c>
      <c r="C77" s="7">
        <f>C76+($H$6*B76*C76-$H$7*C76)*$H$1</f>
        <v>63.956017205817737</v>
      </c>
      <c r="D77" s="7">
        <f>D76+((1-$H$8)*$H$7*C76)*$H$1</f>
        <v>47434.4917810802</v>
      </c>
      <c r="E77" s="7">
        <f>E76+($H$8*$H$7*C76)*$H$1</f>
        <v>2496.552199004218</v>
      </c>
    </row>
    <row r="78" spans="1:5" x14ac:dyDescent="0.25">
      <c r="A78" s="6">
        <f>A77+$H$1</f>
        <v>380</v>
      </c>
      <c r="B78" s="7">
        <f>B77-($H$6*B77*C77)*$H$1</f>
        <v>2.7054339238470642E-6</v>
      </c>
      <c r="C78" s="7">
        <f>C77+($H$6*B77*C77-$H$7*C77)*$H$1</f>
        <v>57.560415489568612</v>
      </c>
      <c r="D78" s="7">
        <f>D77+((1-$H$8)*$H$7*C77)*$H$1</f>
        <v>47440.567602714749</v>
      </c>
      <c r="E78" s="7">
        <f>E77+($H$8*$H$7*C77)*$H$1</f>
        <v>2496.8719790902469</v>
      </c>
    </row>
    <row r="79" spans="1:5" x14ac:dyDescent="0.25">
      <c r="A79" s="6">
        <f>A78+$H$1</f>
        <v>385</v>
      </c>
      <c r="B79" s="7">
        <f>B78-($H$6*B78*C78)*$H$1</f>
        <v>2.7015407763286589E-6</v>
      </c>
      <c r="C79" s="7">
        <f>C78+($H$6*B78*C78-$H$7*C78)*$H$1</f>
        <v>51.804373944504896</v>
      </c>
      <c r="D79" s="7">
        <f>D78+((1-$H$8)*$H$7*C78)*$H$1</f>
        <v>47446.035842186255</v>
      </c>
      <c r="E79" s="7">
        <f>E78+($H$8*$H$7*C78)*$H$1</f>
        <v>2497.1597811676947</v>
      </c>
    </row>
    <row r="80" spans="1:5" x14ac:dyDescent="0.25">
      <c r="A80" s="6">
        <f>A79+$H$1</f>
        <v>390</v>
      </c>
      <c r="B80" s="7">
        <f>B79-($H$6*B79*C79)*$H$1</f>
        <v>2.6980419856135775E-6</v>
      </c>
      <c r="C80" s="7">
        <f>C79+($H$6*B79*C79-$H$7*C79)*$H$1</f>
        <v>46.623936553553193</v>
      </c>
      <c r="D80" s="7">
        <f>D79+((1-$H$8)*$H$7*C79)*$H$1</f>
        <v>47450.957257710979</v>
      </c>
      <c r="E80" s="7">
        <f>E79+($H$8*$H$7*C79)*$H$1</f>
        <v>2497.4188030374171</v>
      </c>
    </row>
    <row r="81" spans="1:5" x14ac:dyDescent="0.25">
      <c r="A81" s="6">
        <f>A80+$H$1</f>
        <v>395</v>
      </c>
      <c r="B81" s="7">
        <f>B80-($H$6*B80*C80)*$H$1</f>
        <v>2.6948971521546759E-6</v>
      </c>
      <c r="C81" s="7">
        <f>C80+($H$6*B80*C80-$H$7*C80)*$H$1</f>
        <v>41.96154290134271</v>
      </c>
      <c r="D81" s="7">
        <f>D80+((1-$H$8)*$H$7*C80)*$H$1</f>
        <v>47455.386531683565</v>
      </c>
      <c r="E81" s="7">
        <f>E80+($H$8*$H$7*C80)*$H$1</f>
        <v>2497.6519227201848</v>
      </c>
    </row>
    <row r="82" spans="1:5" x14ac:dyDescent="0.25">
      <c r="A82" s="6">
        <f>A81+$H$1</f>
        <v>400</v>
      </c>
      <c r="B82" s="7">
        <f>B81-($H$6*B81*C81)*$H$1</f>
        <v>2.6920701010930549E-6</v>
      </c>
      <c r="C82" s="7">
        <f>C81+($H$6*B81*C81-$H$7*C81)*$H$1</f>
        <v>37.765388614035487</v>
      </c>
      <c r="D82" s="7">
        <f>D81+((1-$H$8)*$H$7*C81)*$H$1</f>
        <v>47459.372878259193</v>
      </c>
      <c r="E82" s="7">
        <f>E81+($H$8*$H$7*C81)*$H$1</f>
        <v>2497.8617304346913</v>
      </c>
    </row>
    <row r="83" spans="1:5" x14ac:dyDescent="0.25">
      <c r="A83" s="6">
        <f>A82+$H$1</f>
        <v>405</v>
      </c>
      <c r="B83" s="7">
        <f>B82-($H$6*B82*C82)*$H$1</f>
        <v>2.6895284242544547E-6</v>
      </c>
      <c r="C83" s="7">
        <f>C82+($H$6*B82*C82-$H$7*C82)*$H$1</f>
        <v>33.988849755173618</v>
      </c>
      <c r="D83" s="7">
        <f>D82+((1-$H$8)*$H$7*C82)*$H$1</f>
        <v>47462.960590177529</v>
      </c>
      <c r="E83" s="7">
        <f>E82+($H$8*$H$7*C82)*$H$1</f>
        <v>2498.0505573777614</v>
      </c>
    </row>
    <row r="84" spans="1:5" x14ac:dyDescent="0.25">
      <c r="A84" s="6">
        <f>A83+$H$1</f>
        <v>410</v>
      </c>
      <c r="B84" s="7">
        <f>B83-($H$6*B83*C83)*$H$1</f>
        <v>2.6872430748163484E-6</v>
      </c>
      <c r="C84" s="7">
        <f>C83+($H$6*B83*C83-$H$7*C83)*$H$1</f>
        <v>30.589964781941607</v>
      </c>
      <c r="D84" s="7">
        <f>D83+((1-$H$8)*$H$7*C83)*$H$1</f>
        <v>47466.189530904267</v>
      </c>
      <c r="E84" s="7">
        <f>E83+($H$8*$H$7*C83)*$H$1</f>
        <v>2498.220501626537</v>
      </c>
    </row>
    <row r="85" spans="1:5" x14ac:dyDescent="0.25">
      <c r="A85" s="6">
        <f>A84+$H$1</f>
        <v>415</v>
      </c>
      <c r="B85" s="7">
        <f>B84-($H$6*B84*C84)*$H$1</f>
        <v>2.6851880080408696E-6</v>
      </c>
      <c r="C85" s="7">
        <f>C84+($H$6*B84*C84-$H$7*C84)*$H$1</f>
        <v>27.530968305802514</v>
      </c>
      <c r="D85" s="7">
        <f>D84+((1-$H$8)*$H$7*C84)*$H$1</f>
        <v>47469.095577558553</v>
      </c>
      <c r="E85" s="7">
        <f>E84+($H$8*$H$7*C84)*$H$1</f>
        <v>2498.3734514504467</v>
      </c>
    </row>
    <row r="86" spans="1:5" x14ac:dyDescent="0.25">
      <c r="A86" s="6">
        <f>A85+$H$1</f>
        <v>420</v>
      </c>
      <c r="B86" s="7">
        <f>B85-($H$6*B85*C85)*$H$1</f>
        <v>2.6833398623922573E-6</v>
      </c>
      <c r="C86" s="7">
        <f>C85+($H$6*B85*C85-$H$7*C85)*$H$1</f>
        <v>24.777871477070406</v>
      </c>
      <c r="D86" s="7">
        <f>D85+((1-$H$8)*$H$7*C85)*$H$1</f>
        <v>47471.711019547605</v>
      </c>
      <c r="E86" s="7">
        <f>E85+($H$8*$H$7*C85)*$H$1</f>
        <v>2498.5111062919759</v>
      </c>
    </row>
    <row r="87" spans="1:5" x14ac:dyDescent="0.25">
      <c r="A87" s="6">
        <f>A86+$H$1</f>
        <v>425</v>
      </c>
      <c r="B87" s="7">
        <f>B86-($H$6*B86*C86)*$H$1</f>
        <v>2.681677676136266E-6</v>
      </c>
      <c r="C87" s="7">
        <f>C86+($H$6*B86*C86-$H$7*C86)*$H$1</f>
        <v>22.300084331025552</v>
      </c>
      <c r="D87" s="7">
        <f>D86+((1-$H$8)*$H$7*C86)*$H$1</f>
        <v>47474.064917337928</v>
      </c>
      <c r="E87" s="7">
        <f>E86+($H$8*$H$7*C86)*$H$1</f>
        <v>2498.6349956493614</v>
      </c>
    </row>
    <row r="88" spans="1:5" x14ac:dyDescent="0.25">
      <c r="A88" s="6">
        <f>A87+$H$1</f>
        <v>430</v>
      </c>
      <c r="B88" s="7">
        <f>B87-($H$6*B87*C87)*$H$1</f>
        <v>2.6801826351781043E-6</v>
      </c>
      <c r="C88" s="7">
        <f>C87+($H$6*B87*C87-$H$7*C87)*$H$1</f>
        <v>20.070075899418036</v>
      </c>
      <c r="D88" s="7">
        <f>D87+((1-$H$8)*$H$7*C87)*$H$1</f>
        <v>47476.183425349373</v>
      </c>
      <c r="E88" s="7">
        <f>E87+($H$8*$H$7*C87)*$H$1</f>
        <v>2498.7464960710163</v>
      </c>
    </row>
    <row r="89" spans="1:5" x14ac:dyDescent="0.25">
      <c r="A89" s="6">
        <f>A88+$H$1</f>
        <v>435</v>
      </c>
      <c r="B89" s="7">
        <f>B88-($H$6*B88*C88)*$H$1</f>
        <v>2.678837848455296E-6</v>
      </c>
      <c r="C89" s="7">
        <f>C88+($H$6*B88*C88-$H$7*C88)*$H$1</f>
        <v>18.06306831082102</v>
      </c>
      <c r="D89" s="7">
        <f>D88+((1-$H$8)*$H$7*C88)*$H$1</f>
        <v>47478.090082559815</v>
      </c>
      <c r="E89" s="7">
        <f>E88+($H$8*$H$7*C88)*$H$1</f>
        <v>2498.8468464505136</v>
      </c>
    </row>
    <row r="90" spans="1:5" x14ac:dyDescent="0.25">
      <c r="A90" s="6">
        <f>A89+$H$1</f>
        <v>440</v>
      </c>
      <c r="B90" s="7">
        <f>B89-($H$6*B89*C89)*$H$1</f>
        <v>2.6776281476790393E-6</v>
      </c>
      <c r="C90" s="7">
        <f>C89+($H$6*B89*C89-$H$7*C89)*$H$1</f>
        <v>16.256761480948619</v>
      </c>
      <c r="D90" s="7">
        <f>D89+((1-$H$8)*$H$7*C89)*$H$1</f>
        <v>47479.806074049346</v>
      </c>
      <c r="E90" s="7">
        <f>E89+($H$8*$H$7*C89)*$H$1</f>
        <v>2498.9371617920679</v>
      </c>
    </row>
    <row r="91" spans="1:5" x14ac:dyDescent="0.25">
      <c r="A91" s="6">
        <f>A90+$H$1</f>
        <v>445</v>
      </c>
      <c r="B91" s="7">
        <f>B90-($H$6*B90*C90)*$H$1</f>
        <v>2.676539908625752E-6</v>
      </c>
      <c r="C91" s="7">
        <f>C90+($H$6*B90*C90-$H$7*C90)*$H$1</f>
        <v>14.631085333941996</v>
      </c>
      <c r="D91" s="7">
        <f>D90+((1-$H$8)*$H$7*C90)*$H$1</f>
        <v>47481.350466390038</v>
      </c>
      <c r="E91" s="7">
        <f>E90+($H$8*$H$7*C90)*$H$1</f>
        <v>2499.0184455994727</v>
      </c>
    </row>
    <row r="92" spans="1:5" x14ac:dyDescent="0.25">
      <c r="A92" s="6">
        <f>A91+$H$1</f>
        <v>450</v>
      </c>
      <c r="B92" s="7">
        <f>B91-($H$6*B91*C91)*$H$1</f>
        <v>2.6755608915306818E-6</v>
      </c>
      <c r="C92" s="7">
        <f>C91+($H$6*B91*C91-$H$7*C91)*$H$1</f>
        <v>13.167976801526814</v>
      </c>
      <c r="D92" s="7">
        <f>D91+((1-$H$8)*$H$7*C91)*$H$1</f>
        <v>47482.74041949676</v>
      </c>
      <c r="E92" s="7">
        <f>E91+($H$8*$H$7*C91)*$H$1</f>
        <v>2499.0916010261426</v>
      </c>
    </row>
    <row r="93" spans="1:5" x14ac:dyDescent="0.25">
      <c r="A93" s="6">
        <f>A92+$H$1</f>
        <v>455</v>
      </c>
      <c r="B93" s="7">
        <f>B92-($H$6*B92*C92)*$H$1</f>
        <v>2.6746800984369132E-6</v>
      </c>
      <c r="C93" s="7">
        <f>C92+($H$6*B92*C92-$H$7*C92)*$H$1</f>
        <v>11.851179122254926</v>
      </c>
      <c r="D93" s="7">
        <f>D92+((1-$H$8)*$H$7*C92)*$H$1</f>
        <v>47483.991377292907</v>
      </c>
      <c r="E93" s="7">
        <f>E92+($H$8*$H$7*C92)*$H$1</f>
        <v>2499.1574409101504</v>
      </c>
    </row>
    <row r="94" spans="1:5" x14ac:dyDescent="0.25">
      <c r="A94" s="6">
        <f>A93+$H$1</f>
        <v>460</v>
      </c>
      <c r="B94" s="7">
        <f>B93-($H$6*B93*C93)*$H$1</f>
        <v>2.6738876456133805E-6</v>
      </c>
      <c r="C94" s="7">
        <f>C93+($H$6*B93*C93-$H$7*C93)*$H$1</f>
        <v>10.666061210821887</v>
      </c>
      <c r="D94" s="7">
        <f>D93+((1-$H$8)*$H$7*C93)*$H$1</f>
        <v>47485.117239309518</v>
      </c>
      <c r="E94" s="7">
        <f>E93+($H$8*$H$7*C93)*$H$1</f>
        <v>2499.2166968057618</v>
      </c>
    </row>
    <row r="95" spans="1:5" x14ac:dyDescent="0.25">
      <c r="A95" s="6">
        <f>A94+$H$1</f>
        <v>465</v>
      </c>
      <c r="B95" s="7">
        <f>B94-($H$6*B94*C94)*$H$1</f>
        <v>2.673174649380906E-6</v>
      </c>
      <c r="C95" s="7">
        <f>C94+($H$6*B94*C94-$H$7*C94)*$H$1</f>
        <v>9.599455090452695</v>
      </c>
      <c r="D95" s="7">
        <f>D94+((1-$H$8)*$H$7*C94)*$H$1</f>
        <v>47486.130515124547</v>
      </c>
      <c r="E95" s="7">
        <f>E94+($H$8*$H$7*C94)*$H$1</f>
        <v>2499.270027111816</v>
      </c>
    </row>
    <row r="96" spans="1:5" x14ac:dyDescent="0.25">
      <c r="A96" s="6">
        <f>A95+$H$1</f>
        <v>470</v>
      </c>
      <c r="B96" s="7">
        <f>B95-($H$6*B95*C95)*$H$1</f>
        <v>2.6725331238810144E-6</v>
      </c>
      <c r="C96" s="7">
        <f>C95+($H$6*B95*C95-$H$7*C95)*$H$1</f>
        <v>8.6395095820489516</v>
      </c>
      <c r="D96" s="7">
        <f>D95+((1-$H$8)*$H$7*C95)*$H$1</f>
        <v>47487.042463358142</v>
      </c>
      <c r="E96" s="7">
        <f>E95+($H$8*$H$7*C95)*$H$1</f>
        <v>2499.3180243872685</v>
      </c>
    </row>
    <row r="97" spans="1:5" x14ac:dyDescent="0.25">
      <c r="A97" s="6">
        <f>A96+$H$1</f>
        <v>475</v>
      </c>
      <c r="B97" s="7">
        <f>B96-($H$6*B96*C96)*$H$1</f>
        <v>2.6719558894927114E-6</v>
      </c>
      <c r="C97" s="7">
        <f>C96+($H$6*B96*C96-$H$7*C96)*$H$1</f>
        <v>7.7755586244212909</v>
      </c>
      <c r="D97" s="7">
        <f>D96+((1-$H$8)*$H$7*C96)*$H$1</f>
        <v>47487.863216768434</v>
      </c>
      <c r="E97" s="7">
        <f>E96+($H$8*$H$7*C96)*$H$1</f>
        <v>2499.3612219351785</v>
      </c>
    </row>
    <row r="98" spans="1:5" x14ac:dyDescent="0.25">
      <c r="A98" s="6">
        <f>A97+$H$1</f>
        <v>480</v>
      </c>
      <c r="B98" s="7">
        <f>B97-($H$6*B97*C97)*$H$1</f>
        <v>2.6714364907511958E-6</v>
      </c>
      <c r="C98" s="7">
        <f>C97+($H$6*B97*C97-$H$7*C97)*$H$1</f>
        <v>6.9980027624985599</v>
      </c>
      <c r="D98" s="7">
        <f>D97+((1-$H$8)*$H$7*C97)*$H$1</f>
        <v>47488.601894837753</v>
      </c>
      <c r="E98" s="7">
        <f>E97+($H$8*$H$7*C97)*$H$1</f>
        <v>2499.4000997283006</v>
      </c>
    </row>
    <row r="99" spans="1:5" x14ac:dyDescent="0.25">
      <c r="A99" s="6">
        <f>A98+$H$1</f>
        <v>485</v>
      </c>
      <c r="B99" s="7">
        <f>B98-($H$6*B98*C98)*$H$1</f>
        <v>2.6709691227526429E-6</v>
      </c>
      <c r="C99" s="7">
        <f>C98+($H$6*B98*C98-$H$7*C98)*$H$1</f>
        <v>6.2982024867160717</v>
      </c>
      <c r="D99" s="7">
        <f>D98+((1-$H$8)*$H$7*C98)*$H$1</f>
        <v>47489.266705100192</v>
      </c>
      <c r="E99" s="7">
        <f>E98+($H$8*$H$7*C98)*$H$1</f>
        <v>2499.4350897421132</v>
      </c>
    </row>
    <row r="100" spans="1:5" x14ac:dyDescent="0.25">
      <c r="A100" s="6">
        <f>A99+$H$1</f>
        <v>490</v>
      </c>
      <c r="B100" s="7">
        <f>B99-($H$6*B99*C99)*$H$1</f>
        <v>2.6705485651433713E-6</v>
      </c>
      <c r="C100" s="7">
        <f>C99+($H$6*B99*C99-$H$7*C99)*$H$1</f>
        <v>5.6683822384650222</v>
      </c>
      <c r="D100" s="7">
        <f>D99+((1-$H$8)*$H$7*C99)*$H$1</f>
        <v>47489.865034336428</v>
      </c>
      <c r="E100" s="7">
        <f>E99+($H$8*$H$7*C99)*$H$1</f>
        <v>2499.4665807545466</v>
      </c>
    </row>
    <row r="101" spans="1:5" x14ac:dyDescent="0.25">
      <c r="A101" s="6">
        <f>A100+$H$1</f>
        <v>495</v>
      </c>
      <c r="B101" s="7">
        <f>B100-($H$6*B100*C100)*$H$1</f>
        <v>2.6701701228920308E-6</v>
      </c>
      <c r="C101" s="7">
        <f>C100+($H$6*B100*C100-$H$7*C100)*$H$1</f>
        <v>5.1015440149969624</v>
      </c>
      <c r="D101" s="7">
        <f>D100+((1-$H$8)*$H$7*C100)*$H$1</f>
        <v>47490.403530649084</v>
      </c>
      <c r="E101" s="7">
        <f>E100+($H$8*$H$7*C100)*$H$1</f>
        <v>2499.4949226657391</v>
      </c>
    </row>
    <row r="102" spans="1:5" x14ac:dyDescent="0.25">
      <c r="A102" s="6">
        <f>A101+$H$1</f>
        <v>500</v>
      </c>
      <c r="B102" s="7">
        <f>B101-($H$6*B101*C101)*$H$1</f>
        <v>2.6698295731317944E-6</v>
      </c>
      <c r="C102" s="7">
        <f>C101+($H$6*B101*C101-$H$7*C101)*$H$1</f>
        <v>4.5913896138378156</v>
      </c>
      <c r="D102" s="7">
        <f>D101+((1-$H$8)*$H$7*C101)*$H$1</f>
        <v>47490.888177330511</v>
      </c>
      <c r="E102" s="7">
        <f>E101+($H$8*$H$7*C101)*$H$1</f>
        <v>2499.5204303858141</v>
      </c>
    </row>
    <row r="103" spans="1:5" x14ac:dyDescent="0.25">
      <c r="A103" s="6">
        <f>A102+$H$1</f>
        <v>505</v>
      </c>
      <c r="B103" s="7">
        <f>B102-($H$6*B102*C102)*$H$1</f>
        <v>2.6695231174374746E-6</v>
      </c>
      <c r="C103" s="7">
        <f>C102+($H$6*B102*C102-$H$7*C102)*$H$1</f>
        <v>4.1322506527604901</v>
      </c>
      <c r="D103" s="7">
        <f>D102+((1-$H$8)*$H$7*C102)*$H$1</f>
        <v>47491.324359343824</v>
      </c>
      <c r="E103" s="7">
        <f>E102+($H$8*$H$7*C102)*$H$1</f>
        <v>2499.5433873338834</v>
      </c>
    </row>
    <row r="104" spans="1:5" x14ac:dyDescent="0.25">
      <c r="A104" s="6">
        <f>A103+$H$1</f>
        <v>510</v>
      </c>
      <c r="B104" s="7">
        <f>B103-($H$6*B103*C103)*$H$1</f>
        <v>2.6692473389713598E-6</v>
      </c>
      <c r="C104" s="7">
        <f>C103+($H$6*B103*C103-$H$7*C103)*$H$1</f>
        <v>3.7190255877602194</v>
      </c>
      <c r="D104" s="7">
        <f>D103+((1-$H$8)*$H$7*C103)*$H$1</f>
        <v>47491.716923155836</v>
      </c>
      <c r="E104" s="7">
        <f>E103+($H$8*$H$7*C103)*$H$1</f>
        <v>2499.5640485871472</v>
      </c>
    </row>
    <row r="105" spans="1:5" x14ac:dyDescent="0.25">
      <c r="A105" s="6">
        <f>A104+$H$1</f>
        <v>515</v>
      </c>
      <c r="B105" s="7">
        <f>B104-($H$6*B104*C104)*$H$1</f>
        <v>2.6689991639925174E-6</v>
      </c>
      <c r="C105" s="7">
        <f>C104+($H$6*B104*C104-$H$7*C104)*$H$1</f>
        <v>3.3471230292323724</v>
      </c>
      <c r="D105" s="7">
        <f>D104+((1-$H$8)*$H$7*C104)*$H$1</f>
        <v>47492.070230586673</v>
      </c>
      <c r="E105" s="7">
        <f>E104+($H$8*$H$7*C104)*$H$1</f>
        <v>2499.5826437150859</v>
      </c>
    </row>
    <row r="106" spans="1:5" x14ac:dyDescent="0.25">
      <c r="A106" s="6">
        <f>A105+$H$1</f>
        <v>520</v>
      </c>
      <c r="B106" s="7">
        <f>B105-($H$6*B105*C105)*$H$1</f>
        <v>2.6687758272783476E-6</v>
      </c>
      <c r="C106" s="7">
        <f>C105+($H$6*B105*C105-$H$7*C105)*$H$1</f>
        <v>3.012410726532472</v>
      </c>
      <c r="D106" s="7">
        <f>D105+((1-$H$8)*$H$7*C105)*$H$1</f>
        <v>47492.388207274453</v>
      </c>
      <c r="E106" s="7">
        <f>E105+($H$8*$H$7*C105)*$H$1</f>
        <v>2499.5993793302318</v>
      </c>
    </row>
    <row r="107" spans="1:5" x14ac:dyDescent="0.25">
      <c r="A107" s="6">
        <f>A106+$H$1</f>
        <v>525</v>
      </c>
      <c r="B107" s="7">
        <f>B106-($H$6*B106*C106)*$H$1</f>
        <v>2.6685748410551273E-6</v>
      </c>
      <c r="C107" s="7">
        <f>C106+($H$6*B106*C106-$H$7*C106)*$H$1</f>
        <v>2.7111696540802108</v>
      </c>
      <c r="D107" s="7">
        <f>D106+((1-$H$8)*$H$7*C106)*$H$1</f>
        <v>47492.674386293475</v>
      </c>
      <c r="E107" s="7">
        <f>E106+($H$8*$H$7*C106)*$H$1</f>
        <v>2499.6144413838647</v>
      </c>
    </row>
    <row r="108" spans="1:5" x14ac:dyDescent="0.25">
      <c r="A108" s="6">
        <f>A107+$H$1</f>
        <v>530</v>
      </c>
      <c r="B108" s="7">
        <f>B107-($H$6*B107*C107)*$H$1</f>
        <v>2.6683939670769097E-6</v>
      </c>
      <c r="C108" s="7">
        <f>C107+($H$6*B107*C107-$H$7*C107)*$H$1</f>
        <v>2.4400526888530636</v>
      </c>
      <c r="D108" s="7">
        <f>D107+((1-$H$8)*$H$7*C107)*$H$1</f>
        <v>47492.931947410609</v>
      </c>
      <c r="E108" s="7">
        <f>E107+($H$8*$H$7*C107)*$H$1</f>
        <v>2499.6279972321349</v>
      </c>
    </row>
    <row r="109" spans="1:5" x14ac:dyDescent="0.25">
      <c r="A109" s="6">
        <f>A108+$H$1</f>
        <v>535</v>
      </c>
      <c r="B109" s="7">
        <f>B108-($H$6*B108*C108)*$H$1</f>
        <v>2.6682311915300528E-6</v>
      </c>
      <c r="C109" s="7">
        <f>C108+($H$6*B108*C108-$H$7*C108)*$H$1</f>
        <v>2.1960474201305327</v>
      </c>
      <c r="D109" s="7">
        <f>D108+((1-$H$8)*$H$7*C108)*$H$1</f>
        <v>47493.163752416047</v>
      </c>
      <c r="E109" s="7">
        <f>E108+($H$8*$H$7*C108)*$H$1</f>
        <v>2499.6401974955793</v>
      </c>
    </row>
    <row r="110" spans="1:5" x14ac:dyDescent="0.25">
      <c r="A110" s="6">
        <f>A109+$H$1</f>
        <v>540</v>
      </c>
      <c r="B110" s="7">
        <f>B109-($H$6*B109*C109)*$H$1</f>
        <v>2.6680847024744411E-6</v>
      </c>
      <c r="C110" s="7">
        <f>C109+($H$6*B109*C109-$H$7*C109)*$H$1</f>
        <v>1.9764426782639686</v>
      </c>
      <c r="D110" s="7">
        <f>D109+((1-$H$8)*$H$7*C109)*$H$1</f>
        <v>47493.372376920961</v>
      </c>
      <c r="E110" s="7">
        <f>E109+($H$8*$H$7*C109)*$H$1</f>
        <v>2499.65117773268</v>
      </c>
    </row>
    <row r="111" spans="1:5" x14ac:dyDescent="0.25">
      <c r="A111" s="6">
        <f>A110+$H$1</f>
        <v>545</v>
      </c>
      <c r="B111" s="7">
        <f>B110-($H$6*B110*C110)*$H$1</f>
        <v>2.6679528695625613E-6</v>
      </c>
      <c r="C111" s="7">
        <f>C110+($H$6*B110*C110-$H$7*C110)*$H$1</f>
        <v>1.7787984105694046</v>
      </c>
      <c r="D111" s="7">
        <f>D110+((1-$H$8)*$H$7*C110)*$H$1</f>
        <v>47493.560138975394</v>
      </c>
      <c r="E111" s="7">
        <f>E110+($H$8*$H$7*C110)*$H$1</f>
        <v>2499.6610599460714</v>
      </c>
    </row>
    <row r="112" spans="1:5" x14ac:dyDescent="0.25">
      <c r="A112" s="6">
        <f>A111+$H$1</f>
        <v>550</v>
      </c>
      <c r="B112" s="7">
        <f>B111-($H$6*B111*C111)*$H$1</f>
        <v>2.6678342258044649E-6</v>
      </c>
      <c r="C112" s="7">
        <f>C111+($H$6*B111*C111-$H$7*C111)*$H$1</f>
        <v>1.6009185696311079</v>
      </c>
      <c r="D112" s="7">
        <f>D111+((1-$H$8)*$H$7*C111)*$H$1</f>
        <v>47493.7291248244</v>
      </c>
      <c r="E112" s="7">
        <f>E111+($H$8*$H$7*C111)*$H$1</f>
        <v>2499.6699539381243</v>
      </c>
    </row>
    <row r="113" spans="1:5" x14ac:dyDescent="0.25">
      <c r="A113" s="6">
        <f>A112+$H$1</f>
        <v>555</v>
      </c>
      <c r="B113" s="7">
        <f>B112-($H$6*B112*C112)*$H$1</f>
        <v>2.6677274511706454E-6</v>
      </c>
      <c r="C113" s="7">
        <f>C112+($H$6*B112*C112-$H$7*C112)*$H$1</f>
        <v>1.4408267127747718</v>
      </c>
      <c r="D113" s="7">
        <f>D112+((1-$H$8)*$H$7*C112)*$H$1</f>
        <v>47493.881212088512</v>
      </c>
      <c r="E113" s="7">
        <f>E112+($H$8*$H$7*C112)*$H$1</f>
        <v>2499.6779585309723</v>
      </c>
    </row>
    <row r="114" spans="1:5" x14ac:dyDescent="0.25">
      <c r="A114" s="6">
        <f>A113+$H$1</f>
        <v>560</v>
      </c>
      <c r="B114" s="7">
        <f>B113-($H$6*B113*C113)*$H$1</f>
        <v>2.6676313578462941E-6</v>
      </c>
      <c r="C114" s="7">
        <f>C113+($H$6*B113*C113-$H$7*C113)*$H$1</f>
        <v>1.296744041593388</v>
      </c>
      <c r="D114" s="7">
        <f>D113+((1-$H$8)*$H$7*C113)*$H$1</f>
        <v>47494.018090626225</v>
      </c>
      <c r="E114" s="7">
        <f>E113+($H$8*$H$7*C113)*$H$1</f>
        <v>2499.6851626645362</v>
      </c>
    </row>
    <row r="115" spans="1:5" x14ac:dyDescent="0.25">
      <c r="A115" s="6">
        <f>A114+$H$1</f>
        <v>565</v>
      </c>
      <c r="B115" s="7">
        <f>B114-($H$6*B114*C114)*$H$1</f>
        <v>2.667544876969583E-6</v>
      </c>
      <c r="C115" s="7">
        <f>C114+($H$6*B114*C114-$H$7*C114)*$H$1</f>
        <v>1.1670696375205301</v>
      </c>
      <c r="D115" s="7">
        <f>D114+((1-$H$8)*$H$7*C114)*$H$1</f>
        <v>47494.141281310178</v>
      </c>
      <c r="E115" s="7">
        <f>E114+($H$8*$H$7*C114)*$H$1</f>
        <v>2499.6916463847442</v>
      </c>
    </row>
    <row r="116" spans="1:5" x14ac:dyDescent="0.25">
      <c r="A116" s="6">
        <f>A115+$H$1</f>
        <v>570</v>
      </c>
      <c r="B116" s="7">
        <f>B115-($H$6*B115*C115)*$H$1</f>
        <v>2.667467046703767E-6</v>
      </c>
      <c r="C116" s="7">
        <f>C115+($H$6*B115*C115-$H$7*C115)*$H$1</f>
        <v>1.0503626738463072</v>
      </c>
      <c r="D116" s="7">
        <f>D115+((1-$H$8)*$H$7*C115)*$H$1</f>
        <v>47494.252152925743</v>
      </c>
      <c r="E116" s="7">
        <f>E115+($H$8*$H$7*C115)*$H$1</f>
        <v>2499.6974817329319</v>
      </c>
    </row>
    <row r="117" spans="1:5" x14ac:dyDescent="0.25">
      <c r="A117" s="6">
        <f>A116+$H$1</f>
        <v>575</v>
      </c>
      <c r="B117" s="7">
        <f>B116-($H$6*B116*C116)*$H$1</f>
        <v>2.6673970015082779E-6</v>
      </c>
      <c r="C117" s="7">
        <f>C116+($H$6*B116*C116-$H$7*C116)*$H$1</f>
        <v>0.94532640653172173</v>
      </c>
      <c r="D117" s="7">
        <f>D116+((1-$H$8)*$H$7*C116)*$H$1</f>
        <v>47494.351937379761</v>
      </c>
      <c r="E117" s="7">
        <f>E116+($H$8*$H$7*C116)*$H$1</f>
        <v>2499.7027335463013</v>
      </c>
    </row>
    <row r="118" spans="1:5" x14ac:dyDescent="0.25">
      <c r="A118" s="6">
        <f>A117+$H$1</f>
        <v>580</v>
      </c>
      <c r="B118" s="7">
        <f>B117-($H$6*B117*C117)*$H$1</f>
        <v>2.667333962487722E-6</v>
      </c>
      <c r="C118" s="7">
        <f>C117+($H$6*B117*C117-$H$7*C117)*$H$1</f>
        <v>0.85079376594158851</v>
      </c>
      <c r="D118" s="7">
        <f>D117+((1-$H$8)*$H$7*C117)*$H$1</f>
        <v>47494.441743388379</v>
      </c>
      <c r="E118" s="7">
        <f>E117+($H$8*$H$7*C117)*$H$1</f>
        <v>2499.7074601783338</v>
      </c>
    </row>
    <row r="119" spans="1:5" x14ac:dyDescent="0.25">
      <c r="A119" s="6">
        <f>A118+$H$1</f>
        <v>585</v>
      </c>
      <c r="B119" s="7">
        <f>B118-($H$6*B118*C118)*$H$1</f>
        <v>2.6672772287100477E-6</v>
      </c>
      <c r="C119" s="7">
        <f>C118+($H$6*B118*C118-$H$7*C118)*$H$1</f>
        <v>0.76571438940416348</v>
      </c>
      <c r="D119" s="7">
        <f>D118+((1-$H$8)*$H$7*C118)*$H$1</f>
        <v>47494.522568796143</v>
      </c>
      <c r="E119" s="7">
        <f>E118+($H$8*$H$7*C118)*$H$1</f>
        <v>2499.7117141471635</v>
      </c>
    </row>
    <row r="120" spans="1:5" x14ac:dyDescent="0.25">
      <c r="A120" s="6">
        <f>A119+$H$1</f>
        <v>590</v>
      </c>
      <c r="B120" s="7">
        <f>B119-($H$6*B119*C119)*$H$1</f>
        <v>2.667226169396184E-6</v>
      </c>
      <c r="C120" s="7">
        <f>C119+($H$6*B119*C119-$H$7*C119)*$H$1</f>
        <v>0.68914295051480645</v>
      </c>
      <c r="D120" s="7">
        <f>D119+((1-$H$8)*$H$7*C119)*$H$1</f>
        <v>47494.595311663135</v>
      </c>
      <c r="E120" s="7">
        <f>E119+($H$8*$H$7*C119)*$H$1</f>
        <v>2499.7155427191105</v>
      </c>
    </row>
    <row r="121" spans="1:5" x14ac:dyDescent="0.25">
      <c r="A121" s="6">
        <f>A120+$H$1</f>
        <v>595</v>
      </c>
      <c r="B121" s="7">
        <f>B120-($H$6*B120*C120)*$H$1</f>
        <v>2.6671802168933825E-6</v>
      </c>
      <c r="C121" s="7">
        <f>C120+($H$6*B120*C120-$H$7*C120)*$H$1</f>
        <v>0.6202286555092783</v>
      </c>
      <c r="D121" s="7">
        <f>D120+((1-$H$8)*$H$7*C120)*$H$1</f>
        <v>47494.660780243437</v>
      </c>
      <c r="E121" s="7">
        <f>E120+($H$8*$H$7*C120)*$H$1</f>
        <v>2499.7189884338632</v>
      </c>
    </row>
    <row r="122" spans="1:5" x14ac:dyDescent="0.25">
      <c r="A122" s="6">
        <f>A121+$H$1</f>
        <v>600</v>
      </c>
      <c r="B122" s="7">
        <f>B121-($H$6*B121*C121)*$H$1</f>
        <v>2.6671388603533845E-6</v>
      </c>
      <c r="C122" s="7">
        <f>C121+($H$6*B121*C121-$H$7*C121)*$H$1</f>
        <v>0.55820578999970705</v>
      </c>
      <c r="D122" s="7">
        <f>D121+((1-$H$8)*$H$7*C121)*$H$1</f>
        <v>47494.719701965711</v>
      </c>
      <c r="E122" s="7">
        <f>E121+($H$8*$H$7*C121)*$H$1</f>
        <v>2499.7220895771407</v>
      </c>
    </row>
    <row r="123" spans="1:5" x14ac:dyDescent="0.25">
      <c r="A123" s="6">
        <f>A122+$H$1</f>
        <v>605</v>
      </c>
      <c r="B123" s="7">
        <f>B122-($H$6*B122*C122)*$H$1</f>
        <v>2.6671016400445199E-6</v>
      </c>
      <c r="C123" s="7">
        <f>C122+($H$6*B122*C122-$H$7*C122)*$H$1</f>
        <v>0.50238521103695666</v>
      </c>
      <c r="D123" s="7">
        <f>D122+((1-$H$8)*$H$7*C122)*$H$1</f>
        <v>47494.772731515761</v>
      </c>
      <c r="E123" s="7">
        <f>E122+($H$8*$H$7*C122)*$H$1</f>
        <v>2499.7248806060907</v>
      </c>
    </row>
    <row r="124" spans="1:5" x14ac:dyDescent="0.25">
      <c r="A124" s="6">
        <f>A123+$H$1</f>
        <v>610</v>
      </c>
      <c r="B124" s="7">
        <f>B123-($H$6*B123*C123)*$H$1</f>
        <v>2.6670681422340124E-6</v>
      </c>
      <c r="C124" s="7">
        <f>C123+($H$6*B123*C123-$H$7*C123)*$H$1</f>
        <v>0.45214668996675883</v>
      </c>
      <c r="D124" s="7">
        <f>D123+((1-$H$8)*$H$7*C123)*$H$1</f>
        <v>47494.820458110808</v>
      </c>
      <c r="E124" s="7">
        <f>E123+($H$8*$H$7*C123)*$H$1</f>
        <v>2499.727392532146</v>
      </c>
    </row>
    <row r="125" spans="1:5" x14ac:dyDescent="0.25">
      <c r="A125" s="6">
        <f>A124+$H$1</f>
        <v>615</v>
      </c>
      <c r="B125" s="7">
        <f>B124-($H$6*B124*C124)*$H$1</f>
        <v>2.6670379945832017E-6</v>
      </c>
      <c r="C125" s="7">
        <f>C124+($H$6*B124*C124-$H$7*C124)*$H$1</f>
        <v>0.40693202100023057</v>
      </c>
      <c r="D125" s="7">
        <f>D124+((1-$H$8)*$H$7*C124)*$H$1</f>
        <v>47494.863412046354</v>
      </c>
      <c r="E125" s="7">
        <f>E124+($H$8*$H$7*C124)*$H$1</f>
        <v>2499.729653265596</v>
      </c>
    </row>
    <row r="126" spans="1:5" x14ac:dyDescent="0.25">
      <c r="A126" s="6">
        <f>A125+$H$1</f>
        <v>620</v>
      </c>
      <c r="B126" s="7">
        <f>B125-($H$6*B125*C125)*$H$1</f>
        <v>2.6670108620041711E-6</v>
      </c>
      <c r="C126" s="7">
        <f>C125+($H$6*B125*C125-$H$7*C125)*$H$1</f>
        <v>0.36623881892734012</v>
      </c>
      <c r="D126" s="7">
        <f>D125+((1-$H$8)*$H$7*C125)*$H$1</f>
        <v>47494.902070588352</v>
      </c>
      <c r="E126" s="7">
        <f>E125+($H$8*$H$7*C125)*$H$1</f>
        <v>2499.731687925701</v>
      </c>
    </row>
    <row r="127" spans="1:5" x14ac:dyDescent="0.25">
      <c r="A127" s="6">
        <f>A126+$H$1</f>
        <v>625</v>
      </c>
      <c r="B127" s="7">
        <f>B126-($H$6*B126*C126)*$H$1</f>
        <v>2.6669864429314671E-6</v>
      </c>
      <c r="C127" s="7">
        <f>C126+($H$6*B126*C126-$H$7*C126)*$H$1</f>
        <v>0.32961493705902517</v>
      </c>
      <c r="D127" s="7">
        <f>D126+((1-$H$8)*$H$7*C126)*$H$1</f>
        <v>47494.936863276147</v>
      </c>
      <c r="E127" s="7">
        <f>E126+($H$8*$H$7*C126)*$H$1</f>
        <v>2499.7335191197958</v>
      </c>
    </row>
    <row r="128" spans="1:5" x14ac:dyDescent="0.25">
      <c r="A128" s="6">
        <f>A127+$H$1</f>
        <v>630</v>
      </c>
      <c r="B128" s="7">
        <f>B127-($H$6*B127*C127)*$H$1</f>
        <v>2.6669644659672538E-6</v>
      </c>
      <c r="C128" s="7">
        <f>C127+($H$6*B127*C127-$H$7*C127)*$H$1</f>
        <v>0.29665344337509963</v>
      </c>
      <c r="D128" s="7">
        <f>D127+((1-$H$8)*$H$7*C127)*$H$1</f>
        <v>47494.968176695169</v>
      </c>
      <c r="E128" s="7">
        <f>E127+($H$8*$H$7*C127)*$H$1</f>
        <v>2499.7351671944812</v>
      </c>
    </row>
    <row r="129" spans="1:5" x14ac:dyDescent="0.25">
      <c r="A129" s="6">
        <f>A128+$H$1</f>
        <v>635</v>
      </c>
      <c r="B129" s="7">
        <f>B128-($H$6*B128*C128)*$H$1</f>
        <v>2.6669446868624493E-6</v>
      </c>
      <c r="C129" s="7">
        <f>C128+($H$6*B128*C128-$H$7*C128)*$H$1</f>
        <v>0.26698809905736876</v>
      </c>
      <c r="D129" s="7">
        <f>D128+((1-$H$8)*$H$7*C128)*$H$1</f>
        <v>47494.996358772289</v>
      </c>
      <c r="E129" s="7">
        <f>E128+($H$8*$H$7*C128)*$H$1</f>
        <v>2499.736650461698</v>
      </c>
    </row>
    <row r="130" spans="1:5" x14ac:dyDescent="0.25">
      <c r="A130" s="6">
        <f>A129+$H$1</f>
        <v>640</v>
      </c>
      <c r="B130" s="7">
        <f>B129-($H$6*B129*C129)*$H$1</f>
        <v>2.6669268858001436E-6</v>
      </c>
      <c r="C130" s="7">
        <f>C129+($H$6*B129*C129-$H$7*C129)*$H$1</f>
        <v>0.24028928916943293</v>
      </c>
      <c r="D130" s="7">
        <f>D129+((1-$H$8)*$H$7*C129)*$H$1</f>
        <v>47495.021722641701</v>
      </c>
      <c r="E130" s="7">
        <f>E129+($H$8*$H$7*C129)*$H$1</f>
        <v>2499.7379854021933</v>
      </c>
    </row>
    <row r="131" spans="1:5" x14ac:dyDescent="0.25">
      <c r="A131" s="6">
        <f>A130+$H$1</f>
        <v>645</v>
      </c>
      <c r="B131" s="7">
        <f>B130-($H$6*B130*C130)*$H$1</f>
        <v>2.6669108649510023E-6</v>
      </c>
      <c r="C131" s="7">
        <f>C130+($H$6*B130*C130-$H$7*C130)*$H$1</f>
        <v>0.21626036026851048</v>
      </c>
      <c r="D131" s="7">
        <f>D130+((1-$H$8)*$H$7*C130)*$H$1</f>
        <v>47495.04455012417</v>
      </c>
      <c r="E131" s="7">
        <f>E130+($H$8*$H$7*C130)*$H$1</f>
        <v>2499.7391868486393</v>
      </c>
    </row>
    <row r="132" spans="1:5" x14ac:dyDescent="0.25">
      <c r="A132" s="6">
        <f>A131+$H$1</f>
        <v>650</v>
      </c>
      <c r="B132" s="7">
        <f>B131-($H$6*B131*C131)*$H$1</f>
        <v>2.6668964462733907E-6</v>
      </c>
      <c r="C132" s="7">
        <f>C131+($H$6*B131*C131-$H$7*C131)*$H$1</f>
        <v>0.1946343242560781</v>
      </c>
      <c r="D132" s="7">
        <f>D131+((1-$H$8)*$H$7*C131)*$H$1</f>
        <v>47495.065094858393</v>
      </c>
      <c r="E132" s="7">
        <f>E131+($H$8*$H$7*C131)*$H$1</f>
        <v>2499.7402681504404</v>
      </c>
    </row>
    <row r="133" spans="1:5" x14ac:dyDescent="0.25">
      <c r="A133" s="6">
        <f>A132+$H$1</f>
        <v>655</v>
      </c>
      <c r="B133" s="7">
        <f>B132-($H$6*B132*C132)*$H$1</f>
        <v>2.6668834695336988E-6</v>
      </c>
      <c r="C133" s="7">
        <f>C132+($H$6*B132*C132-$H$7*C132)*$H$1</f>
        <v>0.17517089184344703</v>
      </c>
      <c r="D133" s="7">
        <f>D132+((1-$H$8)*$H$7*C132)*$H$1</f>
        <v>47495.083585119195</v>
      </c>
      <c r="E133" s="7">
        <f>E132+($H$8*$H$7*C132)*$H$1</f>
        <v>2499.7412413220618</v>
      </c>
    </row>
    <row r="134" spans="1:5" x14ac:dyDescent="0.25">
      <c r="A134" s="6">
        <f>A133+$H$1</f>
        <v>660</v>
      </c>
      <c r="B134" s="7">
        <f>B133-($H$6*B133*C133)*$H$1</f>
        <v>2.666871790524804E-6</v>
      </c>
      <c r="C134" s="7">
        <f>C133+($H$6*B133*C133-$H$7*C133)*$H$1</f>
        <v>0.15765380267078133</v>
      </c>
      <c r="D134" s="7">
        <f>D133+((1-$H$8)*$H$7*C133)*$H$1</f>
        <v>47495.100226353919</v>
      </c>
      <c r="E134" s="7">
        <f>E133+($H$8*$H$7*C133)*$H$1</f>
        <v>2499.7421171765209</v>
      </c>
    </row>
    <row r="135" spans="1:5" x14ac:dyDescent="0.25">
      <c r="A135" s="6">
        <f>A134+$H$1</f>
        <v>665</v>
      </c>
      <c r="B135" s="7">
        <f>B134-($H$6*B134*C134)*$H$1</f>
        <v>2.6668612794628286E-6</v>
      </c>
      <c r="C135" s="7">
        <f>C134+($H$6*B134*C134-$H$7*C134)*$H$1</f>
        <v>0.14188842241421426</v>
      </c>
      <c r="D135" s="7">
        <f>D134+((1-$H$8)*$H$7*C134)*$H$1</f>
        <v>47495.115203465175</v>
      </c>
      <c r="E135" s="7">
        <f>E134+($H$8*$H$7*C134)*$H$1</f>
        <v>2499.7429054455342</v>
      </c>
    </row>
    <row r="136" spans="1:5" x14ac:dyDescent="0.25">
      <c r="A136" s="6">
        <f>A135+$H$1</f>
        <v>670</v>
      </c>
      <c r="B136" s="7">
        <f>B135-($H$6*B135*C135)*$H$1</f>
        <v>2.6668518195443352E-6</v>
      </c>
      <c r="C136" s="7">
        <f>C135+($H$6*B135*C135-$H$7*C135)*$H$1</f>
        <v>0.12769958018225275</v>
      </c>
      <c r="D136" s="7">
        <f>D135+((1-$H$8)*$H$7*C135)*$H$1</f>
        <v>47495.128682865303</v>
      </c>
      <c r="E136" s="7">
        <f>E135+($H$8*$H$7*C135)*$H$1</f>
        <v>2499.7436148876463</v>
      </c>
    </row>
    <row r="137" spans="1:5" x14ac:dyDescent="0.25">
      <c r="A137" s="6">
        <f>A136+$H$1</f>
        <v>675</v>
      </c>
      <c r="B137" s="7">
        <f>B136-($H$6*B136*C136)*$H$1</f>
        <v>2.6668433056478912E-6</v>
      </c>
      <c r="C137" s="7">
        <f>C136+($H$6*B136*C136-$H$7*C136)*$H$1</f>
        <v>0.11492962217254137</v>
      </c>
      <c r="D137" s="7">
        <f>D136+((1-$H$8)*$H$7*C136)*$H$1</f>
        <v>47495.140814325423</v>
      </c>
      <c r="E137" s="7">
        <f>E136+($H$8*$H$7*C136)*$H$1</f>
        <v>2499.7442533855474</v>
      </c>
    </row>
    <row r="138" spans="1:5" x14ac:dyDescent="0.25">
      <c r="A138" s="6">
        <f>A137+$H$1</f>
        <v>680</v>
      </c>
      <c r="B138" s="7">
        <f>B137-($H$6*B137*C137)*$H$1</f>
        <v>2.6668356431655533E-6</v>
      </c>
      <c r="C138" s="7">
        <f>C137+($H$6*B137*C137-$H$7*C137)*$H$1</f>
        <v>0.10343665996294971</v>
      </c>
      <c r="D138" s="7">
        <f>D137+((1-$H$8)*$H$7*C137)*$H$1</f>
        <v>47495.151732639526</v>
      </c>
      <c r="E138" s="7">
        <f>E137+($H$8*$H$7*C137)*$H$1</f>
        <v>2499.7448280336585</v>
      </c>
    </row>
    <row r="139" spans="1:5" x14ac:dyDescent="0.25">
      <c r="A139" s="6">
        <f>A138+$H$1</f>
        <v>685</v>
      </c>
      <c r="B139" s="7">
        <f>B138-($H$6*B138*C138)*$H$1</f>
        <v>2.6668287469512632E-6</v>
      </c>
      <c r="C139" s="7">
        <f>C138+($H$6*B138*C138-$H$7*C138)*$H$1</f>
        <v>9.3092993973550947E-2</v>
      </c>
      <c r="D139" s="7">
        <f>D138+((1-$H$8)*$H$7*C138)*$H$1</f>
        <v>47495.161559122222</v>
      </c>
      <c r="E139" s="7">
        <f>E138+($H$8*$H$7*C138)*$H$1</f>
        <v>2499.7453452169584</v>
      </c>
    </row>
    <row r="140" spans="1:5" x14ac:dyDescent="0.25">
      <c r="A140" s="6">
        <f>A139+$H$1</f>
        <v>690</v>
      </c>
      <c r="B140" s="7">
        <f>B139-($H$6*B139*C139)*$H$1</f>
        <v>2.6668225403744517E-6</v>
      </c>
      <c r="C140" s="7">
        <f>C139+($H$6*B139*C139-$H$7*C139)*$H$1</f>
        <v>8.3783694582402424E-2</v>
      </c>
      <c r="D140" s="7">
        <f>D139+((1-$H$8)*$H$7*C139)*$H$1</f>
        <v>47495.170402956646</v>
      </c>
      <c r="E140" s="7">
        <f>E139+($H$8*$H$7*C139)*$H$1</f>
        <v>2499.7458106819281</v>
      </c>
    </row>
    <row r="141" spans="1:5" x14ac:dyDescent="0.25">
      <c r="A141" s="6">
        <f>A140+$H$1</f>
        <v>695</v>
      </c>
      <c r="B141" s="7">
        <f>B140-($H$6*B140*C140)*$H$1</f>
        <v>2.666816954468321E-6</v>
      </c>
      <c r="C141" s="7">
        <f>C140+($H$6*B140*C140-$H$7*C140)*$H$1</f>
        <v>7.5405325129748083E-2</v>
      </c>
      <c r="D141" s="7">
        <f>D140+((1-$H$8)*$H$7*C140)*$H$1</f>
        <v>47495.178362407634</v>
      </c>
      <c r="E141" s="7">
        <f>E140+($H$8*$H$7*C140)*$H$1</f>
        <v>2499.746229600401</v>
      </c>
    </row>
    <row r="142" spans="1:5" x14ac:dyDescent="0.25">
      <c r="A142" s="6">
        <f>A141+$H$1</f>
        <v>700</v>
      </c>
      <c r="B142" s="7">
        <f>B141-($H$6*B141*C141)*$H$1</f>
        <v>2.6668119271633331E-6</v>
      </c>
      <c r="C142" s="7">
        <f>C141+($H$6*B141*C141-$H$7*C141)*$H$1</f>
        <v>6.7864792621800576E-2</v>
      </c>
      <c r="D142" s="7">
        <f>D141+((1-$H$8)*$H$7*C141)*$H$1</f>
        <v>47495.185525913519</v>
      </c>
      <c r="E142" s="7">
        <f>E141+($H$8*$H$7*C141)*$H$1</f>
        <v>2499.7466066270267</v>
      </c>
    </row>
    <row r="143" spans="1:5" x14ac:dyDescent="0.25">
      <c r="A143" s="6">
        <f>A142+$H$1</f>
        <v>705</v>
      </c>
      <c r="B143" s="7">
        <f>B142-($H$6*B142*C142)*$H$1</f>
        <v>2.6668074025973734E-6</v>
      </c>
      <c r="C143" s="7">
        <f>C142+($H$6*B142*C142-$H$7*C142)*$H$1</f>
        <v>6.1078313364145084E-2</v>
      </c>
      <c r="D143" s="7">
        <f>D142+((1-$H$8)*$H$7*C142)*$H$1</f>
        <v>47495.191973068817</v>
      </c>
      <c r="E143" s="7">
        <f>E142+($H$8*$H$7*C142)*$H$1</f>
        <v>2499.7469459509898</v>
      </c>
    </row>
    <row r="144" spans="1:5" x14ac:dyDescent="0.25">
      <c r="A144" s="6">
        <f>A143+$H$1</f>
        <v>710</v>
      </c>
      <c r="B144" s="7">
        <f>B143-($H$6*B143*C143)*$H$1</f>
        <v>2.666803330494918E-6</v>
      </c>
      <c r="C144" s="7">
        <f>C143+($H$6*B143*C143-$H$7*C143)*$H$1</f>
        <v>5.497048203180268E-2</v>
      </c>
      <c r="D144" s="7">
        <f>D143+((1-$H$8)*$H$7*C143)*$H$1</f>
        <v>47495.19777550859</v>
      </c>
      <c r="E144" s="7">
        <f>E143+($H$8*$H$7*C143)*$H$1</f>
        <v>2499.7472513425564</v>
      </c>
    </row>
    <row r="145" spans="1:5" x14ac:dyDescent="0.25">
      <c r="A145" s="6">
        <f>A144+$H$1</f>
        <v>715</v>
      </c>
      <c r="B145" s="7">
        <f>B144-($H$6*B144*C144)*$H$1</f>
        <v>2.6667996656083039E-6</v>
      </c>
      <c r="C145" s="7">
        <f>C144+($H$6*B144*C144-$H$7*C144)*$H$1</f>
        <v>4.9473433832287299E-2</v>
      </c>
      <c r="D145" s="7">
        <f>D144+((1-$H$8)*$H$7*C144)*$H$1</f>
        <v>47495.202997704386</v>
      </c>
      <c r="E145" s="7">
        <f>E144+($H$8*$H$7*C144)*$H$1</f>
        <v>2499.7475261949667</v>
      </c>
    </row>
    <row r="146" spans="1:5" x14ac:dyDescent="0.25">
      <c r="A146" s="6">
        <f>A145+$H$1</f>
        <v>720</v>
      </c>
      <c r="B146" s="7">
        <f>B145-($H$6*B145*C145)*$H$1</f>
        <v>2.6667963672148839E-6</v>
      </c>
      <c r="C146" s="7">
        <f>C145+($H$6*B145*C145-$H$7*C145)*$H$1</f>
        <v>4.4526090452356962E-2</v>
      </c>
      <c r="D146" s="7">
        <f>D145+((1-$H$8)*$H$7*C145)*$H$1</f>
        <v>47495.207697680598</v>
      </c>
      <c r="E146" s="7">
        <f>E145+($H$8*$H$7*C145)*$H$1</f>
        <v>2499.747773562136</v>
      </c>
    </row>
    <row r="147" spans="1:5" x14ac:dyDescent="0.25">
      <c r="A147" s="6">
        <f>A146+$H$1</f>
        <v>725</v>
      </c>
      <c r="B147" s="7">
        <f>B146-($H$6*B146*C146)*$H$1</f>
        <v>2.6667933986644775E-6</v>
      </c>
      <c r="C147" s="7">
        <f>C146+($H$6*B146*C146-$H$7*C146)*$H$1</f>
        <v>4.0073481410089817E-2</v>
      </c>
      <c r="D147" s="7">
        <f>D146+((1-$H$8)*$H$7*C146)*$H$1</f>
        <v>47495.211927659191</v>
      </c>
      <c r="E147" s="7">
        <f>E146+($H$8*$H$7*C146)*$H$1</f>
        <v>2499.7479961925883</v>
      </c>
    </row>
    <row r="148" spans="1:5" x14ac:dyDescent="0.25">
      <c r="A148" s="6">
        <f>A147+$H$1</f>
        <v>730</v>
      </c>
      <c r="B148" s="7">
        <f>B147-($H$6*B147*C147)*$H$1</f>
        <v>2.6667907269720851E-6</v>
      </c>
      <c r="C148" s="7">
        <f>C147+($H$6*B147*C147-$H$7*C147)*$H$1</f>
        <v>3.606613327175253E-2</v>
      </c>
      <c r="D148" s="7">
        <f>D147+((1-$H$8)*$H$7*C147)*$H$1</f>
        <v>47495.215734639925</v>
      </c>
      <c r="E148" s="7">
        <f>E147+($H$8*$H$7*C147)*$H$1</f>
        <v>2499.7481965599954</v>
      </c>
    </row>
    <row r="149" spans="1:5" x14ac:dyDescent="0.25">
      <c r="A149" s="6">
        <f>A148+$H$1</f>
        <v>735</v>
      </c>
      <c r="B149" s="7">
        <f>B148-($H$6*B148*C148)*$H$1</f>
        <v>2.6667883224513409E-6</v>
      </c>
      <c r="C149" s="7">
        <f>C148+($H$6*B148*C148-$H$7*C148)*$H$1</f>
        <v>3.2459519946981798E-2</v>
      </c>
      <c r="D149" s="7">
        <f>D148+((1-$H$8)*$H$7*C148)*$H$1</f>
        <v>47495.219160922585</v>
      </c>
      <c r="E149" s="7">
        <f>E148+($H$8*$H$7*C148)*$H$1</f>
        <v>2499.7483768906618</v>
      </c>
    </row>
    <row r="150" spans="1:5" x14ac:dyDescent="0.25">
      <c r="A150" s="6">
        <f>A149+$H$1</f>
        <v>740</v>
      </c>
      <c r="B150" s="7">
        <f>B149-($H$6*B149*C149)*$H$1</f>
        <v>2.6667861583846224E-6</v>
      </c>
      <c r="C150" s="7">
        <f>C149+($H$6*B149*C149-$H$7*C149)*$H$1</f>
        <v>2.9213567954447683E-2</v>
      </c>
      <c r="D150" s="7">
        <f>D149+((1-$H$8)*$H$7*C149)*$H$1</f>
        <v>47495.22224457698</v>
      </c>
      <c r="E150" s="7">
        <f>E149+($H$8*$H$7*C149)*$H$1</f>
        <v>2499.7485391882615</v>
      </c>
    </row>
    <row r="151" spans="1:5" x14ac:dyDescent="0.25">
      <c r="A151" s="6">
        <f>A150+$H$1</f>
        <v>745</v>
      </c>
      <c r="B151" s="7">
        <f>B150-($H$6*B150*C150)*$H$1</f>
        <v>2.666784210726156E-6</v>
      </c>
      <c r="C151" s="7">
        <f>C150+($H$6*B150*C150-$H$7*C150)*$H$1</f>
        <v>2.6292211160950575E-2</v>
      </c>
      <c r="D151" s="7">
        <f>D150+((1-$H$8)*$H$7*C150)*$H$1</f>
        <v>47495.225019865939</v>
      </c>
      <c r="E151" s="7">
        <f>E150+($H$8*$H$7*C150)*$H$1</f>
        <v>2499.7486852561015</v>
      </c>
    </row>
    <row r="152" spans="1:5" x14ac:dyDescent="0.25">
      <c r="A152" s="6">
        <f>A151+$H$1</f>
        <v>750</v>
      </c>
      <c r="B152" s="7">
        <f>B151-($H$6*B151*C151)*$H$1</f>
        <v>2.6667824578348164E-6</v>
      </c>
      <c r="C152" s="7">
        <f>C151+($H$6*B151*C151-$H$7*C151)*$H$1</f>
        <v>2.366299004660841E-2</v>
      </c>
      <c r="D152" s="7">
        <f>D151+((1-$H$8)*$H$7*C151)*$H$1</f>
        <v>47495.227517626001</v>
      </c>
      <c r="E152" s="7">
        <f>E151+($H$8*$H$7*C151)*$H$1</f>
        <v>2499.7488167171573</v>
      </c>
    </row>
    <row r="153" spans="1:5" x14ac:dyDescent="0.25">
      <c r="A153" s="6">
        <f>A152+$H$1</f>
        <v>755</v>
      </c>
      <c r="B153" s="7">
        <f>B152-($H$6*B152*C152)*$H$1</f>
        <v>2.6667808802336474E-6</v>
      </c>
      <c r="C153" s="7">
        <f>C152+($H$6*B152*C152-$H$7*C152)*$H$1</f>
        <v>2.1296691043525169E-2</v>
      </c>
      <c r="D153" s="7">
        <f>D152+((1-$H$8)*$H$7*C152)*$H$1</f>
        <v>47495.229765610056</v>
      </c>
      <c r="E153" s="7">
        <f>E152+($H$8*$H$7*C152)*$H$1</f>
        <v>2499.7489350321075</v>
      </c>
    </row>
    <row r="154" spans="1:5" x14ac:dyDescent="0.25">
      <c r="A154" s="6">
        <f>A153+$H$1</f>
        <v>760</v>
      </c>
      <c r="B154" s="7">
        <f>B153-($H$6*B153*C153)*$H$1</f>
        <v>2.666779460393435E-6</v>
      </c>
      <c r="C154" s="7">
        <f>C153+($H$6*B153*C153-$H$7*C153)*$H$1</f>
        <v>1.9167021940592492E-2</v>
      </c>
      <c r="D154" s="7">
        <f>D153+((1-$H$8)*$H$7*C153)*$H$1</f>
        <v>47495.231788795703</v>
      </c>
      <c r="E154" s="7">
        <f>E153+($H$8*$H$7*C153)*$H$1</f>
        <v>2499.7490415155626</v>
      </c>
    </row>
    <row r="155" spans="1:5" x14ac:dyDescent="0.25">
      <c r="A155" s="6">
        <f>A154+$H$1</f>
        <v>765</v>
      </c>
      <c r="B155" s="7">
        <f>B154-($H$6*B154*C154)*$H$1</f>
        <v>2.6667781825379242E-6</v>
      </c>
      <c r="C155" s="7">
        <f>C154+($H$6*B154*C154-$H$7*C154)*$H$1</f>
        <v>1.7250319747811098E-2</v>
      </c>
      <c r="D155" s="7">
        <f>D154+((1-$H$8)*$H$7*C154)*$H$1</f>
        <v>47495.233609662784</v>
      </c>
      <c r="E155" s="7">
        <f>E154+($H$8*$H$7*C154)*$H$1</f>
        <v>2499.7491373506723</v>
      </c>
    </row>
    <row r="156" spans="1:5" x14ac:dyDescent="0.25">
      <c r="A156" s="6">
        <f>A155+$H$1</f>
        <v>770</v>
      </c>
      <c r="B156" s="7">
        <f>B155-($H$6*B155*C155)*$H$1</f>
        <v>2.6667770324685157E-6</v>
      </c>
      <c r="C156" s="7">
        <f>C155+($H$6*B155*C155-$H$7*C155)*$H$1</f>
        <v>1.5525287774180057E-2</v>
      </c>
      <c r="D156" s="7">
        <f>D155+((1-$H$8)*$H$7*C155)*$H$1</f>
        <v>47495.235248443161</v>
      </c>
      <c r="E156" s="7">
        <f>E155+($H$8*$H$7*C155)*$H$1</f>
        <v>2499.7492236022708</v>
      </c>
    </row>
    <row r="157" spans="1:5" x14ac:dyDescent="0.25">
      <c r="A157" s="6">
        <f>A156+$H$1</f>
        <v>775</v>
      </c>
      <c r="B157" s="7">
        <f>B156-($H$6*B156*C156)*$H$1</f>
        <v>2.6667759974064942E-6</v>
      </c>
      <c r="C157" s="7">
        <f>C156+($H$6*B156*C156-$H$7*C156)*$H$1</f>
        <v>1.3972758997797114E-2</v>
      </c>
      <c r="D157" s="7">
        <f>D156+((1-$H$8)*$H$7*C156)*$H$1</f>
        <v>47495.236723345501</v>
      </c>
      <c r="E157" s="7">
        <f>E156+($H$8*$H$7*C156)*$H$1</f>
        <v>2499.7493012287096</v>
      </c>
    </row>
    <row r="158" spans="1:5" x14ac:dyDescent="0.25">
      <c r="A158" s="6">
        <f>A157+$H$1</f>
        <v>780</v>
      </c>
      <c r="B158" s="7">
        <f>B157-($H$6*B157*C157)*$H$1</f>
        <v>2.6667750658510366E-6</v>
      </c>
      <c r="C158" s="7">
        <f>C157+($H$6*B157*C157-$H$7*C157)*$H$1</f>
        <v>1.2575483098948959E-2</v>
      </c>
      <c r="D158" s="7">
        <f>D157+((1-$H$8)*$H$7*C157)*$H$1</f>
        <v>47495.238050757609</v>
      </c>
      <c r="E158" s="7">
        <f>E157+($H$8*$H$7*C157)*$H$1</f>
        <v>2499.7493710925046</v>
      </c>
    </row>
    <row r="159" spans="1:5" x14ac:dyDescent="0.25">
      <c r="A159" s="6">
        <f>A158+$H$1</f>
        <v>785</v>
      </c>
      <c r="B159" s="7">
        <f>B158-($H$6*B158*C158)*$H$1</f>
        <v>2.6667742274514171E-6</v>
      </c>
      <c r="C159" s="7">
        <f>C158+($H$6*B158*C158-$H$7*C158)*$H$1</f>
        <v>1.1317934789892462E-2</v>
      </c>
      <c r="D159" s="7">
        <f>D158+((1-$H$8)*$H$7*C158)*$H$1</f>
        <v>47495.2392454285</v>
      </c>
      <c r="E159" s="7">
        <f>E158+($H$8*$H$7*C158)*$H$1</f>
        <v>2499.7494339699201</v>
      </c>
    </row>
    <row r="160" spans="1:5" x14ac:dyDescent="0.25">
      <c r="A160" s="6">
        <f>A159+$H$1</f>
        <v>790</v>
      </c>
      <c r="B160" s="7">
        <f>B159-($H$6*B159*C159)*$H$1</f>
        <v>2.6667734728919968E-6</v>
      </c>
      <c r="C160" s="7">
        <f>C159+($H$6*B159*C159-$H$7*C159)*$H$1</f>
        <v>1.0186141311657775E-2</v>
      </c>
      <c r="D160" s="7">
        <f>D159+((1-$H$8)*$H$7*C159)*$H$1</f>
        <v>47495.240320632307</v>
      </c>
      <c r="E160" s="7">
        <f>E159+($H$8*$H$7*C159)*$H$1</f>
        <v>2499.7494905595941</v>
      </c>
    </row>
    <row r="161" spans="1:5" x14ac:dyDescent="0.25">
      <c r="A161" s="6">
        <f>A160+$H$1</f>
        <v>795</v>
      </c>
      <c r="B161" s="7">
        <f>B160-($H$6*B160*C160)*$H$1</f>
        <v>2.6667727937887108E-6</v>
      </c>
      <c r="C161" s="7">
        <f>C160+($H$6*B160*C160-$H$7*C160)*$H$1</f>
        <v>9.1675271811711007E-3</v>
      </c>
      <c r="D161" s="7">
        <f>D160+((1-$H$8)*$H$7*C160)*$H$1</f>
        <v>47495.24128831573</v>
      </c>
      <c r="E161" s="7">
        <f>E160+($H$8*$H$7*C160)*$H$1</f>
        <v>2499.7495414903005</v>
      </c>
    </row>
    <row r="162" spans="1:5" x14ac:dyDescent="0.25">
      <c r="A162" s="6">
        <f>A161+$H$1</f>
        <v>800</v>
      </c>
      <c r="B162" s="7">
        <f>B161-($H$6*B161*C161)*$H$1</f>
        <v>2.666772182595909E-6</v>
      </c>
      <c r="C162" s="7">
        <f>C161+($H$6*B161*C161-$H$7*C161)*$H$1</f>
        <v>8.2507744636651833E-3</v>
      </c>
      <c r="D162" s="7">
        <f>D161+((1-$H$8)*$H$7*C161)*$H$1</f>
        <v>47495.242159230809</v>
      </c>
      <c r="E162" s="7">
        <f>E161+($H$8*$H$7*C161)*$H$1</f>
        <v>2499.7495873279363</v>
      </c>
    </row>
    <row r="163" spans="1:5" x14ac:dyDescent="0.25">
      <c r="A163" s="6">
        <f>A162+$H$1</f>
        <v>805</v>
      </c>
      <c r="B163" s="7">
        <f>B162-($H$6*B162*C162)*$H$1</f>
        <v>2.6667716325225135E-6</v>
      </c>
      <c r="C163" s="7">
        <f>C162+($H$6*B162*C162-$H$7*C162)*$H$1</f>
        <v>7.4256970178487383E-3</v>
      </c>
      <c r="D163" s="7">
        <f>D162+((1-$H$8)*$H$7*C162)*$H$1</f>
        <v>47495.242943054385</v>
      </c>
      <c r="E163" s="7">
        <f>E162+($H$8*$H$7*C162)*$H$1</f>
        <v>2499.7496285818088</v>
      </c>
    </row>
    <row r="164" spans="1:5" x14ac:dyDescent="0.25">
      <c r="A164" s="6">
        <f>A163+$H$1</f>
        <v>810</v>
      </c>
      <c r="B164" s="7">
        <f>B163-($H$6*B163*C163)*$H$1</f>
        <v>2.6667711374565595E-6</v>
      </c>
      <c r="C164" s="7">
        <f>C163+($H$6*B163*C163-$H$7*C163)*$H$1</f>
        <v>6.6831273165589306E-3</v>
      </c>
      <c r="D164" s="7">
        <f>D163+((1-$H$8)*$H$7*C163)*$H$1</f>
        <v>47495.243648495605</v>
      </c>
      <c r="E164" s="7">
        <f>E163+($H$8*$H$7*C163)*$H$1</f>
        <v>2499.7496657102938</v>
      </c>
    </row>
    <row r="165" spans="1:5" x14ac:dyDescent="0.25">
      <c r="A165" s="6">
        <f>A164+$H$1</f>
        <v>815</v>
      </c>
      <c r="B165" s="7">
        <f>B164-($H$6*B164*C164)*$H$1</f>
        <v>2.6667706918972837E-6</v>
      </c>
      <c r="C165" s="7">
        <f>C164+($H$6*B164*C164-$H$7*C164)*$H$1</f>
        <v>6.0148145853485971E-3</v>
      </c>
      <c r="D165" s="7">
        <f>D164+((1-$H$8)*$H$7*C164)*$H$1</f>
        <v>47495.244283392698</v>
      </c>
      <c r="E165" s="7">
        <f>E164+($H$8*$H$7*C164)*$H$1</f>
        <v>2499.7496991259304</v>
      </c>
    </row>
    <row r="166" spans="1:5" x14ac:dyDescent="0.25">
      <c r="A166" s="6">
        <f>A165+$H$1</f>
        <v>820</v>
      </c>
      <c r="B166" s="7">
        <f>B165-($H$6*B165*C165)*$H$1</f>
        <v>2.6667702908940022E-6</v>
      </c>
      <c r="C166" s="7">
        <f>C165+($H$6*B165*C165-$H$7*C165)*$H$1</f>
        <v>5.4133331272147407E-3</v>
      </c>
      <c r="D166" s="7">
        <f>D165+((1-$H$8)*$H$7*C165)*$H$1</f>
        <v>47495.244854800083</v>
      </c>
      <c r="E166" s="7">
        <f>E165+($H$8*$H$7*C165)*$H$1</f>
        <v>2499.7497292000035</v>
      </c>
    </row>
    <row r="167" spans="1:5" x14ac:dyDescent="0.25">
      <c r="A167" s="6">
        <f>A166+$H$1</f>
        <v>825</v>
      </c>
      <c r="B167" s="7">
        <f>B166-($H$6*B166*C166)*$H$1</f>
        <v>2.6667699299911032E-6</v>
      </c>
      <c r="C167" s="7">
        <f>C166+($H$6*B166*C166-$H$7*C166)*$H$1</f>
        <v>4.8719998148541695E-3</v>
      </c>
      <c r="D167" s="7">
        <f>D166+((1-$H$8)*$H$7*C166)*$H$1</f>
        <v>47495.245369066732</v>
      </c>
      <c r="E167" s="7">
        <f>E166+($H$8*$H$7*C166)*$H$1</f>
        <v>2499.749756266669</v>
      </c>
    </row>
    <row r="168" spans="1:5" x14ac:dyDescent="0.25">
      <c r="A168" s="6">
        <f>A167+$H$1</f>
        <v>830</v>
      </c>
      <c r="B168" s="7">
        <f>B167-($H$6*B167*C167)*$H$1</f>
        <v>2.6667696051785382E-6</v>
      </c>
      <c r="C168" s="7">
        <f>C167+($H$6*B167*C167-$H$7*C167)*$H$1</f>
        <v>4.3847998336935647E-3</v>
      </c>
      <c r="D168" s="7">
        <f>D167+((1-$H$8)*$H$7*C167)*$H$1</f>
        <v>47495.245831906715</v>
      </c>
      <c r="E168" s="7">
        <f>E167+($H$8*$H$7*C167)*$H$1</f>
        <v>2499.7497806266679</v>
      </c>
    </row>
    <row r="169" spans="1:5" x14ac:dyDescent="0.25">
      <c r="A169" s="6">
        <f>A168+$H$1</f>
        <v>835</v>
      </c>
      <c r="B169" s="7">
        <f>B168-($H$6*B168*C168)*$H$1</f>
        <v>2.6667693128472651E-6</v>
      </c>
      <c r="C169" s="7">
        <f>C168+($H$6*B168*C168-$H$7*C168)*$H$1</f>
        <v>3.9463198506165392E-3</v>
      </c>
      <c r="D169" s="7">
        <f>D168+((1-$H$8)*$H$7*C168)*$H$1</f>
        <v>47495.246248462703</v>
      </c>
      <c r="E169" s="7">
        <f>E168+($H$8*$H$7*C168)*$H$1</f>
        <v>2499.749802550667</v>
      </c>
    </row>
    <row r="170" spans="1:5" x14ac:dyDescent="0.25">
      <c r="A170" s="6">
        <f>A169+$H$1</f>
        <v>840</v>
      </c>
      <c r="B170" s="7">
        <f>B169-($H$6*B169*C169)*$H$1</f>
        <v>2.6667690497491484E-6</v>
      </c>
      <c r="C170" s="7">
        <f>C169+($H$6*B169*C169-$H$7*C169)*$H$1</f>
        <v>3.5516878658179833E-3</v>
      </c>
      <c r="D170" s="7">
        <f>D169+((1-$H$8)*$H$7*C169)*$H$1</f>
        <v>47495.246623363091</v>
      </c>
      <c r="E170" s="7">
        <f>E169+($H$8*$H$7*C169)*$H$1</f>
        <v>2499.7498222822665</v>
      </c>
    </row>
    <row r="171" spans="1:5" x14ac:dyDescent="0.25">
      <c r="A171" s="6">
        <f>A170+$H$1</f>
        <v>845</v>
      </c>
      <c r="B171" s="7">
        <f>B170-($H$6*B170*C170)*$H$1</f>
        <v>2.6667688129608665E-6</v>
      </c>
      <c r="C171" s="7">
        <f>C170+($H$6*B170*C170-$H$7*C170)*$H$1</f>
        <v>3.196519079472973E-3</v>
      </c>
      <c r="D171" s="7">
        <f>D170+((1-$H$8)*$H$7*C170)*$H$1</f>
        <v>47495.246960773438</v>
      </c>
      <c r="E171" s="7">
        <f>E170+($H$8*$H$7*C170)*$H$1</f>
        <v>2499.7498400407057</v>
      </c>
    </row>
    <row r="172" spans="1:5" x14ac:dyDescent="0.25">
      <c r="A172" s="6">
        <f>A171+$H$1</f>
        <v>850</v>
      </c>
      <c r="B172" s="7">
        <f>B171-($H$6*B171*C171)*$H$1</f>
        <v>2.6667685998514317E-6</v>
      </c>
      <c r="C172" s="7">
        <f>C171+($H$6*B171*C171-$H$7*C171)*$H$1</f>
        <v>2.8768671717387851E-3</v>
      </c>
      <c r="D172" s="7">
        <f>D171+((1-$H$8)*$H$7*C171)*$H$1</f>
        <v>47495.247264442754</v>
      </c>
      <c r="E172" s="7">
        <f>E171+($H$8*$H$7*C171)*$H$1</f>
        <v>2499.7498560233012</v>
      </c>
    </row>
    <row r="173" spans="1:5" x14ac:dyDescent="0.25">
      <c r="A173" s="6">
        <f>A172+$H$1</f>
        <v>855</v>
      </c>
      <c r="B173" s="7">
        <f>B172-($H$6*B172*C172)*$H$1</f>
        <v>2.6667684080529559E-6</v>
      </c>
      <c r="C173" s="7">
        <f>C172+($H$6*B172*C172-$H$7*C172)*$H$1</f>
        <v>2.5891804547567049E-3</v>
      </c>
      <c r="D173" s="7">
        <f>D172+((1-$H$8)*$H$7*C172)*$H$1</f>
        <v>47495.247537745134</v>
      </c>
      <c r="E173" s="7">
        <f>E172+($H$8*$H$7*C172)*$H$1</f>
        <v>2499.749870407637</v>
      </c>
    </row>
    <row r="174" spans="1:5" x14ac:dyDescent="0.25">
      <c r="A174" s="6">
        <f>A173+$H$1</f>
        <v>860</v>
      </c>
      <c r="B174" s="7">
        <f>B173-($H$6*B173*C173)*$H$1</f>
        <v>2.66676823543434E-6</v>
      </c>
      <c r="C174" s="7">
        <f>C173+($H$6*B173*C173-$H$7*C173)*$H$1</f>
        <v>2.3302624094536529E-3</v>
      </c>
      <c r="D174" s="7">
        <f>D173+((1-$H$8)*$H$7*C173)*$H$1</f>
        <v>47495.247783717277</v>
      </c>
      <c r="E174" s="7">
        <f>E173+($H$8*$H$7*C173)*$H$1</f>
        <v>2499.7498833535392</v>
      </c>
    </row>
    <row r="175" spans="1:5" x14ac:dyDescent="0.25">
      <c r="A175" s="6">
        <f>A174+$H$1</f>
        <v>865</v>
      </c>
      <c r="B175" s="7">
        <f>B174-($H$6*B174*C174)*$H$1</f>
        <v>2.6667680800775957E-6</v>
      </c>
      <c r="C175" s="7">
        <f>C174+($H$6*B174*C174-$H$7*C174)*$H$1</f>
        <v>2.0972361686636444E-3</v>
      </c>
      <c r="D175" s="7">
        <f>D174+((1-$H$8)*$H$7*C174)*$H$1</f>
        <v>47495.248005092209</v>
      </c>
      <c r="E175" s="7">
        <f>E174+($H$8*$H$7*C174)*$H$1</f>
        <v>2499.7498950048512</v>
      </c>
    </row>
    <row r="176" spans="1:5" x14ac:dyDescent="0.25">
      <c r="A176" s="6">
        <f>A175+$H$1</f>
        <v>870</v>
      </c>
      <c r="B176" s="7">
        <f>B175-($H$6*B175*C175)*$H$1</f>
        <v>2.6667679402565339E-6</v>
      </c>
      <c r="C176" s="7">
        <f>C175+($H$6*B175*C175-$H$7*C175)*$H$1</f>
        <v>1.8875125519371011E-3</v>
      </c>
      <c r="D176" s="7">
        <f>D175+((1-$H$8)*$H$7*C175)*$H$1</f>
        <v>47495.248204329648</v>
      </c>
      <c r="E176" s="7">
        <f>E175+($H$8*$H$7*C175)*$H$1</f>
        <v>2499.7499054910322</v>
      </c>
    </row>
    <row r="177" spans="1:5" x14ac:dyDescent="0.25">
      <c r="A177" s="6">
        <f>A176+$H$1</f>
        <v>875</v>
      </c>
      <c r="B177" s="7">
        <f>B176-($H$6*B176*C176)*$H$1</f>
        <v>2.6667678144175847E-6</v>
      </c>
      <c r="C177" s="7">
        <f>C176+($H$6*B176*C176-$H$7*C176)*$H$1</f>
        <v>1.69876129686923E-3</v>
      </c>
      <c r="D177" s="7">
        <f>D176+((1-$H$8)*$H$7*C176)*$H$1</f>
        <v>47495.248383643338</v>
      </c>
      <c r="E177" s="7">
        <f>E176+($H$8*$H$7*C176)*$H$1</f>
        <v>2499.749914928595</v>
      </c>
    </row>
    <row r="178" spans="1:5" x14ac:dyDescent="0.25">
      <c r="A178" s="6">
        <f>A177+$H$1</f>
        <v>880</v>
      </c>
      <c r="B178" s="7">
        <f>B177-($H$6*B177*C177)*$H$1</f>
        <v>2.666767701162536E-6</v>
      </c>
      <c r="C178" s="7">
        <f>C177+($H$6*B177*C177-$H$7*C177)*$H$1</f>
        <v>1.528885167295562E-3</v>
      </c>
      <c r="D178" s="7">
        <f>D177+((1-$H$8)*$H$7*C177)*$H$1</f>
        <v>47495.248545025664</v>
      </c>
      <c r="E178" s="7">
        <f>E177+($H$8*$H$7*C177)*$H$1</f>
        <v>2499.7499234224015</v>
      </c>
    </row>
    <row r="179" spans="1:5" x14ac:dyDescent="0.25">
      <c r="A179" s="6">
        <f>A178+$H$1</f>
        <v>885</v>
      </c>
      <c r="B179" s="7">
        <f>B178-($H$6*B178*C178)*$H$1</f>
        <v>2.6667675992329962E-6</v>
      </c>
      <c r="C179" s="7">
        <f>C178+($H$6*B178*C178-$H$7*C178)*$H$1</f>
        <v>1.3759966506679353E-3</v>
      </c>
      <c r="D179" s="7">
        <f>D178+((1-$H$8)*$H$7*C178)*$H$1</f>
        <v>47495.248690269756</v>
      </c>
      <c r="E179" s="7">
        <f>E178+($H$8*$H$7*C178)*$H$1</f>
        <v>2499.7499310668272</v>
      </c>
    </row>
    <row r="180" spans="1:5" x14ac:dyDescent="0.25">
      <c r="A180" s="6">
        <f>A179+$H$1</f>
        <v>890</v>
      </c>
      <c r="B180" s="7">
        <f>B179-($H$6*B179*C179)*$H$1</f>
        <v>2.6667675074964143E-6</v>
      </c>
      <c r="C180" s="7">
        <f>C179+($H$6*B179*C179-$H$7*C179)*$H$1</f>
        <v>1.2383969856928783E-3</v>
      </c>
      <c r="D180" s="7">
        <f>D179+((1-$H$8)*$H$7*C179)*$H$1</f>
        <v>47495.248820989436</v>
      </c>
      <c r="E180" s="7">
        <f>E179+($H$8*$H$7*C179)*$H$1</f>
        <v>2499.7499379468104</v>
      </c>
    </row>
    <row r="181" spans="1:5" x14ac:dyDescent="0.25">
      <c r="A181" s="6">
        <f>A180+$H$1</f>
        <v>895</v>
      </c>
      <c r="B181" s="7">
        <f>B180-($H$6*B180*C180)*$H$1</f>
        <v>2.666767424933493E-6</v>
      </c>
      <c r="C181" s="7">
        <f>C180+($H$6*B180*C180-$H$7*C180)*$H$1</f>
        <v>1.1145572872061534E-3</v>
      </c>
      <c r="D181" s="7">
        <f>D180+((1-$H$8)*$H$7*C180)*$H$1</f>
        <v>47495.248938637153</v>
      </c>
      <c r="E181" s="7">
        <f>E180+($H$8*$H$7*C180)*$H$1</f>
        <v>2499.7499441387954</v>
      </c>
    </row>
    <row r="182" spans="1:5" x14ac:dyDescent="0.25">
      <c r="A182" s="6">
        <f>A181+$H$1</f>
        <v>900</v>
      </c>
      <c r="B182" s="7">
        <f>B181-($H$6*B181*C181)*$H$1</f>
        <v>2.6667673506268662E-6</v>
      </c>
      <c r="C182" s="7">
        <f>C181+($H$6*B181*C181-$H$7*C181)*$H$1</f>
        <v>1.0031015585598446E-3</v>
      </c>
      <c r="D182" s="7">
        <f>D181+((1-$H$8)*$H$7*C181)*$H$1</f>
        <v>47495.249044520097</v>
      </c>
      <c r="E182" s="7">
        <f>E181+($H$8*$H$7*C181)*$H$1</f>
        <v>2499.7499497115818</v>
      </c>
    </row>
    <row r="183" spans="1:5" x14ac:dyDescent="0.25">
      <c r="A183" s="6">
        <f>A182+$H$1</f>
        <v>905</v>
      </c>
      <c r="B183" s="7">
        <f>B182-($H$6*B182*C182)*$H$1</f>
        <v>2.6667672837509041E-6</v>
      </c>
      <c r="C183" s="7">
        <f>C182+($H$6*B182*C182-$H$7*C182)*$H$1</f>
        <v>9.0279140277073604E-4</v>
      </c>
      <c r="D183" s="7">
        <f>D182+((1-$H$8)*$H$7*C182)*$H$1</f>
        <v>47495.249139814747</v>
      </c>
      <c r="E183" s="7">
        <f>E182+($H$8*$H$7*C182)*$H$1</f>
        <v>2499.7499547270895</v>
      </c>
    </row>
    <row r="184" spans="1:5" x14ac:dyDescent="0.25">
      <c r="A184" s="6">
        <f>A183+$H$1</f>
        <v>910</v>
      </c>
      <c r="B184" s="7">
        <f>B183-($H$6*B183*C183)*$H$1</f>
        <v>2.6667672235625398E-6</v>
      </c>
      <c r="C184" s="7">
        <f>C183+($H$6*B183*C183-$H$7*C183)*$H$1</f>
        <v>8.1251226255385077E-4</v>
      </c>
      <c r="D184" s="7">
        <f>D183+((1-$H$8)*$H$7*C183)*$H$1</f>
        <v>47495.24922557993</v>
      </c>
      <c r="E184" s="7">
        <f>E183+($H$8*$H$7*C183)*$H$1</f>
        <v>2499.7499592410463</v>
      </c>
    </row>
    <row r="185" spans="1:5" x14ac:dyDescent="0.25">
      <c r="A185" s="6">
        <f>A184+$H$1</f>
        <v>915</v>
      </c>
      <c r="B185" s="7">
        <f>B184-($H$6*B184*C184)*$H$1</f>
        <v>2.666767169393013E-6</v>
      </c>
      <c r="C185" s="7">
        <f>C184+($H$6*B184*C184-$H$7*C184)*$H$1</f>
        <v>7.3126103635263518E-4</v>
      </c>
      <c r="D185" s="7">
        <f>D184+((1-$H$8)*$H$7*C184)*$H$1</f>
        <v>47495.249302768592</v>
      </c>
      <c r="E185" s="7">
        <f>E184+($H$8*$H$7*C184)*$H$1</f>
        <v>2499.7499633036077</v>
      </c>
    </row>
    <row r="186" spans="1:5" x14ac:dyDescent="0.25">
      <c r="A186" s="6">
        <f>A185+$H$1</f>
        <v>920</v>
      </c>
      <c r="B186" s="7">
        <f>B185-($H$6*B185*C185)*$H$1</f>
        <v>2.6667671206404397E-6</v>
      </c>
      <c r="C186" s="7">
        <f>C185+($H$6*B185*C185-$H$7*C185)*$H$1</f>
        <v>6.5813493276612421E-4</v>
      </c>
      <c r="D186" s="7">
        <f>D185+((1-$H$8)*$H$7*C185)*$H$1</f>
        <v>47495.249372238388</v>
      </c>
      <c r="E186" s="7">
        <f>E185+($H$8*$H$7*C185)*$H$1</f>
        <v>2499.7499669599129</v>
      </c>
    </row>
    <row r="187" spans="1:5" x14ac:dyDescent="0.25">
      <c r="A187" s="6">
        <f>A186+$H$1</f>
        <v>925</v>
      </c>
      <c r="B187" s="7">
        <f>B186-($H$6*B186*C186)*$H$1</f>
        <v>2.6667670767631246E-6</v>
      </c>
      <c r="C187" s="7">
        <f>C186+($H$6*B186*C186-$H$7*C186)*$H$1</f>
        <v>5.9232143953338911E-4</v>
      </c>
      <c r="D187" s="7">
        <f>D186+((1-$H$8)*$H$7*C186)*$H$1</f>
        <v>47495.249434761208</v>
      </c>
      <c r="E187" s="7">
        <f>E186+($H$8*$H$7*C186)*$H$1</f>
        <v>2499.7499702505875</v>
      </c>
    </row>
    <row r="188" spans="1:5" x14ac:dyDescent="0.25">
      <c r="A188" s="6">
        <f>A187+$H$1</f>
        <v>930</v>
      </c>
      <c r="B188" s="7">
        <f>B187-($H$6*B187*C187)*$H$1</f>
        <v>2.6667670372735419E-6</v>
      </c>
      <c r="C188" s="7">
        <f>C187+($H$6*B187*C187-$H$7*C187)*$H$1</f>
        <v>5.3308929561953974E-4</v>
      </c>
      <c r="D188" s="7">
        <f>D187+((1-$H$8)*$H$7*C187)*$H$1</f>
        <v>47495.249491031747</v>
      </c>
      <c r="E188" s="7">
        <f>E187+($H$8*$H$7*C187)*$H$1</f>
        <v>2499.7499732121946</v>
      </c>
    </row>
    <row r="189" spans="1:5" x14ac:dyDescent="0.25">
      <c r="A189" s="6">
        <f>A188+$H$1</f>
        <v>935</v>
      </c>
      <c r="B189" s="7">
        <f>B188-($H$6*B188*C188)*$H$1</f>
        <v>2.6667670017329178E-6</v>
      </c>
      <c r="C189" s="7">
        <f>C188+($H$6*B188*C188-$H$7*C188)*$H$1</f>
        <v>4.7978036609312637E-4</v>
      </c>
      <c r="D189" s="7">
        <f>D188+((1-$H$8)*$H$7*C188)*$H$1</f>
        <v>47495.249541675228</v>
      </c>
      <c r="E189" s="7">
        <f>E188+($H$8*$H$7*C188)*$H$1</f>
        <v>2499.7499758776412</v>
      </c>
    </row>
    <row r="190" spans="1:5" x14ac:dyDescent="0.25">
      <c r="A190" s="6">
        <f>A189+$H$1</f>
        <v>940</v>
      </c>
      <c r="B190" s="7">
        <f>B189-($H$6*B189*C189)*$H$1</f>
        <v>2.6667669697463567E-6</v>
      </c>
      <c r="C190" s="7">
        <f>C189+($H$6*B189*C189-$H$7*C189)*$H$1</f>
        <v>4.3180232951580029E-4</v>
      </c>
      <c r="D190" s="7">
        <f>D189+((1-$H$8)*$H$7*C189)*$H$1</f>
        <v>47495.249587254366</v>
      </c>
      <c r="E190" s="7">
        <f>E189+($H$8*$H$7*C189)*$H$1</f>
        <v>2499.7499782765431</v>
      </c>
    </row>
    <row r="191" spans="1:5" x14ac:dyDescent="0.25">
      <c r="A191" s="6">
        <f>A190+$H$1</f>
        <v>945</v>
      </c>
      <c r="B191" s="7">
        <f>B190-($H$6*B190*C190)*$H$1</f>
        <v>2.666766940958452E-6</v>
      </c>
      <c r="C191" s="7">
        <f>C190+($H$6*B190*C190-$H$7*C190)*$H$1</f>
        <v>3.8862209659300815E-4</v>
      </c>
      <c r="D191" s="7">
        <f>D190+((1-$H$8)*$H$7*C190)*$H$1</f>
        <v>47495.249628275589</v>
      </c>
      <c r="E191" s="7">
        <f>E190+($H$8*$H$7*C190)*$H$1</f>
        <v>2499.7499804355548</v>
      </c>
    </row>
    <row r="192" spans="1:5" x14ac:dyDescent="0.25">
      <c r="A192" s="6">
        <f>A191+$H$1</f>
        <v>950</v>
      </c>
      <c r="B192" s="7">
        <f>B191-($H$6*B191*C191)*$H$1</f>
        <v>2.666766915049338E-6</v>
      </c>
      <c r="C192" s="7">
        <f>C191+($H$6*B191*C191-$H$7*C191)*$H$1</f>
        <v>3.4975988695961643E-4</v>
      </c>
      <c r="D192" s="7">
        <f>D191+((1-$H$8)*$H$7*C191)*$H$1</f>
        <v>47495.249665194686</v>
      </c>
      <c r="E192" s="7">
        <f>E191+($H$8*$H$7*C191)*$H$1</f>
        <v>2499.7499823786652</v>
      </c>
    </row>
    <row r="193" spans="1:5" x14ac:dyDescent="0.25">
      <c r="A193" s="6">
        <f>A192+$H$1</f>
        <v>955</v>
      </c>
      <c r="B193" s="7">
        <f>B192-($H$6*B192*C192)*$H$1</f>
        <v>2.6667668917311354E-6</v>
      </c>
      <c r="C193" s="7">
        <f>C192+($H$6*B192*C192-$H$7*C192)*$H$1</f>
        <v>3.1478389828697297E-4</v>
      </c>
      <c r="D193" s="7">
        <f>D192+((1-$H$8)*$H$7*C192)*$H$1</f>
        <v>47495.249698421874</v>
      </c>
      <c r="E193" s="7">
        <f>E192+($H$8*$H$7*C192)*$H$1</f>
        <v>2499.7499841274648</v>
      </c>
    </row>
    <row r="194" spans="1:5" x14ac:dyDescent="0.25">
      <c r="A194" s="6">
        <f>A193+$H$1</f>
        <v>960</v>
      </c>
      <c r="B194" s="7">
        <f>B193-($H$6*B193*C193)*$H$1</f>
        <v>2.6667668707447536E-6</v>
      </c>
      <c r="C194" s="7">
        <f>C193+($H$6*B193*C193-$H$7*C193)*$H$1</f>
        <v>2.8330550847926203E-4</v>
      </c>
      <c r="D194" s="7">
        <f>D193+((1-$H$8)*$H$7*C193)*$H$1</f>
        <v>47495.249728326344</v>
      </c>
      <c r="E194" s="7">
        <f>E193+($H$8*$H$7*C193)*$H$1</f>
        <v>2499.7499857013845</v>
      </c>
    </row>
    <row r="195" spans="1:5" x14ac:dyDescent="0.25">
      <c r="A195" s="6">
        <f>A194+$H$1</f>
        <v>965</v>
      </c>
      <c r="B195" s="7">
        <f>B194-($H$6*B194*C194)*$H$1</f>
        <v>2.6667668518570099E-6</v>
      </c>
      <c r="C195" s="7">
        <f>C194+($H$6*B194*C194-$H$7*C194)*$H$1</f>
        <v>2.5497495765022359E-4</v>
      </c>
      <c r="D195" s="7">
        <f>D194+((1-$H$8)*$H$7*C194)*$H$1</f>
        <v>47495.249755240366</v>
      </c>
      <c r="E195" s="7">
        <f>E194+($H$8*$H$7*C194)*$H$1</f>
        <v>2499.749987117912</v>
      </c>
    </row>
    <row r="196" spans="1:5" x14ac:dyDescent="0.25">
      <c r="A196" s="6">
        <f>A195+$H$1</f>
        <v>970</v>
      </c>
      <c r="B196" s="7">
        <f>B195-($H$6*B195*C195)*$H$1</f>
        <v>2.6667668348580408E-6</v>
      </c>
      <c r="C196" s="7">
        <f>C195+($H$6*B195*C195-$H$7*C195)*$H$1</f>
        <v>2.294774619022002E-4</v>
      </c>
      <c r="D196" s="7">
        <f>D195+((1-$H$8)*$H$7*C195)*$H$1</f>
        <v>47495.249779462989</v>
      </c>
      <c r="E196" s="7">
        <f>E195+($H$8*$H$7*C195)*$H$1</f>
        <v>2499.7499883927867</v>
      </c>
    </row>
    <row r="197" spans="1:5" x14ac:dyDescent="0.25">
      <c r="A197" s="6">
        <f>A196+$H$1</f>
        <v>975</v>
      </c>
      <c r="B197" s="7">
        <f>B196-($H$6*B196*C196)*$H$1</f>
        <v>2.6667668195589685E-6</v>
      </c>
      <c r="C197" s="7">
        <f>C196+($H$6*B196*C196-$H$7*C196)*$H$1</f>
        <v>2.0652971572727926E-4</v>
      </c>
      <c r="D197" s="7">
        <f>D196+((1-$H$8)*$H$7*C196)*$H$1</f>
        <v>47495.249801263351</v>
      </c>
      <c r="E197" s="7">
        <f>E196+($H$8*$H$7*C196)*$H$1</f>
        <v>2499.7499895401738</v>
      </c>
    </row>
    <row r="198" spans="1:5" x14ac:dyDescent="0.25">
      <c r="A198" s="6">
        <f>A197+$H$1</f>
        <v>980</v>
      </c>
      <c r="B198" s="7">
        <f>B197-($H$6*B197*C197)*$H$1</f>
        <v>2.6667668057898038E-6</v>
      </c>
      <c r="C198" s="7">
        <f>C197+($H$6*B197*C197-$H$7*C197)*$H$1</f>
        <v>1.8587674416832049E-4</v>
      </c>
      <c r="D198" s="7">
        <f>D197+((1-$H$8)*$H$7*C197)*$H$1</f>
        <v>47495.249820883677</v>
      </c>
      <c r="E198" s="7">
        <f>E197+($H$8*$H$7*C197)*$H$1</f>
        <v>2499.7499905728223</v>
      </c>
    </row>
    <row r="199" spans="1:5" x14ac:dyDescent="0.25">
      <c r="A199" s="6">
        <f>A198+$H$1</f>
        <v>985</v>
      </c>
      <c r="B199" s="7">
        <f>B198-($H$6*B198*C198)*$H$1</f>
        <v>2.6667667933975555E-6</v>
      </c>
      <c r="C199" s="7">
        <f>C198+($H$6*B198*C198-$H$7*C198)*$H$1</f>
        <v>1.672890697638807E-4</v>
      </c>
      <c r="D199" s="7">
        <f>D198+((1-$H$8)*$H$7*C198)*$H$1</f>
        <v>47495.249838541968</v>
      </c>
      <c r="E199" s="7">
        <f>E198+($H$8*$H$7*C198)*$H$1</f>
        <v>2499.7499915022058</v>
      </c>
    </row>
    <row r="200" spans="1:5" x14ac:dyDescent="0.25">
      <c r="A200" s="6">
        <f>A199+$H$1</f>
        <v>990</v>
      </c>
      <c r="B200" s="7">
        <f>B199-($H$6*B199*C199)*$H$1</f>
        <v>2.6667667822445321E-6</v>
      </c>
      <c r="C200" s="7">
        <f>C199+($H$6*B199*C199-$H$7*C199)*$H$1</f>
        <v>1.5056016279864565E-4</v>
      </c>
      <c r="D200" s="7">
        <f>D199+((1-$H$8)*$H$7*C199)*$H$1</f>
        <v>47495.249854434427</v>
      </c>
      <c r="E200" s="7">
        <f>E199+($H$8*$H$7*C199)*$H$1</f>
        <v>2499.7499923386513</v>
      </c>
    </row>
    <row r="201" spans="1:5" x14ac:dyDescent="0.25">
      <c r="A201" s="6">
        <f>A200+$H$1</f>
        <v>995</v>
      </c>
      <c r="B201" s="7">
        <f>B200-($H$6*B200*C200)*$H$1</f>
        <v>2.6667667722068109E-6</v>
      </c>
      <c r="C201" s="7">
        <f>C200+($H$6*B200*C200-$H$7*C200)*$H$1</f>
        <v>1.355041465288188E-4</v>
      </c>
      <c r="D201" s="7">
        <f>D200+((1-$H$8)*$H$7*C200)*$H$1</f>
        <v>47495.249868737643</v>
      </c>
      <c r="E201" s="7">
        <f>E200+($H$8*$H$7*C200)*$H$1</f>
        <v>2499.7499930914519</v>
      </c>
    </row>
    <row r="202" spans="1:5" x14ac:dyDescent="0.25">
      <c r="A202" s="6">
        <f>A201+$H$1</f>
        <v>1000</v>
      </c>
      <c r="B202" s="7">
        <f>B201-($H$6*B201*C201)*$H$1</f>
        <v>2.6667667631728619E-6</v>
      </c>
      <c r="C202" s="7">
        <f>C201+($H$6*B201*C201-$H$7*C201)*$H$1</f>
        <v>1.2195373188497087E-4</v>
      </c>
      <c r="D202" s="7">
        <f>D201+((1-$H$8)*$H$7*C201)*$H$1</f>
        <v>47495.249881610536</v>
      </c>
      <c r="E202" s="7">
        <f>E201+($H$8*$H$7*C201)*$H$1</f>
        <v>2499.7499937689727</v>
      </c>
    </row>
    <row r="203" spans="1:5" x14ac:dyDescent="0.25">
      <c r="A203" s="6">
        <f>A202+$H$1</f>
        <v>1005</v>
      </c>
      <c r="B203" s="7">
        <f>B202-($H$6*B202*C202)*$H$1</f>
        <v>2.6667667550423078E-6</v>
      </c>
      <c r="C203" s="7">
        <f>C202+($H$6*B202*C202-$H$7*C202)*$H$1</f>
        <v>1.0975835870460434E-4</v>
      </c>
      <c r="D203" s="7">
        <f>D202+((1-$H$8)*$H$7*C202)*$H$1</f>
        <v>47495.249893196138</v>
      </c>
      <c r="E203" s="7">
        <f>E202+($H$8*$H$7*C202)*$H$1</f>
        <v>2499.7499943787411</v>
      </c>
    </row>
    <row r="204" spans="1:5" x14ac:dyDescent="0.25">
      <c r="A204" s="6">
        <f>A203+$H$1</f>
        <v>1010</v>
      </c>
      <c r="B204" s="7">
        <f>B203-($H$6*B203*C203)*$H$1</f>
        <v>2.6667667477248093E-6</v>
      </c>
      <c r="C204" s="7">
        <f>C203+($H$6*B203*C203-$H$7*C203)*$H$1</f>
        <v>9.87825228414614E-5</v>
      </c>
      <c r="D204" s="7">
        <f>D203+((1-$H$8)*$H$7*C203)*$H$1</f>
        <v>47495.249903623182</v>
      </c>
      <c r="E204" s="7">
        <f>E203+($H$8*$H$7*C203)*$H$1</f>
        <v>2499.749994927533</v>
      </c>
    </row>
    <row r="205" spans="1:5" x14ac:dyDescent="0.25">
      <c r="A205" s="6">
        <f>A204+$H$1</f>
        <v>1015</v>
      </c>
      <c r="B205" s="7">
        <f>B204-($H$6*B204*C204)*$H$1</f>
        <v>2.6667667411390608E-6</v>
      </c>
      <c r="C205" s="7">
        <f>C204+($H$6*B204*C204-$H$7*C204)*$H$1</f>
        <v>8.890427056390101E-5</v>
      </c>
      <c r="D205" s="7">
        <f>D204+((1-$H$8)*$H$7*C204)*$H$1</f>
        <v>47495.249913007523</v>
      </c>
      <c r="E205" s="7">
        <f>E204+($H$8*$H$7*C204)*$H$1</f>
        <v>2499.7499954214454</v>
      </c>
    </row>
    <row r="206" spans="1:5" x14ac:dyDescent="0.25">
      <c r="A206" s="6">
        <f>A205+$H$1</f>
        <v>1020</v>
      </c>
      <c r="B206" s="7">
        <f>B205-($H$6*B205*C205)*$H$1</f>
        <v>2.6667667352118872E-6</v>
      </c>
      <c r="C206" s="7">
        <f>C205+($H$6*B205*C205-$H$7*C205)*$H$1</f>
        <v>8.0013843513438088E-5</v>
      </c>
      <c r="D206" s="7">
        <f>D205+((1-$H$8)*$H$7*C205)*$H$1</f>
        <v>47495.249921453425</v>
      </c>
      <c r="E206" s="7">
        <f>E205+($H$8*$H$7*C205)*$H$1</f>
        <v>2499.7499958659669</v>
      </c>
    </row>
    <row r="207" spans="1:5" x14ac:dyDescent="0.25">
      <c r="A207" s="6">
        <f>A206+$H$1</f>
        <v>1025</v>
      </c>
      <c r="B207" s="7">
        <f>B206-($H$6*B206*C206)*$H$1</f>
        <v>2.6667667298774308E-6</v>
      </c>
      <c r="C207" s="7">
        <f>C206+($H$6*B206*C206-$H$7*C206)*$H$1</f>
        <v>7.201245916742873E-5</v>
      </c>
      <c r="D207" s="7">
        <f>D206+((1-$H$8)*$H$7*C206)*$H$1</f>
        <v>47495.249929054742</v>
      </c>
      <c r="E207" s="7">
        <f>E206+($H$8*$H$7*C206)*$H$1</f>
        <v>2499.7499962660363</v>
      </c>
    </row>
    <row r="208" spans="1:5" x14ac:dyDescent="0.25">
      <c r="A208" s="6">
        <f>A207+$H$1</f>
        <v>1030</v>
      </c>
      <c r="B208" s="7">
        <f>B207-($H$6*B207*C207)*$H$1</f>
        <v>2.6667667250764201E-6</v>
      </c>
      <c r="C208" s="7">
        <f>C207+($H$6*B207*C207-$H$7*C207)*$H$1</f>
        <v>6.4811213255486864E-5</v>
      </c>
      <c r="D208" s="7">
        <f>D207+((1-$H$8)*$H$7*C207)*$H$1</f>
        <v>47495.249935895925</v>
      </c>
      <c r="E208" s="7">
        <f>E207+($H$8*$H$7*C207)*$H$1</f>
        <v>2499.7499966260984</v>
      </c>
    </row>
    <row r="209" spans="1:5" x14ac:dyDescent="0.25">
      <c r="A209" s="6">
        <f>A208+$H$1</f>
        <v>1035</v>
      </c>
      <c r="B209" s="7">
        <f>B208-($H$6*B208*C208)*$H$1</f>
        <v>2.6667667207555102E-6</v>
      </c>
      <c r="C209" s="7">
        <f>C208+($H$6*B208*C208-$H$7*C208)*$H$1</f>
        <v>5.8330091934259087E-5</v>
      </c>
      <c r="D209" s="7">
        <f>D208+((1-$H$8)*$H$7*C208)*$H$1</f>
        <v>47495.249942052993</v>
      </c>
      <c r="E209" s="7">
        <f>E208+($H$8*$H$7*C208)*$H$1</f>
        <v>2499.7499969501546</v>
      </c>
    </row>
    <row r="210" spans="1:5" x14ac:dyDescent="0.25">
      <c r="A210" s="6">
        <f>A209+$H$1</f>
        <v>1040</v>
      </c>
      <c r="B210" s="7">
        <f>B209-($H$6*B209*C209)*$H$1</f>
        <v>2.6667667168666913E-6</v>
      </c>
      <c r="C210" s="7">
        <f>C209+($H$6*B209*C209-$H$7*C209)*$H$1</f>
        <v>5.2497082744721999E-5</v>
      </c>
      <c r="D210" s="7">
        <f>D209+((1-$H$8)*$H$7*C209)*$H$1</f>
        <v>47495.249947594355</v>
      </c>
      <c r="E210" s="7">
        <f>E209+($H$8*$H$7*C209)*$H$1</f>
        <v>2499.749997241805</v>
      </c>
    </row>
    <row r="211" spans="1:5" x14ac:dyDescent="0.25">
      <c r="A211" s="6">
        <f>A210+$H$1</f>
        <v>1045</v>
      </c>
      <c r="B211" s="7">
        <f>B210-($H$6*B210*C210)*$H$1</f>
        <v>2.6667667133667546E-6</v>
      </c>
      <c r="C211" s="7">
        <f>C210+($H$6*B210*C210-$H$7*C210)*$H$1</f>
        <v>4.7247374473749735E-5</v>
      </c>
      <c r="D211" s="7">
        <f>D210+((1-$H$8)*$H$7*C210)*$H$1</f>
        <v>47495.24995258158</v>
      </c>
      <c r="E211" s="7">
        <f>E210+($H$8*$H$7*C210)*$H$1</f>
        <v>2499.7499975042906</v>
      </c>
    </row>
    <row r="212" spans="1:5" x14ac:dyDescent="0.25">
      <c r="A212" s="6">
        <f>A211+$H$1</f>
        <v>1050</v>
      </c>
      <c r="B212" s="7">
        <f>B211-($H$6*B211*C211)*$H$1</f>
        <v>2.6667667102168114E-6</v>
      </c>
      <c r="C212" s="7">
        <f>C211+($H$6*B211*C211-$H$7*C211)*$H$1</f>
        <v>4.2522637029524702E-5</v>
      </c>
      <c r="D212" s="7">
        <f>D211+((1-$H$8)*$H$7*C211)*$H$1</f>
        <v>47495.249957070082</v>
      </c>
      <c r="E212" s="7">
        <f>E211+($H$8*$H$7*C211)*$H$1</f>
        <v>2499.7499977405273</v>
      </c>
    </row>
    <row r="213" spans="1:5" x14ac:dyDescent="0.25">
      <c r="A213" s="6">
        <f>A212+$H$1</f>
        <v>1055</v>
      </c>
      <c r="B213" s="7">
        <f>B212-($H$6*B212*C212)*$H$1</f>
        <v>2.6667667073818624E-6</v>
      </c>
      <c r="C213" s="7">
        <f>C212+($H$6*B212*C212-$H$7*C212)*$H$1</f>
        <v>3.8270373329407181E-5</v>
      </c>
      <c r="D213" s="7">
        <f>D212+((1-$H$8)*$H$7*C212)*$H$1</f>
        <v>47495.24996110973</v>
      </c>
      <c r="E213" s="7">
        <f>E212+($H$8*$H$7*C212)*$H$1</f>
        <v>2499.7499979531403</v>
      </c>
    </row>
    <row r="214" spans="1:5" x14ac:dyDescent="0.25">
      <c r="A214" s="6">
        <f>A213+$H$1</f>
        <v>1060</v>
      </c>
      <c r="B214" s="7">
        <f>B213-($H$6*B213*C213)*$H$1</f>
        <v>2.6667667048304086E-6</v>
      </c>
      <c r="C214" s="7">
        <f>C213+($H$6*B213*C213-$H$7*C213)*$H$1</f>
        <v>3.4443335999017917E-5</v>
      </c>
      <c r="D214" s="7">
        <f>D213+((1-$H$8)*$H$7*C213)*$H$1</f>
        <v>47495.249964745417</v>
      </c>
      <c r="E214" s="7">
        <f>E213+($H$8*$H$7*C213)*$H$1</f>
        <v>2499.7499981444921</v>
      </c>
    </row>
    <row r="215" spans="1:5" x14ac:dyDescent="0.25">
      <c r="A215" s="6">
        <f>A214+$H$1</f>
        <v>1065</v>
      </c>
      <c r="B215" s="7">
        <f>B214-($H$6*B214*C214)*$H$1</f>
        <v>2.6667667025341002E-6</v>
      </c>
      <c r="C215" s="7">
        <f>C214+($H$6*B214*C214-$H$7*C214)*$H$1</f>
        <v>3.0999002401412435E-5</v>
      </c>
      <c r="D215" s="7">
        <f>D214+((1-$H$8)*$H$7*C214)*$H$1</f>
        <v>47495.249968017532</v>
      </c>
      <c r="E215" s="7">
        <f>E214+($H$8*$H$7*C214)*$H$1</f>
        <v>2499.7499983167086</v>
      </c>
    </row>
    <row r="216" spans="1:5" x14ac:dyDescent="0.25">
      <c r="A216" s="6">
        <f>A215+$H$1</f>
        <v>1070</v>
      </c>
      <c r="B216" s="7">
        <f>B215-($H$6*B215*C215)*$H$1</f>
        <v>2.6667667004674224E-6</v>
      </c>
      <c r="C216" s="7">
        <f>C215+($H$6*B215*C215-$H$7*C215)*$H$1</f>
        <v>2.789910216333787E-5</v>
      </c>
      <c r="D216" s="7">
        <f>D215+((1-$H$8)*$H$7*C215)*$H$1</f>
        <v>47495.249970962439</v>
      </c>
      <c r="E216" s="7">
        <f>E215+($H$8*$H$7*C215)*$H$1</f>
        <v>2499.7499984717037</v>
      </c>
    </row>
    <row r="217" spans="1:5" x14ac:dyDescent="0.25">
      <c r="A217" s="6">
        <f>A216+$H$1</f>
        <v>1075</v>
      </c>
      <c r="B217" s="7">
        <f>B216-($H$6*B216*C216)*$H$1</f>
        <v>2.6667666986074126E-6</v>
      </c>
      <c r="C217" s="7">
        <f>C216+($H$6*B216*C216-$H$7*C216)*$H$1</f>
        <v>2.5109191948864094E-5</v>
      </c>
      <c r="D217" s="7">
        <f>D216+((1-$H$8)*$H$7*C216)*$H$1</f>
        <v>47495.249973612852</v>
      </c>
      <c r="E217" s="7">
        <f>E216+($H$8*$H$7*C216)*$H$1</f>
        <v>2499.7499986111993</v>
      </c>
    </row>
    <row r="218" spans="1:5" x14ac:dyDescent="0.25">
      <c r="A218" s="6">
        <f>A217+$H$1</f>
        <v>1080</v>
      </c>
      <c r="B218" s="7">
        <f>B217-($H$6*B217*C217)*$H$1</f>
        <v>2.6667666969334035E-6</v>
      </c>
      <c r="C218" s="7">
        <f>C217+($H$6*B217*C217-$H$7*C217)*$H$1</f>
        <v>2.2598272755651692E-5</v>
      </c>
      <c r="D218" s="7">
        <f>D217+((1-$H$8)*$H$7*C217)*$H$1</f>
        <v>47495.249975998224</v>
      </c>
      <c r="E218" s="7">
        <f>E217+($H$8*$H$7*C217)*$H$1</f>
        <v>2499.7499987367451</v>
      </c>
    </row>
    <row r="219" spans="1:5" x14ac:dyDescent="0.25">
      <c r="A219" s="6">
        <f>A218+$H$1</f>
        <v>1085</v>
      </c>
      <c r="B219" s="7">
        <f>B218-($H$6*B218*C218)*$H$1</f>
        <v>2.6667666954267954E-6</v>
      </c>
      <c r="C219" s="7">
        <f>C218+($H$6*B218*C218-$H$7*C218)*$H$1</f>
        <v>2.033844548159313E-5</v>
      </c>
      <c r="D219" s="7">
        <f>D218+((1-$H$8)*$H$7*C218)*$H$1</f>
        <v>47495.249978145061</v>
      </c>
      <c r="E219" s="7">
        <f>E218+($H$8*$H$7*C218)*$H$1</f>
        <v>2499.7499988497366</v>
      </c>
    </row>
    <row r="220" spans="1:5" x14ac:dyDescent="0.25">
      <c r="A220" s="6">
        <f>A219+$H$1</f>
        <v>1090</v>
      </c>
      <c r="B220" s="7">
        <f>B219-($H$6*B219*C219)*$H$1</f>
        <v>2.6667666940708481E-6</v>
      </c>
      <c r="C220" s="7">
        <f>C219+($H$6*B219*C219-$H$7*C219)*$H$1</f>
        <v>1.8304600934789763E-5</v>
      </c>
      <c r="D220" s="7">
        <f>D219+((1-$H$8)*$H$7*C219)*$H$1</f>
        <v>47495.249980077213</v>
      </c>
      <c r="E220" s="7">
        <f>E219+($H$8*$H$7*C219)*$H$1</f>
        <v>2499.749998951429</v>
      </c>
    </row>
    <row r="221" spans="1:5" x14ac:dyDescent="0.25">
      <c r="A221" s="6">
        <f>A220+$H$1</f>
        <v>1095</v>
      </c>
      <c r="B221" s="7">
        <f>B220-($H$6*B220*C220)*$H$1</f>
        <v>2.6667666928504955E-6</v>
      </c>
      <c r="C221" s="7">
        <f>C220+($H$6*B220*C220-$H$7*C220)*$H$1</f>
        <v>1.6474140842531138E-5</v>
      </c>
      <c r="D221" s="7">
        <f>D220+((1-$H$8)*$H$7*C220)*$H$1</f>
        <v>47495.249981816152</v>
      </c>
      <c r="E221" s="7">
        <f>E220+($H$8*$H$7*C220)*$H$1</f>
        <v>2499.7499990429519</v>
      </c>
    </row>
    <row r="222" spans="1:5" x14ac:dyDescent="0.25">
      <c r="A222" s="6">
        <f>A221+$H$1</f>
        <v>1100</v>
      </c>
      <c r="B222" s="7">
        <f>B221-($H$6*B221*C221)*$H$1</f>
        <v>2.6667666917521784E-6</v>
      </c>
      <c r="C222" s="7">
        <f>C221+($H$6*B221*C221-$H$7*C221)*$H$1</f>
        <v>1.4826726759376341E-5</v>
      </c>
      <c r="D222" s="7">
        <f>D221+((1-$H$8)*$H$7*C221)*$H$1</f>
        <v>47495.249983381196</v>
      </c>
      <c r="E222" s="7">
        <f>E221+($H$8*$H$7*C221)*$H$1</f>
        <v>2499.7499991253226</v>
      </c>
    </row>
    <row r="223" spans="1:5" x14ac:dyDescent="0.25">
      <c r="A223" s="6">
        <f>A222+$H$1</f>
        <v>1105</v>
      </c>
      <c r="B223" s="7">
        <f>B222-($H$6*B222*C222)*$H$1</f>
        <v>2.6667666907636931E-6</v>
      </c>
      <c r="C223" s="7">
        <f>C222+($H$6*B222*C222-$H$7*C222)*$H$1</f>
        <v>1.3344054084427193E-5</v>
      </c>
      <c r="D223" s="7">
        <f>D222+((1-$H$8)*$H$7*C222)*$H$1</f>
        <v>47495.249984789734</v>
      </c>
      <c r="E223" s="7">
        <f>E222+($H$8*$H$7*C222)*$H$1</f>
        <v>2499.7499991994564</v>
      </c>
    </row>
    <row r="224" spans="1:5" x14ac:dyDescent="0.25">
      <c r="A224" s="6">
        <f>A223+$H$1</f>
        <v>1110</v>
      </c>
      <c r="B224" s="7">
        <f>B223-($H$6*B223*C223)*$H$1</f>
        <v>2.6667666898740561E-6</v>
      </c>
      <c r="C224" s="7">
        <f>C223+($H$6*B223*C223-$H$7*C223)*$H$1</f>
        <v>1.200964867687411E-5</v>
      </c>
      <c r="D224" s="7">
        <f>D223+((1-$H$8)*$H$7*C223)*$H$1</f>
        <v>47495.249986057417</v>
      </c>
      <c r="E224" s="7">
        <f>E223+($H$8*$H$7*C223)*$H$1</f>
        <v>2499.7499992661765</v>
      </c>
    </row>
    <row r="225" spans="1:5" x14ac:dyDescent="0.25">
      <c r="A225" s="6">
        <f>A224+$H$1</f>
        <v>1115</v>
      </c>
      <c r="B225" s="7">
        <f>B224-($H$6*B224*C224)*$H$1</f>
        <v>2.6667666890733829E-6</v>
      </c>
      <c r="C225" s="7">
        <f>C224+($H$6*B224*C224-$H$7*C224)*$H$1</f>
        <v>1.0808683809987372E-5</v>
      </c>
      <c r="D225" s="7">
        <f>D224+((1-$H$8)*$H$7*C224)*$H$1</f>
        <v>47495.249987198331</v>
      </c>
      <c r="E225" s="7">
        <f>E224+($H$8*$H$7*C224)*$H$1</f>
        <v>2499.7499993262245</v>
      </c>
    </row>
    <row r="226" spans="1:5" x14ac:dyDescent="0.25">
      <c r="A226" s="6">
        <f>A225+$H$1</f>
        <v>1120</v>
      </c>
      <c r="B226" s="7">
        <f>B225-($H$6*B225*C225)*$H$1</f>
        <v>2.6667666883527768E-6</v>
      </c>
      <c r="C226" s="7">
        <f>C225+($H$6*B225*C225-$H$7*C225)*$H$1</f>
        <v>9.7278154297092412E-6</v>
      </c>
      <c r="D226" s="7">
        <f>D225+((1-$H$8)*$H$7*C225)*$H$1</f>
        <v>47495.249988225158</v>
      </c>
      <c r="E226" s="7">
        <f>E225+($H$8*$H$7*C225)*$H$1</f>
        <v>2499.749999380268</v>
      </c>
    </row>
    <row r="227" spans="1:5" x14ac:dyDescent="0.25">
      <c r="A227" s="6">
        <f>A226+$H$1</f>
        <v>1125</v>
      </c>
      <c r="B227" s="7">
        <f>B226-($H$6*B226*C226)*$H$1</f>
        <v>2.6667666877042317E-6</v>
      </c>
      <c r="C227" s="7">
        <f>C226+($H$6*B226*C226-$H$7*C226)*$H$1</f>
        <v>8.7550338873868626E-6</v>
      </c>
      <c r="D227" s="7">
        <f>D226+((1-$H$8)*$H$7*C226)*$H$1</f>
        <v>47495.249989149299</v>
      </c>
      <c r="E227" s="7">
        <f>E226+($H$8*$H$7*C226)*$H$1</f>
        <v>2499.7499994289069</v>
      </c>
    </row>
    <row r="228" spans="1:5" x14ac:dyDescent="0.25">
      <c r="A228" s="6">
        <f>A227+$H$1</f>
        <v>1130</v>
      </c>
      <c r="B228" s="7">
        <f>B227-($H$6*B227*C227)*$H$1</f>
        <v>2.6667666871205408E-6</v>
      </c>
      <c r="C228" s="7">
        <f>C227+($H$6*B227*C227-$H$7*C227)*$H$1</f>
        <v>7.879530499231868E-6</v>
      </c>
      <c r="D228" s="7">
        <f>D227+((1-$H$8)*$H$7*C227)*$H$1</f>
        <v>47495.249989981028</v>
      </c>
      <c r="E228" s="7">
        <f>E227+($H$8*$H$7*C227)*$H$1</f>
        <v>2499.7499994726822</v>
      </c>
    </row>
    <row r="229" spans="1:5" x14ac:dyDescent="0.25">
      <c r="A229" s="6">
        <f>A228+$H$1</f>
        <v>1135</v>
      </c>
      <c r="B229" s="7">
        <f>B228-($H$6*B228*C228)*$H$1</f>
        <v>2.666766686595219E-6</v>
      </c>
      <c r="C229" s="7">
        <f>C228+($H$6*B228*C228-$H$7*C228)*$H$1</f>
        <v>7.0915774498340029E-6</v>
      </c>
      <c r="D229" s="7">
        <f>D228+((1-$H$8)*$H$7*C228)*$H$1</f>
        <v>47495.249990729586</v>
      </c>
      <c r="E229" s="7">
        <f>E228+($H$8*$H$7*C228)*$H$1</f>
        <v>2499.7499995120797</v>
      </c>
    </row>
    <row r="230" spans="1:5" x14ac:dyDescent="0.25">
      <c r="A230" s="6">
        <f>A229+$H$1</f>
        <v>1140</v>
      </c>
      <c r="B230" s="7">
        <f>B229-($H$6*B229*C229)*$H$1</f>
        <v>2.6667666861224294E-6</v>
      </c>
      <c r="C230" s="7">
        <f>C229+($H$6*B229*C229-$H$7*C229)*$H$1</f>
        <v>6.382419705323392E-6</v>
      </c>
      <c r="D230" s="7">
        <f>D229+((1-$H$8)*$H$7*C229)*$H$1</f>
        <v>47495.249991403289</v>
      </c>
      <c r="E230" s="7">
        <f>E229+($H$8*$H$7*C229)*$H$1</f>
        <v>2499.7499995475378</v>
      </c>
    </row>
    <row r="231" spans="1:5" x14ac:dyDescent="0.25">
      <c r="A231" s="6">
        <f>A230+$H$1</f>
        <v>1145</v>
      </c>
      <c r="B231" s="7">
        <f>B230-($H$6*B230*C230)*$H$1</f>
        <v>2.6667666856969186E-6</v>
      </c>
      <c r="C231" s="7">
        <f>C230+($H$6*B230*C230-$H$7*C230)*$H$1</f>
        <v>5.7441777352165637E-6</v>
      </c>
      <c r="D231" s="7">
        <f>D230+((1-$H$8)*$H$7*C230)*$H$1</f>
        <v>47495.249992009616</v>
      </c>
      <c r="E231" s="7">
        <f>E230+($H$8*$H$7*C230)*$H$1</f>
        <v>2499.7499995794496</v>
      </c>
    </row>
    <row r="232" spans="1:5" x14ac:dyDescent="0.25">
      <c r="A232" s="6">
        <f>A231+$H$1</f>
        <v>1150</v>
      </c>
      <c r="B232" s="7">
        <f>B231-($H$6*B231*C231)*$H$1</f>
        <v>2.6667666853139589E-6</v>
      </c>
      <c r="C232" s="7">
        <f>C231+($H$6*B231*C231-$H$7*C231)*$H$1</f>
        <v>5.1697599620778672E-6</v>
      </c>
      <c r="D232" s="7">
        <f>D231+((1-$H$8)*$H$7*C231)*$H$1</f>
        <v>47495.249992555313</v>
      </c>
      <c r="E232" s="7">
        <f>E231+($H$8*$H$7*C231)*$H$1</f>
        <v>2499.7499996081706</v>
      </c>
    </row>
    <row r="233" spans="1:5" x14ac:dyDescent="0.25">
      <c r="A233" s="6">
        <f>A232+$H$1</f>
        <v>1155</v>
      </c>
      <c r="B233" s="7">
        <f>B232-($H$6*B232*C232)*$H$1</f>
        <v>2.6667666849692953E-6</v>
      </c>
      <c r="C233" s="7">
        <f>C232+($H$6*B232*C232-$H$7*C232)*$H$1</f>
        <v>4.6527839662147443E-6</v>
      </c>
      <c r="D233" s="7">
        <f>D232+((1-$H$8)*$H$7*C232)*$H$1</f>
        <v>47495.24999304644</v>
      </c>
      <c r="E233" s="7">
        <f>E232+($H$8*$H$7*C232)*$H$1</f>
        <v>2499.7499996340193</v>
      </c>
    </row>
    <row r="234" spans="1:5" x14ac:dyDescent="0.25">
      <c r="A234" s="6">
        <f>A233+$H$1</f>
        <v>1160</v>
      </c>
      <c r="B234" s="7">
        <f>B233-($H$6*B233*C233)*$H$1</f>
        <v>2.6667666846590978E-6</v>
      </c>
      <c r="C234" s="7">
        <f>C233+($H$6*B233*C233-$H$7*C233)*$H$1</f>
        <v>4.1875055699034668E-6</v>
      </c>
      <c r="D234" s="7">
        <f>D233+((1-$H$8)*$H$7*C233)*$H$1</f>
        <v>47495.249993488454</v>
      </c>
      <c r="E234" s="7">
        <f>E233+($H$8*$H$7*C233)*$H$1</f>
        <v>2499.7499996572833</v>
      </c>
    </row>
    <row r="235" spans="1:5" x14ac:dyDescent="0.25">
      <c r="A235" s="6">
        <f>A234+$H$1</f>
        <v>1165</v>
      </c>
      <c r="B235" s="7">
        <f>B234-($H$6*B234*C234)*$H$1</f>
        <v>2.6667666843799204E-6</v>
      </c>
      <c r="C235" s="7">
        <f>C234+($H$6*B234*C234-$H$7*C234)*$H$1</f>
        <v>3.7687550131922976E-6</v>
      </c>
      <c r="D235" s="7">
        <f>D234+((1-$H$8)*$H$7*C234)*$H$1</f>
        <v>47495.249993886267</v>
      </c>
      <c r="E235" s="7">
        <f>E234+($H$8*$H$7*C234)*$H$1</f>
        <v>2499.7499996782208</v>
      </c>
    </row>
    <row r="236" spans="1:5" x14ac:dyDescent="0.25">
      <c r="A236" s="6">
        <f>A235+$H$1</f>
        <v>1170</v>
      </c>
      <c r="B236" s="7">
        <f>B235-($H$6*B235*C235)*$H$1</f>
        <v>2.6667666841286608E-6</v>
      </c>
      <c r="C236" s="7">
        <f>C235+($H$6*B235*C235-$H$7*C235)*$H$1</f>
        <v>3.3918795121243278E-6</v>
      </c>
      <c r="D236" s="7">
        <f>D235+((1-$H$8)*$H$7*C235)*$H$1</f>
        <v>47495.249994244303</v>
      </c>
      <c r="E236" s="7">
        <f>E235+($H$8*$H$7*C235)*$H$1</f>
        <v>2499.7499996970646</v>
      </c>
    </row>
    <row r="237" spans="1:5" x14ac:dyDescent="0.25">
      <c r="A237" s="6">
        <f>A236+$H$1</f>
        <v>1175</v>
      </c>
      <c r="B237" s="7">
        <f>B236-($H$6*B236*C236)*$H$1</f>
        <v>2.6667666839025271E-6</v>
      </c>
      <c r="C237" s="7">
        <f>C236+($H$6*B236*C236-$H$7*C236)*$H$1</f>
        <v>3.0526915611380289E-6</v>
      </c>
      <c r="D237" s="7">
        <f>D236+((1-$H$8)*$H$7*C236)*$H$1</f>
        <v>47495.249994566533</v>
      </c>
      <c r="E237" s="7">
        <f>E236+($H$8*$H$7*C236)*$H$1</f>
        <v>2499.7499997140239</v>
      </c>
    </row>
    <row r="238" spans="1:5" x14ac:dyDescent="0.25">
      <c r="A238" s="6">
        <f>A237+$H$1</f>
        <v>1180</v>
      </c>
      <c r="B238" s="7">
        <f>B237-($H$6*B237*C237)*$H$1</f>
        <v>2.6667666836990067E-6</v>
      </c>
      <c r="C238" s="7">
        <f>C237+($H$6*B237*C237-$H$7*C237)*$H$1</f>
        <v>2.7474224052277464E-6</v>
      </c>
      <c r="D238" s="7">
        <f>D237+((1-$H$8)*$H$7*C237)*$H$1</f>
        <v>47495.249994856538</v>
      </c>
      <c r="E238" s="7">
        <f>E237+($H$8*$H$7*C237)*$H$1</f>
        <v>2499.7499997292875</v>
      </c>
    </row>
    <row r="239" spans="1:5" x14ac:dyDescent="0.25">
      <c r="A239" s="6">
        <f>A238+$H$1</f>
        <v>1185</v>
      </c>
      <c r="B239" s="7">
        <f>B238-($H$6*B238*C238)*$H$1</f>
        <v>2.6667666835158384E-6</v>
      </c>
      <c r="C239" s="7">
        <f>C238+($H$6*B238*C238-$H$7*C238)*$H$1</f>
        <v>2.47268016488814E-6</v>
      </c>
      <c r="D239" s="7">
        <f>D238+((1-$H$8)*$H$7*C238)*$H$1</f>
        <v>47495.249995117541</v>
      </c>
      <c r="E239" s="7">
        <f>E238+($H$8*$H$7*C238)*$H$1</f>
        <v>2499.7499997430245</v>
      </c>
    </row>
    <row r="240" spans="1:5" x14ac:dyDescent="0.25">
      <c r="A240" s="6">
        <f>A239+$H$1</f>
        <v>1190</v>
      </c>
      <c r="B240" s="7">
        <f>B239-($H$6*B239*C239)*$H$1</f>
        <v>2.6667666833509867E-6</v>
      </c>
      <c r="C240" s="7">
        <f>C239+($H$6*B239*C239-$H$7*C239)*$H$1</f>
        <v>2.2254121485641777E-6</v>
      </c>
      <c r="D240" s="7">
        <f>D239+((1-$H$8)*$H$7*C239)*$H$1</f>
        <v>47495.249995352446</v>
      </c>
      <c r="E240" s="7">
        <f>E239+($H$8*$H$7*C239)*$H$1</f>
        <v>2499.7499997553878</v>
      </c>
    </row>
    <row r="241" spans="1:5" x14ac:dyDescent="0.25">
      <c r="A241" s="6">
        <f>A240+$H$1</f>
        <v>1195</v>
      </c>
      <c r="B241" s="7">
        <f>B240-($H$6*B240*C240)*$H$1</f>
        <v>2.6667666832026204E-6</v>
      </c>
      <c r="C241" s="7">
        <f>C240+($H$6*B240*C240-$H$7*C240)*$H$1</f>
        <v>2.0028709338561261E-6</v>
      </c>
      <c r="D241" s="7">
        <f>D240+((1-$H$8)*$H$7*C240)*$H$1</f>
        <v>47495.249995563863</v>
      </c>
      <c r="E241" s="7">
        <f>E240+($H$8*$H$7*C240)*$H$1</f>
        <v>2499.749999766515</v>
      </c>
    </row>
    <row r="242" spans="1:5" x14ac:dyDescent="0.25">
      <c r="A242" s="6">
        <f>A241+$H$1</f>
        <v>1200</v>
      </c>
      <c r="B242" s="7">
        <f>B241-($H$6*B241*C241)*$H$1</f>
        <v>2.6667666830690908E-6</v>
      </c>
      <c r="C242" s="7">
        <f>C241+($H$6*B241*C241-$H$7*C241)*$H$1</f>
        <v>1.8025838406040433E-6</v>
      </c>
      <c r="D242" s="7">
        <f>D241+((1-$H$8)*$H$7*C241)*$H$1</f>
        <v>47495.249995754137</v>
      </c>
      <c r="E242" s="7">
        <f>E241+($H$8*$H$7*C241)*$H$1</f>
        <v>2499.7499997765294</v>
      </c>
    </row>
    <row r="243" spans="1:5" x14ac:dyDescent="0.25">
      <c r="A243" s="6">
        <f>A242+$H$1</f>
        <v>1205</v>
      </c>
      <c r="B243" s="7">
        <f>B242-($H$6*B242*C242)*$H$1</f>
        <v>2.6667666829489142E-6</v>
      </c>
      <c r="C243" s="7">
        <f>C242+($H$6*B242*C242-$H$7*C242)*$H$1</f>
        <v>1.6223254566638156E-6</v>
      </c>
      <c r="D243" s="7">
        <f>D242+((1-$H$8)*$H$7*C242)*$H$1</f>
        <v>47495.249995925384</v>
      </c>
      <c r="E243" s="7">
        <f>E242+($H$8*$H$7*C242)*$H$1</f>
        <v>2499.7499997855425</v>
      </c>
    </row>
    <row r="244" spans="1:5" x14ac:dyDescent="0.25">
      <c r="A244" s="6">
        <f>A243+$H$1</f>
        <v>1210</v>
      </c>
      <c r="B244" s="7">
        <f>B243-($H$6*B243*C243)*$H$1</f>
        <v>2.6667666828407552E-6</v>
      </c>
      <c r="C244" s="7">
        <f>C243+($H$6*B243*C243-$H$7*C243)*$H$1</f>
        <v>1.4600929111055933E-6</v>
      </c>
      <c r="D244" s="7">
        <f>D243+((1-$H$8)*$H$7*C243)*$H$1</f>
        <v>47495.249996079503</v>
      </c>
      <c r="E244" s="7">
        <f>E243+($H$8*$H$7*C243)*$H$1</f>
        <v>2499.7499997936543</v>
      </c>
    </row>
    <row r="245" spans="1:5" x14ac:dyDescent="0.25">
      <c r="A245" s="6">
        <f>A244+$H$1</f>
        <v>1215</v>
      </c>
      <c r="B245" s="7">
        <f>B244-($H$6*B244*C244)*$H$1</f>
        <v>2.6667666827434121E-6</v>
      </c>
      <c r="C245" s="7">
        <f>C244+($H$6*B244*C244-$H$7*C244)*$H$1</f>
        <v>1.3140836200923771E-6</v>
      </c>
      <c r="D245" s="7">
        <f>D244+((1-$H$8)*$H$7*C244)*$H$1</f>
        <v>47495.249996218212</v>
      </c>
      <c r="E245" s="7">
        <f>E244+($H$8*$H$7*C244)*$H$1</f>
        <v>2499.7499998009548</v>
      </c>
    </row>
    <row r="246" spans="1:5" x14ac:dyDescent="0.25">
      <c r="A246" s="6">
        <f>A245+$H$1</f>
        <v>1220</v>
      </c>
      <c r="B246" s="7">
        <f>B245-($H$6*B245*C245)*$H$1</f>
        <v>2.6667666826558031E-6</v>
      </c>
      <c r="C246" s="7">
        <f>C245+($H$6*B245*C245-$H$7*C245)*$H$1</f>
        <v>1.1826752581707482E-6</v>
      </c>
      <c r="D246" s="7">
        <f>D245+((1-$H$8)*$H$7*C245)*$H$1</f>
        <v>47495.249996343053</v>
      </c>
      <c r="E246" s="7">
        <f>E245+($H$8*$H$7*C245)*$H$1</f>
        <v>2499.7499998075255</v>
      </c>
    </row>
    <row r="247" spans="1:5" x14ac:dyDescent="0.25">
      <c r="A247" s="6">
        <f>A246+$H$1</f>
        <v>1225</v>
      </c>
      <c r="B247" s="7">
        <f>B246-($H$6*B246*C246)*$H$1</f>
        <v>2.6667666825769549E-6</v>
      </c>
      <c r="C247" s="7">
        <f>C246+($H$6*B246*C246-$H$7*C246)*$H$1</f>
        <v>1.0644077324325213E-6</v>
      </c>
      <c r="D247" s="7">
        <f>D246+((1-$H$8)*$H$7*C246)*$H$1</f>
        <v>47495.249996455408</v>
      </c>
      <c r="E247" s="7">
        <f>E246+($H$8*$H$7*C246)*$H$1</f>
        <v>2499.749999813439</v>
      </c>
    </row>
    <row r="248" spans="1:5" x14ac:dyDescent="0.25">
      <c r="A248" s="6">
        <f>A247+$H$1</f>
        <v>1230</v>
      </c>
      <c r="B248" s="7">
        <f>B247-($H$6*B247*C247)*$H$1</f>
        <v>2.6667666825059917E-6</v>
      </c>
      <c r="C248" s="7">
        <f>C247+($H$6*B247*C247-$H$7*C247)*$H$1</f>
        <v>9.5796695926023232E-7</v>
      </c>
      <c r="D248" s="7">
        <f>D247+((1-$H$8)*$H$7*C247)*$H$1</f>
        <v>47495.249996556529</v>
      </c>
      <c r="E248" s="7">
        <f>E247+($H$8*$H$7*C247)*$H$1</f>
        <v>2499.7499998187609</v>
      </c>
    </row>
    <row r="249" spans="1:5" x14ac:dyDescent="0.25">
      <c r="A249" s="6">
        <f>A248+$H$1</f>
        <v>1235</v>
      </c>
      <c r="B249" s="7">
        <f>B248-($H$6*B248*C248)*$H$1</f>
        <v>2.666766682442125E-6</v>
      </c>
      <c r="C249" s="7">
        <f>C248+($H$6*B248*C248-$H$7*C248)*$H$1</f>
        <v>8.6217026339807594E-7</v>
      </c>
      <c r="D249" s="7">
        <f>D248+((1-$H$8)*$H$7*C248)*$H$1</f>
        <v>47495.249996647537</v>
      </c>
      <c r="E249" s="7">
        <f>E248+($H$8*$H$7*C248)*$H$1</f>
        <v>2499.7499998235508</v>
      </c>
    </row>
    <row r="250" spans="1:5" x14ac:dyDescent="0.25">
      <c r="A250" s="6">
        <f>A249+$H$1</f>
        <v>1240</v>
      </c>
      <c r="B250" s="7">
        <f>B249-($H$6*B249*C249)*$H$1</f>
        <v>2.6667666823846449E-6</v>
      </c>
      <c r="C250" s="7">
        <f>C249+($H$6*B249*C249-$H$7*C249)*$H$1</f>
        <v>7.7595323711574848E-7</v>
      </c>
      <c r="D250" s="7">
        <f>D249+((1-$H$8)*$H$7*C249)*$H$1</f>
        <v>47495.249996729443</v>
      </c>
      <c r="E250" s="7">
        <f>E249+($H$8*$H$7*C249)*$H$1</f>
        <v>2499.7499998278618</v>
      </c>
    </row>
    <row r="251" spans="1:5" x14ac:dyDescent="0.25">
      <c r="A251" s="6">
        <f>A250+$H$1</f>
        <v>1245</v>
      </c>
      <c r="B251" s="7">
        <f>B250-($H$6*B250*C250)*$H$1</f>
        <v>2.6667666823329128E-6</v>
      </c>
      <c r="C251" s="7">
        <f>C250+($H$6*B250*C250-$H$7*C250)*$H$1</f>
        <v>6.9835791345590581E-7</v>
      </c>
      <c r="D251" s="7">
        <f>D250+((1-$H$8)*$H$7*C250)*$H$1</f>
        <v>47495.249996803155</v>
      </c>
      <c r="E251" s="7">
        <f>E250+($H$8*$H$7*C250)*$H$1</f>
        <v>2499.7499998317417</v>
      </c>
    </row>
    <row r="252" spans="1:5" x14ac:dyDescent="0.25">
      <c r="A252" s="6">
        <f>A251+$H$1</f>
        <v>1250</v>
      </c>
      <c r="B252" s="7">
        <f>B251-($H$6*B251*C251)*$H$1</f>
        <v>2.666766682286354E-6</v>
      </c>
      <c r="C252" s="7">
        <f>C251+($H$6*B251*C251-$H$7*C251)*$H$1</f>
        <v>6.285221221568742E-7</v>
      </c>
      <c r="D252" s="7">
        <f>D251+((1-$H$8)*$H$7*C251)*$H$1</f>
        <v>47495.249996869497</v>
      </c>
      <c r="E252" s="7">
        <f>E251+($H$8*$H$7*C251)*$H$1</f>
        <v>2499.7499998352337</v>
      </c>
    </row>
    <row r="253" spans="1:5" x14ac:dyDescent="0.25">
      <c r="A253" s="6">
        <f>A252+$H$1</f>
        <v>1255</v>
      </c>
      <c r="B253" s="7">
        <f>B252-($H$6*B252*C252)*$H$1</f>
        <v>2.6667666822444508E-6</v>
      </c>
      <c r="C253" s="7">
        <f>C252+($H$6*B252*C252-$H$7*C252)*$H$1</f>
        <v>5.6566990998308978E-7</v>
      </c>
      <c r="D253" s="7">
        <f>D252+((1-$H$8)*$H$7*C252)*$H$1</f>
        <v>47495.249996929204</v>
      </c>
      <c r="E253" s="7">
        <f>E252+($H$8*$H$7*C252)*$H$1</f>
        <v>2499.7499998383764</v>
      </c>
    </row>
    <row r="254" spans="1:5" x14ac:dyDescent="0.25">
      <c r="A254" s="6">
        <f>A253+$H$1</f>
        <v>1260</v>
      </c>
      <c r="B254" s="7">
        <f>B253-($H$6*B253*C253)*$H$1</f>
        <v>2.666766682206738E-6</v>
      </c>
      <c r="C254" s="7">
        <f>C253+($H$6*B253*C253-$H$7*C253)*$H$1</f>
        <v>5.0910291902249352E-7</v>
      </c>
      <c r="D254" s="7">
        <f>D253+((1-$H$8)*$H$7*C253)*$H$1</f>
        <v>47495.249996982944</v>
      </c>
      <c r="E254" s="7">
        <f>E253+($H$8*$H$7*C253)*$H$1</f>
        <v>2499.749999841205</v>
      </c>
    </row>
    <row r="255" spans="1:5" x14ac:dyDescent="0.25">
      <c r="A255" s="6">
        <f>A254+$H$1</f>
        <v>1265</v>
      </c>
      <c r="B255" s="7">
        <f>B254-($H$6*B254*C254)*$H$1</f>
        <v>2.6667666821727965E-6</v>
      </c>
      <c r="C255" s="7">
        <f>C254+($H$6*B254*C254-$H$7*C254)*$H$1</f>
        <v>4.5819262715418562E-7</v>
      </c>
      <c r="D255" s="7">
        <f>D254+((1-$H$8)*$H$7*C254)*$H$1</f>
        <v>47495.249997031307</v>
      </c>
      <c r="E255" s="7">
        <f>E254+($H$8*$H$7*C254)*$H$1</f>
        <v>2499.7499998437506</v>
      </c>
    </row>
    <row r="256" spans="1:5" x14ac:dyDescent="0.25">
      <c r="A256" s="6">
        <f>A255+$H$1</f>
        <v>1270</v>
      </c>
      <c r="B256" s="7">
        <f>B255-($H$6*B255*C255)*$H$1</f>
        <v>2.6667666821422491E-6</v>
      </c>
      <c r="C256" s="7">
        <f>C255+($H$6*B255*C255-$H$7*C255)*$H$1</f>
        <v>4.1237336446931439E-7</v>
      </c>
      <c r="D256" s="7">
        <f>D255+((1-$H$8)*$H$7*C255)*$H$1</f>
        <v>47495.249997074832</v>
      </c>
      <c r="E256" s="7">
        <f>E255+($H$8*$H$7*C255)*$H$1</f>
        <v>2499.7499998460416</v>
      </c>
    </row>
    <row r="257" spans="1:5" x14ac:dyDescent="0.25">
      <c r="A257" s="6">
        <f>A256+$H$1</f>
        <v>1275</v>
      </c>
      <c r="B257" s="7">
        <f>B256-($H$6*B256*C256)*$H$1</f>
        <v>2.6667666821147565E-6</v>
      </c>
      <c r="C257" s="7">
        <f>C256+($H$6*B256*C256-$H$7*C256)*$H$1</f>
        <v>3.7113602804987554E-7</v>
      </c>
      <c r="D257" s="7">
        <f>D256+((1-$H$8)*$H$7*C256)*$H$1</f>
        <v>47495.249997114006</v>
      </c>
      <c r="E257" s="7">
        <f>E256+($H$8*$H$7*C256)*$H$1</f>
        <v>2499.7499998481035</v>
      </c>
    </row>
    <row r="258" spans="1:5" x14ac:dyDescent="0.25">
      <c r="A258" s="6">
        <f>A257+$H$1</f>
        <v>1280</v>
      </c>
      <c r="B258" s="7">
        <f>B257-($H$6*B257*C257)*$H$1</f>
        <v>2.666766682090013E-6</v>
      </c>
      <c r="C258" s="7">
        <f>C257+($H$6*B257*C257-$H$7*C257)*$H$1</f>
        <v>3.3402242526963132E-7</v>
      </c>
      <c r="D258" s="7">
        <f>D257+((1-$H$8)*$H$7*C257)*$H$1</f>
        <v>47495.249997149265</v>
      </c>
      <c r="E258" s="7">
        <f>E257+($H$8*$H$7*C257)*$H$1</f>
        <v>2499.7499998499593</v>
      </c>
    </row>
    <row r="259" spans="1:5" x14ac:dyDescent="0.25">
      <c r="A259" s="6">
        <f>A258+$H$1</f>
        <v>1285</v>
      </c>
      <c r="B259" s="7">
        <f>B258-($H$6*B258*C258)*$H$1</f>
        <v>2.6667666820677441E-6</v>
      </c>
      <c r="C259" s="7">
        <f>C258+($H$6*B258*C258-$H$7*C258)*$H$1</f>
        <v>3.0062018276493716E-7</v>
      </c>
      <c r="D259" s="7">
        <f>D258+((1-$H$8)*$H$7*C258)*$H$1</f>
        <v>47495.249997180996</v>
      </c>
      <c r="E259" s="7">
        <f>E258+($H$8*$H$7*C258)*$H$1</f>
        <v>2499.7499998516296</v>
      </c>
    </row>
    <row r="260" spans="1:5" x14ac:dyDescent="0.25">
      <c r="A260" s="6">
        <f>A259+$H$1</f>
        <v>1290</v>
      </c>
      <c r="B260" s="7">
        <f>B259-($H$6*B259*C259)*$H$1</f>
        <v>2.666766682047702E-6</v>
      </c>
      <c r="C260" s="7">
        <f>C259+($H$6*B259*C259-$H$7*C259)*$H$1</f>
        <v>2.7055816450848554E-7</v>
      </c>
      <c r="D260" s="7">
        <f>D259+((1-$H$8)*$H$7*C259)*$H$1</f>
        <v>47495.249997209554</v>
      </c>
      <c r="E260" s="7">
        <f>E259+($H$8*$H$7*C259)*$H$1</f>
        <v>2499.7499998531325</v>
      </c>
    </row>
    <row r="261" spans="1:5" x14ac:dyDescent="0.25">
      <c r="A261" s="6">
        <f>A260+$H$1</f>
        <v>1295</v>
      </c>
      <c r="B261" s="7">
        <f>B260-($H$6*B260*C260)*$H$1</f>
        <v>2.666766682029664E-6</v>
      </c>
      <c r="C261" s="7">
        <f>C260+($H$6*B260*C260-$H$7*C260)*$H$1</f>
        <v>2.435023480756749E-7</v>
      </c>
      <c r="D261" s="7">
        <f>D260+((1-$H$8)*$H$7*C260)*$H$1</f>
        <v>47495.24999723526</v>
      </c>
      <c r="E261" s="7">
        <f>E260+($H$8*$H$7*C260)*$H$1</f>
        <v>2499.7499998544854</v>
      </c>
    </row>
    <row r="262" spans="1:5" x14ac:dyDescent="0.25">
      <c r="A262" s="6">
        <f>A261+$H$1</f>
        <v>1300</v>
      </c>
      <c r="B262" s="7">
        <f>B261-($H$6*B261*C261)*$H$1</f>
        <v>2.6667666820134298E-6</v>
      </c>
      <c r="C262" s="7">
        <f>C261+($H$6*B261*C261-$H$7*C261)*$H$1</f>
        <v>2.1915211328434151E-7</v>
      </c>
      <c r="D262" s="7">
        <f>D261+((1-$H$8)*$H$7*C261)*$H$1</f>
        <v>47495.24999725839</v>
      </c>
      <c r="E262" s="7">
        <f>E261+($H$8*$H$7*C261)*$H$1</f>
        <v>2499.7499998557028</v>
      </c>
    </row>
    <row r="263" spans="1:5" x14ac:dyDescent="0.25">
      <c r="A263" s="6">
        <f>A262+$H$1</f>
        <v>1305</v>
      </c>
      <c r="B263" s="7">
        <f>B262-($H$6*B262*C262)*$H$1</f>
        <v>2.6667666819988189E-6</v>
      </c>
      <c r="C263" s="7">
        <f>C262+($H$6*B262*C262-$H$7*C262)*$H$1</f>
        <v>1.9723690197051804E-7</v>
      </c>
      <c r="D263" s="7">
        <f>D262+((1-$H$8)*$H$7*C262)*$H$1</f>
        <v>47495.249997279207</v>
      </c>
      <c r="E263" s="7">
        <f>E262+($H$8*$H$7*C262)*$H$1</f>
        <v>2499.7499998567987</v>
      </c>
    </row>
    <row r="264" spans="1:5" x14ac:dyDescent="0.25">
      <c r="A264" s="6">
        <f>A263+$H$1</f>
        <v>1310</v>
      </c>
      <c r="B264" s="7">
        <f>B263-($H$6*B263*C263)*$H$1</f>
        <v>2.6667666819856691E-6</v>
      </c>
      <c r="C264" s="7">
        <f>C263+($H$6*B263*C263-$H$7*C263)*$H$1</f>
        <v>1.7751321178661584E-7</v>
      </c>
      <c r="D264" s="7">
        <f>D263+((1-$H$8)*$H$7*C263)*$H$1</f>
        <v>47495.249997297942</v>
      </c>
      <c r="E264" s="7">
        <f>E263+($H$8*$H$7*C263)*$H$1</f>
        <v>2499.749999857785</v>
      </c>
    </row>
    <row r="265" spans="1:5" x14ac:dyDescent="0.25">
      <c r="A265" s="6">
        <f>A264+$H$1</f>
        <v>1315</v>
      </c>
      <c r="B265" s="7">
        <f>B264-($H$6*B264*C264)*$H$1</f>
        <v>2.6667666819738344E-6</v>
      </c>
      <c r="C265" s="7">
        <f>C264+($H$6*B264*C264-$H$7*C264)*$H$1</f>
        <v>1.5976189061978891E-7</v>
      </c>
      <c r="D265" s="7">
        <f>D264+((1-$H$8)*$H$7*C264)*$H$1</f>
        <v>47495.249997314808</v>
      </c>
      <c r="E265" s="7">
        <f>E264+($H$8*$H$7*C264)*$H$1</f>
        <v>2499.7499998586727</v>
      </c>
    </row>
    <row r="266" spans="1:5" x14ac:dyDescent="0.25">
      <c r="A266" s="6">
        <f>A265+$H$1</f>
        <v>1320</v>
      </c>
      <c r="B266" s="7">
        <f>B265-($H$6*B265*C265)*$H$1</f>
        <v>2.6667666819631834E-6</v>
      </c>
      <c r="C266" s="7">
        <f>C265+($H$6*B265*C265-$H$7*C265)*$H$1</f>
        <v>1.4378570156846122E-7</v>
      </c>
      <c r="D266" s="7">
        <f>D265+((1-$H$8)*$H$7*C265)*$H$1</f>
        <v>47495.249997329985</v>
      </c>
      <c r="E266" s="7">
        <f>E265+($H$8*$H$7*C265)*$H$1</f>
        <v>2499.7499998594717</v>
      </c>
    </row>
    <row r="267" spans="1:5" x14ac:dyDescent="0.25">
      <c r="A267" s="6">
        <f>A266+$H$1</f>
        <v>1325</v>
      </c>
      <c r="B267" s="7">
        <f>B266-($H$6*B266*C266)*$H$1</f>
        <v>2.6667666819535975E-6</v>
      </c>
      <c r="C267" s="7">
        <f>C266+($H$6*B266*C266-$H$7*C266)*$H$1</f>
        <v>1.2940713142120118E-7</v>
      </c>
      <c r="D267" s="7">
        <f>D266+((1-$H$8)*$H$7*C266)*$H$1</f>
        <v>47495.249997343642</v>
      </c>
      <c r="E267" s="7">
        <f>E266+($H$8*$H$7*C266)*$H$1</f>
        <v>2499.7499998601907</v>
      </c>
    </row>
    <row r="268" spans="1:5" x14ac:dyDescent="0.25">
      <c r="A268" s="6">
        <f>A267+$H$1</f>
        <v>1330</v>
      </c>
      <c r="B268" s="7">
        <f>B267-($H$6*B267*C267)*$H$1</f>
        <v>2.66676668194497E-6</v>
      </c>
      <c r="C268" s="7">
        <f>C267+($H$6*B267*C267-$H$7*C267)*$H$1</f>
        <v>1.1646641828770852E-7</v>
      </c>
      <c r="D268" s="7">
        <f>D267+((1-$H$8)*$H$7*C267)*$H$1</f>
        <v>47495.249997355939</v>
      </c>
      <c r="E268" s="7">
        <f>E267+($H$8*$H$7*C267)*$H$1</f>
        <v>2499.7499998608378</v>
      </c>
    </row>
    <row r="269" spans="1:5" x14ac:dyDescent="0.25">
      <c r="A269" s="6">
        <f>A268+$H$1</f>
        <v>1335</v>
      </c>
      <c r="B269" s="7">
        <f>B268-($H$6*B268*C268)*$H$1</f>
        <v>2.6667666819372053E-6</v>
      </c>
      <c r="C269" s="7">
        <f>C268+($H$6*B268*C268-$H$7*C268)*$H$1</f>
        <v>1.0481977646670239E-7</v>
      </c>
      <c r="D269" s="7">
        <f>D268+((1-$H$8)*$H$7*C268)*$H$1</f>
        <v>47495.249997367006</v>
      </c>
      <c r="E269" s="7">
        <f>E268+($H$8*$H$7*C268)*$H$1</f>
        <v>2499.7499998614203</v>
      </c>
    </row>
    <row r="270" spans="1:5" x14ac:dyDescent="0.25">
      <c r="A270" s="6">
        <f>A269+$H$1</f>
        <v>1340</v>
      </c>
      <c r="B270" s="7">
        <f>B269-($H$6*B269*C269)*$H$1</f>
        <v>2.6667666819302169E-6</v>
      </c>
      <c r="C270" s="7">
        <f>C269+($H$6*B269*C269-$H$7*C269)*$H$1</f>
        <v>9.4337798827020394E-8</v>
      </c>
      <c r="D270" s="7">
        <f>D269+((1-$H$8)*$H$7*C269)*$H$1</f>
        <v>47495.249997376966</v>
      </c>
      <c r="E270" s="7">
        <f>E269+($H$8*$H$7*C269)*$H$1</f>
        <v>2499.7499998619446</v>
      </c>
    </row>
    <row r="271" spans="1:5" x14ac:dyDescent="0.25">
      <c r="A271" s="6">
        <f>A270+$H$1</f>
        <v>1345</v>
      </c>
      <c r="B271" s="7">
        <f>B270-($H$6*B270*C270)*$H$1</f>
        <v>2.6667666819239276E-6</v>
      </c>
      <c r="C271" s="7">
        <f>C270+($H$6*B270*C270-$H$7*C270)*$H$1</f>
        <v>8.4904018950607782E-8</v>
      </c>
      <c r="D271" s="7">
        <f>D270+((1-$H$8)*$H$7*C270)*$H$1</f>
        <v>47495.24999738593</v>
      </c>
      <c r="E271" s="7">
        <f>E270+($H$8*$H$7*C270)*$H$1</f>
        <v>2499.7499998624162</v>
      </c>
    </row>
    <row r="272" spans="1:5" x14ac:dyDescent="0.25">
      <c r="A272" s="6">
        <f>A271+$H$1</f>
        <v>1350</v>
      </c>
      <c r="B272" s="7">
        <f>B271-($H$6*B271*C271)*$H$1</f>
        <v>2.6667666819182673E-6</v>
      </c>
      <c r="C272" s="7">
        <f>C271+($H$6*B271*C271-$H$7*C271)*$H$1</f>
        <v>7.6413617061207486E-8</v>
      </c>
      <c r="D272" s="7">
        <f>D271+((1-$H$8)*$H$7*C271)*$H$1</f>
        <v>47495.249997393999</v>
      </c>
      <c r="E272" s="7">
        <f>E271+($H$8*$H$7*C271)*$H$1</f>
        <v>2499.7499998628409</v>
      </c>
    </row>
    <row r="273" spans="1:5" x14ac:dyDescent="0.25">
      <c r="A273" s="6">
        <f>A272+$H$1</f>
        <v>1355</v>
      </c>
      <c r="B273" s="7">
        <f>B272-($H$6*B272*C272)*$H$1</f>
        <v>2.6667666819131729E-6</v>
      </c>
      <c r="C273" s="7">
        <f>C272+($H$6*B272*C272-$H$7*C272)*$H$1</f>
        <v>6.8772255360181174E-8</v>
      </c>
      <c r="D273" s="7">
        <f>D272+((1-$H$8)*$H$7*C272)*$H$1</f>
        <v>47495.249997401261</v>
      </c>
      <c r="E273" s="7">
        <f>E272+($H$8*$H$7*C272)*$H$1</f>
        <v>2499.7499998632229</v>
      </c>
    </row>
    <row r="274" spans="1:5" x14ac:dyDescent="0.25">
      <c r="A274" s="6">
        <f>A273+$H$1</f>
        <v>1360</v>
      </c>
      <c r="B274" s="7">
        <f>B273-($H$6*B273*C273)*$H$1</f>
        <v>2.6667666819085879E-6</v>
      </c>
      <c r="C274" s="7">
        <f>C273+($H$6*B273*C273-$H$7*C273)*$H$1</f>
        <v>6.1895029828748046E-8</v>
      </c>
      <c r="D274" s="7">
        <f>D273+((1-$H$8)*$H$7*C273)*$H$1</f>
        <v>47495.249997407795</v>
      </c>
      <c r="E274" s="7">
        <f>E273+($H$8*$H$7*C273)*$H$1</f>
        <v>2499.7499998635667</v>
      </c>
    </row>
    <row r="275" spans="1:5" x14ac:dyDescent="0.25">
      <c r="A275" s="6">
        <f>A274+$H$1</f>
        <v>1365</v>
      </c>
      <c r="B275" s="7">
        <f>B274-($H$6*B274*C274)*$H$1</f>
        <v>2.6667666819044615E-6</v>
      </c>
      <c r="C275" s="7">
        <f>C274+($H$6*B274*C274-$H$7*C274)*$H$1</f>
        <v>5.570552684999973E-8</v>
      </c>
      <c r="D275" s="7">
        <f>D274+((1-$H$8)*$H$7*C274)*$H$1</f>
        <v>47495.249997413674</v>
      </c>
      <c r="E275" s="7">
        <f>E274+($H$8*$H$7*C274)*$H$1</f>
        <v>2499.7499998638764</v>
      </c>
    </row>
    <row r="276" spans="1:5" x14ac:dyDescent="0.25">
      <c r="A276" s="6">
        <f>A275+$H$1</f>
        <v>1370</v>
      </c>
      <c r="B276" s="7">
        <f>B275-($H$6*B275*C275)*$H$1</f>
        <v>2.6667666819007477E-6</v>
      </c>
      <c r="C276" s="7">
        <f>C275+($H$6*B275*C275-$H$7*C275)*$H$1</f>
        <v>5.0134974168713601E-8</v>
      </c>
      <c r="D276" s="7">
        <f>D275+((1-$H$8)*$H$7*C275)*$H$1</f>
        <v>47495.249997418963</v>
      </c>
      <c r="E276" s="7">
        <f>E275+($H$8*$H$7*C275)*$H$1</f>
        <v>2499.7499998641547</v>
      </c>
    </row>
    <row r="277" spans="1:5" x14ac:dyDescent="0.25">
      <c r="A277" s="6">
        <f>A276+$H$1</f>
        <v>1375</v>
      </c>
      <c r="B277" s="7">
        <f>B276-($H$6*B276*C276)*$H$1</f>
        <v>2.6667666818974053E-6</v>
      </c>
      <c r="C277" s="7">
        <f>C276+($H$6*B276*C276-$H$7*C276)*$H$1</f>
        <v>4.5121476755184695E-8</v>
      </c>
      <c r="D277" s="7">
        <f>D276+((1-$H$8)*$H$7*C276)*$H$1</f>
        <v>47495.249997423729</v>
      </c>
      <c r="E277" s="7">
        <f>E276+($H$8*$H$7*C276)*$H$1</f>
        <v>2499.7499998644053</v>
      </c>
    </row>
    <row r="278" spans="1:5" x14ac:dyDescent="0.25">
      <c r="A278" s="6">
        <f>A277+$H$1</f>
        <v>1380</v>
      </c>
      <c r="B278" s="7">
        <f>B277-($H$6*B277*C277)*$H$1</f>
        <v>2.6667666818943971E-6</v>
      </c>
      <c r="C278" s="7">
        <f>C277+($H$6*B277*C277-$H$7*C277)*$H$1</f>
        <v>4.0609329082674438E-8</v>
      </c>
      <c r="D278" s="7">
        <f>D277+((1-$H$8)*$H$7*C277)*$H$1</f>
        <v>47495.249997428014</v>
      </c>
      <c r="E278" s="7">
        <f>E277+($H$8*$H$7*C277)*$H$1</f>
        <v>2499.7499998646308</v>
      </c>
    </row>
    <row r="279" spans="1:5" x14ac:dyDescent="0.25">
      <c r="A279" s="6">
        <f>A278+$H$1</f>
        <v>1385</v>
      </c>
      <c r="B279" s="7">
        <f>B278-($H$6*B278*C278)*$H$1</f>
        <v>2.6667666818916896E-6</v>
      </c>
      <c r="C279" s="7">
        <f>C278+($H$6*B278*C278-$H$7*C278)*$H$1</f>
        <v>3.6548396177114382E-8</v>
      </c>
      <c r="D279" s="7">
        <f>D278+((1-$H$8)*$H$7*C278)*$H$1</f>
        <v>47495.249997431871</v>
      </c>
      <c r="E279" s="7">
        <f>E278+($H$8*$H$7*C278)*$H$1</f>
        <v>2499.7499998648341</v>
      </c>
    </row>
    <row r="280" spans="1:5" x14ac:dyDescent="0.25">
      <c r="A280" s="6">
        <f>A279+$H$1</f>
        <v>1390</v>
      </c>
      <c r="B280" s="7">
        <f>B279-($H$6*B279*C279)*$H$1</f>
        <v>2.6667666818892531E-6</v>
      </c>
      <c r="C280" s="7">
        <f>C279+($H$6*B279*C279-$H$7*C279)*$H$1</f>
        <v>3.2893556561839595E-8</v>
      </c>
      <c r="D280" s="7">
        <f>D279+((1-$H$8)*$H$7*C279)*$H$1</f>
        <v>47495.249997435341</v>
      </c>
      <c r="E280" s="7">
        <f>E279+($H$8*$H$7*C279)*$H$1</f>
        <v>2499.7499998650169</v>
      </c>
    </row>
    <row r="281" spans="1:5" x14ac:dyDescent="0.25">
      <c r="A281" s="6">
        <f>A280+$H$1</f>
        <v>1395</v>
      </c>
      <c r="B281" s="7">
        <f>B280-($H$6*B280*C280)*$H$1</f>
        <v>2.6667666818870601E-6</v>
      </c>
      <c r="C281" s="7">
        <f>C280+($H$6*B280*C280-$H$7*C280)*$H$1</f>
        <v>2.9604200907848622E-8</v>
      </c>
      <c r="D281" s="7">
        <f>D280+((1-$H$8)*$H$7*C280)*$H$1</f>
        <v>47495.249997438463</v>
      </c>
      <c r="E281" s="7">
        <f>E280+($H$8*$H$7*C280)*$H$1</f>
        <v>2499.7499998651815</v>
      </c>
    </row>
    <row r="282" spans="1:5" x14ac:dyDescent="0.25">
      <c r="A282" s="6">
        <f>A281+$H$1</f>
        <v>1400</v>
      </c>
      <c r="B282" s="7">
        <f>B281-($H$6*B281*C281)*$H$1</f>
        <v>2.6667666818850865E-6</v>
      </c>
      <c r="C282" s="7">
        <f>C281+($H$6*B281*C281-$H$7*C281)*$H$1</f>
        <v>2.6643780819037446E-8</v>
      </c>
      <c r="D282" s="7">
        <f>D281+((1-$H$8)*$H$7*C281)*$H$1</f>
        <v>47495.249997441279</v>
      </c>
      <c r="E282" s="7">
        <f>E281+($H$8*$H$7*C281)*$H$1</f>
        <v>2499.7499998653298</v>
      </c>
    </row>
    <row r="283" spans="1:5" x14ac:dyDescent="0.25">
      <c r="A283" s="6">
        <f>A282+$H$1</f>
        <v>1405</v>
      </c>
      <c r="B283" s="7">
        <f>B282-($H$6*B282*C282)*$H$1</f>
        <v>2.6667666818833103E-6</v>
      </c>
      <c r="C283" s="7">
        <f>C282+($H$6*B282*C282-$H$7*C282)*$H$1</f>
        <v>2.397940273891002E-8</v>
      </c>
      <c r="D283" s="7">
        <f>D282+((1-$H$8)*$H$7*C282)*$H$1</f>
        <v>47495.249997443811</v>
      </c>
      <c r="E283" s="7">
        <f>E282+($H$8*$H$7*C282)*$H$1</f>
        <v>2499.749999865463</v>
      </c>
    </row>
    <row r="284" spans="1:5" x14ac:dyDescent="0.25">
      <c r="A284" s="6">
        <f>A283+$H$1</f>
        <v>1410</v>
      </c>
      <c r="B284" s="7">
        <f>B283-($H$6*B283*C283)*$H$1</f>
        <v>2.6667666818817115E-6</v>
      </c>
      <c r="C284" s="7">
        <f>C283+($H$6*B283*C283-$H$7*C283)*$H$1</f>
        <v>2.1581462466617704E-8</v>
      </c>
      <c r="D284" s="7">
        <f>D283+((1-$H$8)*$H$7*C283)*$H$1</f>
        <v>47495.249997446088</v>
      </c>
      <c r="E284" s="7">
        <f>E283+($H$8*$H$7*C283)*$H$1</f>
        <v>2499.749999865583</v>
      </c>
    </row>
    <row r="285" spans="1:5" x14ac:dyDescent="0.25">
      <c r="A285" s="6">
        <f>A284+$H$1</f>
        <v>1415</v>
      </c>
      <c r="B285" s="7">
        <f>B284-($H$6*B284*C284)*$H$1</f>
        <v>2.6667666818802728E-6</v>
      </c>
      <c r="C285" s="7">
        <f>C284+($H$6*B284*C284-$H$7*C284)*$H$1</f>
        <v>1.9423316221394751E-8</v>
      </c>
      <c r="D285" s="7">
        <f>D284+((1-$H$8)*$H$7*C284)*$H$1</f>
        <v>47495.24999744814</v>
      </c>
      <c r="E285" s="7">
        <f>E284+($H$8*$H$7*C284)*$H$1</f>
        <v>2499.7499998656908</v>
      </c>
    </row>
    <row r="286" spans="1:5" x14ac:dyDescent="0.25">
      <c r="A286" s="6">
        <f>A285+$H$1</f>
        <v>1420</v>
      </c>
      <c r="B286" s="7">
        <f>B285-($H$6*B285*C285)*$H$1</f>
        <v>2.6667666818789777E-6</v>
      </c>
      <c r="C286" s="7">
        <f>C285+($H$6*B285*C285-$H$7*C285)*$H$1</f>
        <v>1.7480984600550212E-8</v>
      </c>
      <c r="D286" s="7">
        <f>D285+((1-$H$8)*$H$7*C285)*$H$1</f>
        <v>47495.249997449988</v>
      </c>
      <c r="E286" s="7">
        <f>E285+($H$8*$H$7*C285)*$H$1</f>
        <v>2499.7499998657881</v>
      </c>
    </row>
    <row r="287" spans="1:5" x14ac:dyDescent="0.25">
      <c r="A287" s="6">
        <f>A286+$H$1</f>
        <v>1425</v>
      </c>
      <c r="B287" s="7">
        <f>B286-($H$6*B286*C286)*$H$1</f>
        <v>2.6667666818778122E-6</v>
      </c>
      <c r="C287" s="7">
        <f>C286+($H$6*B286*C286-$H$7*C286)*$H$1</f>
        <v>1.5732886141660635E-8</v>
      </c>
      <c r="D287" s="7">
        <f>D286+((1-$H$8)*$H$7*C286)*$H$1</f>
        <v>47495.249997451647</v>
      </c>
      <c r="E287" s="7">
        <f>E286+($H$8*$H$7*C286)*$H$1</f>
        <v>2499.7499998658755</v>
      </c>
    </row>
    <row r="288" spans="1:5" x14ac:dyDescent="0.25">
      <c r="A288" s="6">
        <f>A287+$H$1</f>
        <v>1430</v>
      </c>
      <c r="B288" s="7">
        <f>B287-($H$6*B287*C287)*$H$1</f>
        <v>2.6667666818767631E-6</v>
      </c>
      <c r="C288" s="7">
        <f>C287+($H$6*B287*C287-$H$7*C287)*$H$1</f>
        <v>1.415959752854347E-8</v>
      </c>
      <c r="D288" s="7">
        <f>D287+((1-$H$8)*$H$7*C287)*$H$1</f>
        <v>47495.249997453138</v>
      </c>
      <c r="E288" s="7">
        <f>E287+($H$8*$H$7*C287)*$H$1</f>
        <v>2499.7499998659541</v>
      </c>
    </row>
    <row r="289" spans="1:5" x14ac:dyDescent="0.25">
      <c r="A289" s="6">
        <f>A288+$H$1</f>
        <v>1435</v>
      </c>
      <c r="B289" s="7">
        <f>B288-($H$6*B288*C288)*$H$1</f>
        <v>2.6667666818758191E-6</v>
      </c>
      <c r="C289" s="7">
        <f>C288+($H$6*B288*C288-$H$7*C288)*$H$1</f>
        <v>1.2743637776633132E-8</v>
      </c>
      <c r="D289" s="7">
        <f>D288+((1-$H$8)*$H$7*C288)*$H$1</f>
        <v>47495.249997454484</v>
      </c>
      <c r="E289" s="7">
        <f>E288+($H$8*$H$7*C288)*$H$1</f>
        <v>2499.7499998660251</v>
      </c>
    </row>
    <row r="290" spans="1:5" x14ac:dyDescent="0.25">
      <c r="A290" s="6">
        <f>A289+$H$1</f>
        <v>1440</v>
      </c>
      <c r="B290" s="7">
        <f>B289-($H$6*B289*C289)*$H$1</f>
        <v>2.6667666818749696E-6</v>
      </c>
      <c r="C290" s="7">
        <f>C289+($H$6*B289*C289-$H$7*C289)*$H$1</f>
        <v>1.1469273999819426E-8</v>
      </c>
      <c r="D290" s="7">
        <f>D289+((1-$H$8)*$H$7*C289)*$H$1</f>
        <v>47495.249997455692</v>
      </c>
      <c r="E290" s="7">
        <f>E289+($H$8*$H$7*C289)*$H$1</f>
        <v>2499.7499998660887</v>
      </c>
    </row>
    <row r="291" spans="1:5" x14ac:dyDescent="0.25">
      <c r="A291" s="6">
        <f>A290+$H$1</f>
        <v>1445</v>
      </c>
      <c r="B291" s="7">
        <f>B290-($H$6*B290*C290)*$H$1</f>
        <v>2.6667666818742051E-6</v>
      </c>
      <c r="C291" s="7">
        <f>C290+($H$6*B290*C290-$H$7*C290)*$H$1</f>
        <v>1.0322346600602131E-8</v>
      </c>
      <c r="D291" s="7">
        <f>D290+((1-$H$8)*$H$7*C290)*$H$1</f>
        <v>47495.249997456784</v>
      </c>
      <c r="E291" s="7">
        <f>E290+($H$8*$H$7*C290)*$H$1</f>
        <v>2499.749999866146</v>
      </c>
    </row>
    <row r="292" spans="1:5" x14ac:dyDescent="0.25">
      <c r="A292" s="6">
        <f>A291+$H$1</f>
        <v>1450</v>
      </c>
      <c r="B292" s="7">
        <f>B291-($H$6*B291*C291)*$H$1</f>
        <v>2.6667666818735169E-6</v>
      </c>
      <c r="C292" s="7">
        <f>C291+($H$6*B291*C291-$H$7*C291)*$H$1</f>
        <v>9.2901119412300997E-9</v>
      </c>
      <c r="D292" s="7">
        <f>D291+((1-$H$8)*$H$7*C291)*$H$1</f>
        <v>47495.249997457766</v>
      </c>
      <c r="E292" s="7">
        <f>E291+($H$8*$H$7*C291)*$H$1</f>
        <v>2499.7499998661974</v>
      </c>
    </row>
    <row r="293" spans="1:5" x14ac:dyDescent="0.25">
      <c r="A293" s="6">
        <f>A292+$H$1</f>
        <v>1455</v>
      </c>
      <c r="B293" s="7">
        <f>B292-($H$6*B292*C292)*$H$1</f>
        <v>2.6667666818728977E-6</v>
      </c>
      <c r="C293" s="7">
        <f>C292+($H$6*B292*C292-$H$7*C292)*$H$1</f>
        <v>8.3611007477264538E-9</v>
      </c>
      <c r="D293" s="7">
        <f>D292+((1-$H$8)*$H$7*C292)*$H$1</f>
        <v>47495.249997458646</v>
      </c>
      <c r="E293" s="7">
        <f>E292+($H$8*$H$7*C292)*$H$1</f>
        <v>2499.7499998662438</v>
      </c>
    </row>
    <row r="294" spans="1:5" x14ac:dyDescent="0.25">
      <c r="A294" s="6">
        <f>A293+$H$1</f>
        <v>1460</v>
      </c>
      <c r="B294" s="7">
        <f>B293-($H$6*B293*C293)*$H$1</f>
        <v>2.6667666818723404E-6</v>
      </c>
      <c r="C294" s="7">
        <f>C293+($H$6*B293*C293-$H$7*C293)*$H$1</f>
        <v>7.5249906735112365E-9</v>
      </c>
      <c r="D294" s="7">
        <f>D293+((1-$H$8)*$H$7*C293)*$H$1</f>
        <v>47495.249997459439</v>
      </c>
      <c r="E294" s="7">
        <f>E293+($H$8*$H$7*C293)*$H$1</f>
        <v>2499.7499998662856</v>
      </c>
    </row>
    <row r="295" spans="1:5" x14ac:dyDescent="0.25">
      <c r="A295" s="6">
        <f>A294+$H$1</f>
        <v>1465</v>
      </c>
      <c r="B295" s="7">
        <f>B294-($H$6*B294*C294)*$H$1</f>
        <v>2.6667666818718385E-6</v>
      </c>
      <c r="C295" s="7">
        <f>C294+($H$6*B294*C294-$H$7*C294)*$H$1</f>
        <v>6.7724916066617981E-9</v>
      </c>
      <c r="D295" s="7">
        <f>D294+((1-$H$8)*$H$7*C294)*$H$1</f>
        <v>47495.249997460152</v>
      </c>
      <c r="E295" s="7">
        <f>E294+($H$8*$H$7*C294)*$H$1</f>
        <v>2499.7499998663234</v>
      </c>
    </row>
    <row r="296" spans="1:5" x14ac:dyDescent="0.25">
      <c r="A296" s="6">
        <f>A295+$H$1</f>
        <v>1470</v>
      </c>
      <c r="B296" s="7">
        <f>B295-($H$6*B295*C295)*$H$1</f>
        <v>2.666766681871387E-6</v>
      </c>
      <c r="C296" s="7">
        <f>C295+($H$6*B295*C295-$H$7*C295)*$H$1</f>
        <v>6.0952424464471349E-9</v>
      </c>
      <c r="D296" s="7">
        <f>D295+((1-$H$8)*$H$7*C295)*$H$1</f>
        <v>47495.249997460793</v>
      </c>
      <c r="E296" s="7">
        <f>E295+($H$8*$H$7*C295)*$H$1</f>
        <v>2499.749999866357</v>
      </c>
    </row>
    <row r="297" spans="1:5" x14ac:dyDescent="0.25">
      <c r="A297" s="6">
        <f>A296+$H$1</f>
        <v>1475</v>
      </c>
      <c r="B297" s="7">
        <f>B296-($H$6*B296*C296)*$H$1</f>
        <v>2.6667666818709804E-6</v>
      </c>
      <c r="C297" s="7">
        <f>C296+($H$6*B296*C296-$H$7*C296)*$H$1</f>
        <v>5.4857182022087863E-9</v>
      </c>
      <c r="D297" s="7">
        <f>D296+((1-$H$8)*$H$7*C296)*$H$1</f>
        <v>47495.249997461375</v>
      </c>
      <c r="E297" s="7">
        <f>E296+($H$8*$H$7*C296)*$H$1</f>
        <v>2499.7499998663875</v>
      </c>
    </row>
    <row r="298" spans="1:5" x14ac:dyDescent="0.25">
      <c r="A298" s="6">
        <f>A297+$H$1</f>
        <v>1480</v>
      </c>
      <c r="B298" s="7">
        <f>B297-($H$6*B297*C297)*$H$1</f>
        <v>2.6667666818706145E-6</v>
      </c>
      <c r="C298" s="7">
        <f>C297+($H$6*B297*C297-$H$7*C297)*$H$1</f>
        <v>4.9371463823536362E-9</v>
      </c>
      <c r="D298" s="7">
        <f>D297+((1-$H$8)*$H$7*C297)*$H$1</f>
        <v>47495.249997461899</v>
      </c>
      <c r="E298" s="7">
        <f>E297+($H$8*$H$7*C297)*$H$1</f>
        <v>2499.7499998664148</v>
      </c>
    </row>
    <row r="299" spans="1:5" x14ac:dyDescent="0.25">
      <c r="A299" s="6">
        <f>A298+$H$1</f>
        <v>1485</v>
      </c>
      <c r="B299" s="7">
        <f>B298-($H$6*B298*C298)*$H$1</f>
        <v>2.6667666818702855E-6</v>
      </c>
      <c r="C299" s="7">
        <f>C298+($H$6*B298*C298-$H$7*C298)*$H$1</f>
        <v>4.4434317444474277E-9</v>
      </c>
      <c r="D299" s="7">
        <f>D298+((1-$H$8)*$H$7*C298)*$H$1</f>
        <v>47495.249997462364</v>
      </c>
      <c r="E299" s="7">
        <f>E298+($H$8*$H$7*C298)*$H$1</f>
        <v>2499.7499998664393</v>
      </c>
    </row>
    <row r="300" spans="1:5" x14ac:dyDescent="0.25">
      <c r="A300" s="6">
        <f>A299+$H$1</f>
        <v>1490</v>
      </c>
      <c r="B300" s="7">
        <f>B299-($H$6*B299*C299)*$H$1</f>
        <v>2.6667666818699894E-6</v>
      </c>
      <c r="C300" s="7">
        <f>C299+($H$6*B299*C299-$H$7*C299)*$H$1</f>
        <v>3.9990885702989246E-9</v>
      </c>
      <c r="D300" s="7">
        <f>D299+((1-$H$8)*$H$7*C299)*$H$1</f>
        <v>47495.249997462786</v>
      </c>
      <c r="E300" s="7">
        <f>E299+($H$8*$H$7*C299)*$H$1</f>
        <v>2499.7499998664616</v>
      </c>
    </row>
    <row r="301" spans="1:5" x14ac:dyDescent="0.25">
      <c r="A301" s="6">
        <f>A300+$H$1</f>
        <v>1495</v>
      </c>
      <c r="B301" s="7">
        <f>B300-($H$6*B300*C300)*$H$1</f>
        <v>2.6667666818697226E-6</v>
      </c>
      <c r="C301" s="7">
        <f>C300+($H$6*B300*C300-$H$7*C300)*$H$1</f>
        <v>3.599179713535648E-9</v>
      </c>
      <c r="D301" s="7">
        <f>D300+((1-$H$8)*$H$7*C300)*$H$1</f>
        <v>47495.249997463165</v>
      </c>
      <c r="E301" s="7">
        <f>E300+($H$8*$H$7*C300)*$H$1</f>
        <v>2499.7499998664816</v>
      </c>
    </row>
    <row r="302" spans="1:5" x14ac:dyDescent="0.25">
      <c r="A302" s="6">
        <f>A301+$H$1</f>
        <v>1500</v>
      </c>
      <c r="B302" s="7">
        <f>B301-($H$6*B301*C301)*$H$1</f>
        <v>2.6667666818694825E-6</v>
      </c>
      <c r="C302" s="7">
        <f>C301+($H$6*B301*C301-$H$7*C301)*$H$1</f>
        <v>3.2392617424220375E-9</v>
      </c>
      <c r="D302" s="7">
        <f>D301+((1-$H$8)*$H$7*C301)*$H$1</f>
        <v>47495.249997463507</v>
      </c>
      <c r="E302" s="7">
        <f>E301+($H$8*$H$7*C301)*$H$1</f>
        <v>2499.7499998664998</v>
      </c>
    </row>
  </sheetData>
  <mergeCells count="2">
    <mergeCell ref="N1:O3"/>
    <mergeCell ref="J8:O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Epidemic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2012-12-16T18:29:43Z</dcterms:created>
  <dcterms:modified xsi:type="dcterms:W3CDTF">2016-11-09T10:05:43Z</dcterms:modified>
</cp:coreProperties>
</file>