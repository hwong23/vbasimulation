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3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WO.work/Library/Mobile Documents/com~apple~CloudDocs/devx/100VBAsimulations/6-Business/"/>
    </mc:Choice>
  </mc:AlternateContent>
  <bookViews>
    <workbookView xWindow="720" yWindow="460" windowWidth="19760" windowHeight="12340"/>
  </bookViews>
  <sheets>
    <sheet name="Scenarios" sheetId="13" r:id="rId1"/>
  </sheets>
  <definedNames>
    <definedName name="List1">#REF!</definedName>
    <definedName name="List2">#REF!</definedName>
    <definedName name="List3">#REF!:INDEX(#REF!,COUNTA(#REF!),0)</definedName>
  </definedNames>
  <calcPr calcId="150001" calcMode="manual" iterate="1" iterateCount="1000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1" i="13" l="1"/>
  <c r="D29" i="13"/>
  <c r="C29" i="13"/>
  <c r="C30" i="13"/>
  <c r="L12" i="13"/>
  <c r="K12" i="13"/>
  <c r="J12" i="13"/>
  <c r="I12" i="13"/>
  <c r="F5" i="13"/>
  <c r="D5" i="13"/>
  <c r="B5" i="13"/>
  <c r="F4" i="13"/>
  <c r="D4" i="13"/>
  <c r="B4" i="13"/>
  <c r="F3" i="13"/>
  <c r="D3" i="13"/>
  <c r="B3" i="13"/>
  <c r="L2" i="13"/>
  <c r="K2" i="13"/>
  <c r="D9" i="13"/>
  <c r="B9" i="13"/>
  <c r="F8" i="13"/>
  <c r="H4" i="13"/>
  <c r="F9" i="13"/>
  <c r="H5" i="13"/>
  <c r="H3" i="13"/>
  <c r="I13" i="13"/>
  <c r="B8" i="13"/>
  <c r="D8" i="13"/>
  <c r="D11" i="13"/>
  <c r="B11" i="13"/>
  <c r="H8" i="13"/>
  <c r="H9" i="13"/>
  <c r="K13" i="13"/>
  <c r="H11" i="13"/>
  <c r="H13" i="13"/>
  <c r="L13" i="13"/>
  <c r="L6" i="13"/>
  <c r="J13" i="13"/>
  <c r="L4" i="13"/>
  <c r="L8" i="13"/>
  <c r="L5" i="13"/>
  <c r="L7" i="13"/>
  <c r="E29" i="13"/>
  <c r="E30" i="13"/>
</calcChain>
</file>

<file path=xl/comments1.xml><?xml version="1.0" encoding="utf-8"?>
<comments xmlns="http://schemas.openxmlformats.org/spreadsheetml/2006/main">
  <authors>
    <author>Gerry</author>
  </authors>
  <commentList>
    <comment ref="E30" authorId="0">
      <text>
        <r>
          <rPr>
            <b/>
            <sz val="11"/>
            <color indexed="81"/>
            <rFont val="Tahoma"/>
            <family val="2"/>
          </rPr>
          <t>=INDEX($B$20:$B$27,MATCH(E29,E20:E27,0))</t>
        </r>
      </text>
    </comment>
  </commentList>
</comments>
</file>

<file path=xl/sharedStrings.xml><?xml version="1.0" encoding="utf-8"?>
<sst xmlns="http://schemas.openxmlformats.org/spreadsheetml/2006/main" count="26" uniqueCount="22">
  <si>
    <t>Expenses</t>
  </si>
  <si>
    <t>worst case</t>
  </si>
  <si>
    <t>best case</t>
  </si>
  <si>
    <t>uncertainty</t>
  </si>
  <si>
    <t>scenario combinations</t>
  </si>
  <si>
    <t>Volume</t>
  </si>
  <si>
    <t>Cost/unit</t>
  </si>
  <si>
    <t>Min</t>
  </si>
  <si>
    <t>Profit/unit</t>
  </si>
  <si>
    <t>Overhead</t>
  </si>
  <si>
    <t>Median</t>
  </si>
  <si>
    <t>Revenues</t>
  </si>
  <si>
    <t>Max</t>
  </si>
  <si>
    <t>Profit</t>
  </si>
  <si>
    <t>most likely</t>
  </si>
  <si>
    <t>scenarios</t>
  </si>
  <si>
    <t>worst result</t>
  </si>
  <si>
    <t>best result</t>
  </si>
  <si>
    <t>median result</t>
  </si>
  <si>
    <t>worst/median/best results:</t>
  </si>
  <si>
    <t>scenario:</t>
  </si>
  <si>
    <t>copy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</si>
</sst>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;[Red]\-&quot;$&quot;#,##0.00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##0.00_)"/>
    <numFmt numFmtId="167" formatCode="#,##0_)"/>
    <numFmt numFmtId="168" formatCode="_(* #,##0_);_(* \(#,##0\);_(* &quot;-&quot;??_);_(@_)"/>
    <numFmt numFmtId="169" formatCode="&quot;$&quot;#,##0.00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sz val="11"/>
      <color rgb="FF3F3F76"/>
      <name val="Calibri"/>
      <family val="2"/>
      <scheme val="minor"/>
    </font>
    <font>
      <b/>
      <sz val="10"/>
      <name val="Verdana"/>
      <family val="2"/>
    </font>
    <font>
      <b/>
      <u/>
      <sz val="10"/>
      <name val="Verdana"/>
      <family val="2"/>
    </font>
    <font>
      <sz val="10"/>
      <color theme="0" tint="-0.34998626667073579"/>
      <name val="Verdana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hair">
        <color indexed="8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thin">
        <color rgb="FFB2B2B2"/>
      </right>
      <top style="medium">
        <color auto="1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/>
      <bottom/>
      <diagonal/>
    </border>
  </borders>
  <cellStyleXfs count="84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165" fontId="1" fillId="0" borderId="0" applyFont="0" applyFill="0" applyBorder="0" applyAlignment="0" applyProtection="0"/>
    <xf numFmtId="0" fontId="5" fillId="0" borderId="0">
      <alignment horizontal="left" vertical="center" wrapText="1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8" fontId="1" fillId="0" borderId="0" applyFont="0" applyFill="0" applyBorder="0" applyAlignment="0" applyProtection="0"/>
    <xf numFmtId="166" fontId="6" fillId="0" borderId="2" applyNumberFormat="0" applyFill="0">
      <alignment horizontal="right"/>
    </xf>
    <xf numFmtId="167" fontId="7" fillId="0" borderId="2">
      <alignment horizontal="right" vertical="center"/>
    </xf>
    <xf numFmtId="49" fontId="8" fillId="0" borderId="2">
      <alignment horizontal="left" vertical="center"/>
    </xf>
    <xf numFmtId="166" fontId="6" fillId="0" borderId="2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2">
      <alignment horizontal="left"/>
    </xf>
    <xf numFmtId="0" fontId="11" fillId="0" borderId="3">
      <alignment horizontal="right" vertical="center"/>
    </xf>
    <xf numFmtId="0" fontId="12" fillId="0" borderId="2">
      <alignment horizontal="left" vertical="center"/>
    </xf>
    <xf numFmtId="0" fontId="6" fillId="0" borderId="2">
      <alignment horizontal="left" vertical="center"/>
    </xf>
    <xf numFmtId="0" fontId="10" fillId="0" borderId="2">
      <alignment horizontal="left"/>
    </xf>
    <xf numFmtId="0" fontId="10" fillId="13" borderId="0">
      <alignment horizontal="centerContinuous" wrapText="1"/>
    </xf>
    <xf numFmtId="49" fontId="10" fillId="13" borderId="4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2">
      <alignment horizontal="left"/>
    </xf>
    <xf numFmtId="166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5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2">
      <alignment horizontal="left"/>
    </xf>
    <xf numFmtId="0" fontId="11" fillId="0" borderId="3">
      <alignment horizontal="left"/>
    </xf>
    <xf numFmtId="0" fontId="10" fillId="0" borderId="0">
      <alignment horizontal="left" vertical="center"/>
    </xf>
    <xf numFmtId="49" fontId="7" fillId="0" borderId="2">
      <alignment horizontal="left"/>
    </xf>
    <xf numFmtId="0" fontId="18" fillId="15" borderId="19" applyNumberFormat="0" applyAlignment="0" applyProtection="0"/>
    <xf numFmtId="164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19" fillId="16" borderId="20" applyNumberFormat="0" applyFont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8" fillId="19" borderId="23" applyNumberFormat="0" applyAlignment="0" applyProtection="0"/>
    <xf numFmtId="164" fontId="19" fillId="0" borderId="0" applyFont="0" applyFill="0" applyBorder="0" applyAlignment="0" applyProtection="0"/>
    <xf numFmtId="0" fontId="13" fillId="0" borderId="0"/>
    <xf numFmtId="0" fontId="13" fillId="0" borderId="0"/>
  </cellStyleXfs>
  <cellXfs count="90">
    <xf numFmtId="0" fontId="0" fillId="0" borderId="0" xfId="0"/>
    <xf numFmtId="0" fontId="0" fillId="0" borderId="0" xfId="0" applyFont="1" applyFill="1" applyBorder="1" applyAlignment="1" applyProtection="1">
      <alignment horizontal="center"/>
    </xf>
    <xf numFmtId="0" fontId="19" fillId="17" borderId="0" xfId="78" applyBorder="1" applyAlignment="1" applyProtection="1">
      <alignment horizontal="center"/>
    </xf>
    <xf numFmtId="168" fontId="23" fillId="0" borderId="18" xfId="74" applyNumberFormat="1" applyFont="1" applyFill="1" applyBorder="1" applyAlignment="1" applyProtection="1">
      <alignment horizontal="right" vertical="center"/>
    </xf>
    <xf numFmtId="165" fontId="22" fillId="16" borderId="20" xfId="77" applyNumberFormat="1" applyFont="1" applyAlignment="1" applyProtection="1">
      <alignment horizontal="right" vertical="center"/>
    </xf>
    <xf numFmtId="164" fontId="23" fillId="0" borderId="0" xfId="75" applyFont="1" applyFill="1" applyBorder="1" applyAlignment="1" applyProtection="1">
      <alignment horizontal="right" vertical="center"/>
    </xf>
    <xf numFmtId="169" fontId="22" fillId="16" borderId="20" xfId="77" applyNumberFormat="1" applyFont="1" applyAlignment="1" applyProtection="1">
      <alignment horizontal="right" vertical="center"/>
    </xf>
    <xf numFmtId="164" fontId="0" fillId="16" borderId="21" xfId="77" applyNumberFormat="1" applyFont="1" applyBorder="1" applyProtection="1"/>
    <xf numFmtId="169" fontId="26" fillId="0" borderId="0" xfId="0" applyNumberFormat="1" applyFont="1" applyFill="1" applyBorder="1" applyAlignment="1" applyProtection="1">
      <alignment horizontal="right" vertical="center"/>
    </xf>
    <xf numFmtId="164" fontId="0" fillId="0" borderId="0" xfId="75" applyFont="1" applyFill="1" applyBorder="1" applyAlignment="1" applyProtection="1">
      <alignment horizontal="center"/>
    </xf>
    <xf numFmtId="169" fontId="26" fillId="0" borderId="0" xfId="0" applyNumberFormat="1" applyFont="1" applyFill="1" applyBorder="1" applyAlignment="1" applyProtection="1">
      <alignment horizontal="right" vertical="center" wrapText="1"/>
    </xf>
    <xf numFmtId="169" fontId="22" fillId="16" borderId="22" xfId="77" applyNumberFormat="1" applyFont="1" applyBorder="1" applyAlignment="1" applyProtection="1">
      <alignment horizontal="center" vertical="center" wrapText="1"/>
    </xf>
    <xf numFmtId="37" fontId="0" fillId="0" borderId="18" xfId="75" applyNumberFormat="1" applyFont="1" applyFill="1" applyBorder="1" applyProtection="1"/>
    <xf numFmtId="164" fontId="0" fillId="0" borderId="18" xfId="75" applyFont="1" applyFill="1" applyBorder="1" applyProtection="1"/>
    <xf numFmtId="164" fontId="0" fillId="0" borderId="15" xfId="75" applyFont="1" applyFill="1" applyBorder="1" applyProtection="1"/>
    <xf numFmtId="37" fontId="0" fillId="0" borderId="14" xfId="75" applyNumberFormat="1" applyFont="1" applyFill="1" applyBorder="1" applyProtection="1"/>
    <xf numFmtId="37" fontId="0" fillId="0" borderId="16" xfId="75" applyNumberFormat="1" applyFont="1" applyFill="1" applyBorder="1" applyProtection="1"/>
    <xf numFmtId="164" fontId="0" fillId="0" borderId="0" xfId="75" applyFont="1" applyFill="1" applyBorder="1" applyProtection="1"/>
    <xf numFmtId="164" fontId="0" fillId="0" borderId="17" xfId="75" applyFont="1" applyFill="1" applyBorder="1" applyProtection="1"/>
    <xf numFmtId="164" fontId="0" fillId="0" borderId="14" xfId="75" applyFont="1" applyFill="1" applyBorder="1" applyAlignment="1" applyProtection="1">
      <alignment horizontal="right"/>
    </xf>
    <xf numFmtId="164" fontId="0" fillId="0" borderId="15" xfId="75" applyFont="1" applyFill="1" applyBorder="1" applyAlignment="1" applyProtection="1">
      <alignment horizontal="right"/>
    </xf>
    <xf numFmtId="164" fontId="0" fillId="0" borderId="16" xfId="75" applyFont="1" applyFill="1" applyBorder="1" applyAlignment="1" applyProtection="1">
      <alignment horizontal="right"/>
    </xf>
    <xf numFmtId="164" fontId="0" fillId="0" borderId="17" xfId="75" applyFont="1" applyFill="1" applyBorder="1" applyAlignment="1" applyProtection="1">
      <alignment horizontal="right"/>
    </xf>
    <xf numFmtId="164" fontId="0" fillId="0" borderId="12" xfId="75" applyFont="1" applyFill="1" applyBorder="1" applyAlignment="1" applyProtection="1">
      <alignment horizontal="right"/>
    </xf>
    <xf numFmtId="164" fontId="0" fillId="0" borderId="13" xfId="75" applyFont="1" applyFill="1" applyBorder="1" applyAlignment="1" applyProtection="1">
      <alignment horizontal="right"/>
    </xf>
    <xf numFmtId="164" fontId="0" fillId="0" borderId="11" xfId="75" applyFont="1" applyFill="1" applyBorder="1" applyProtection="1"/>
    <xf numFmtId="164" fontId="0" fillId="0" borderId="11" xfId="0" applyNumberFormat="1" applyFont="1" applyFill="1" applyBorder="1" applyProtection="1"/>
    <xf numFmtId="37" fontId="0" fillId="0" borderId="12" xfId="75" applyNumberFormat="1" applyFont="1" applyFill="1" applyBorder="1" applyProtection="1"/>
    <xf numFmtId="164" fontId="0" fillId="0" borderId="1" xfId="75" applyFont="1" applyFill="1" applyBorder="1" applyProtection="1"/>
    <xf numFmtId="164" fontId="0" fillId="0" borderId="13" xfId="75" applyFont="1" applyFill="1" applyBorder="1" applyProtection="1"/>
    <xf numFmtId="169" fontId="22" fillId="0" borderId="20" xfId="77" applyNumberFormat="1" applyFont="1" applyFill="1" applyAlignment="1" applyProtection="1">
      <alignment horizontal="right" vertical="center"/>
    </xf>
    <xf numFmtId="0" fontId="20" fillId="0" borderId="0" xfId="0" applyFont="1" applyFill="1" applyBorder="1" applyAlignment="1" applyProtection="1"/>
    <xf numFmtId="0" fontId="0" fillId="0" borderId="0" xfId="0" applyFont="1" applyFill="1" applyBorder="1" applyProtection="1"/>
    <xf numFmtId="0" fontId="21" fillId="0" borderId="0" xfId="0" applyFont="1" applyFill="1" applyBorder="1" applyAlignment="1" applyProtection="1">
      <alignment horizontal="center"/>
    </xf>
    <xf numFmtId="0" fontId="28" fillId="19" borderId="23" xfId="80" applyAlignment="1" applyProtection="1">
      <alignment horizontal="center"/>
    </xf>
    <xf numFmtId="0" fontId="22" fillId="0" borderId="14" xfId="0" applyFont="1" applyFill="1" applyBorder="1" applyAlignment="1" applyProtection="1">
      <alignment horizontal="left" vertical="center"/>
    </xf>
    <xf numFmtId="0" fontId="24" fillId="0" borderId="18" xfId="0" applyFont="1" applyFill="1" applyBorder="1" applyAlignment="1" applyProtection="1">
      <alignment vertical="center"/>
    </xf>
    <xf numFmtId="0" fontId="22" fillId="0" borderId="0" xfId="0" applyFont="1" applyFill="1" applyBorder="1" applyAlignment="1" applyProtection="1">
      <alignment horizontal="right" vertical="center"/>
    </xf>
    <xf numFmtId="0" fontId="22" fillId="0" borderId="16" xfId="0" applyFont="1" applyFill="1" applyBorder="1" applyAlignment="1" applyProtection="1">
      <alignment horizontal="left" vertical="center"/>
    </xf>
    <xf numFmtId="164" fontId="25" fillId="0" borderId="0" xfId="75" applyFont="1" applyFill="1" applyBorder="1" applyAlignment="1" applyProtection="1">
      <alignment vertical="center"/>
    </xf>
    <xf numFmtId="0" fontId="0" fillId="0" borderId="8" xfId="0" applyFont="1" applyFill="1" applyBorder="1" applyAlignment="1" applyProtection="1">
      <alignment horizontal="center"/>
    </xf>
    <xf numFmtId="164" fontId="24" fillId="0" borderId="0" xfId="75" applyFont="1" applyFill="1" applyBorder="1" applyAlignment="1" applyProtection="1">
      <alignment vertical="center"/>
    </xf>
    <xf numFmtId="9" fontId="0" fillId="0" borderId="7" xfId="0" applyNumberFormat="1" applyFont="1" applyFill="1" applyBorder="1" applyAlignment="1" applyProtection="1">
      <alignment horizontal="center"/>
    </xf>
    <xf numFmtId="164" fontId="0" fillId="0" borderId="0" xfId="77" applyNumberFormat="1" applyFont="1" applyFill="1" applyBorder="1" applyProtection="1"/>
    <xf numFmtId="0" fontId="22" fillId="0" borderId="12" xfId="0" applyFont="1" applyFill="1" applyBorder="1" applyAlignment="1" applyProtection="1">
      <alignment horizontal="left" vertical="center"/>
    </xf>
    <xf numFmtId="0" fontId="24" fillId="0" borderId="1" xfId="0" applyFont="1" applyFill="1" applyBorder="1" applyAlignment="1" applyProtection="1">
      <alignment vertical="center"/>
    </xf>
    <xf numFmtId="0" fontId="24" fillId="0" borderId="1" xfId="0" applyFont="1" applyFill="1" applyBorder="1" applyAlignment="1" applyProtection="1">
      <alignment horizontal="right" vertical="center"/>
    </xf>
    <xf numFmtId="0" fontId="0" fillId="0" borderId="7" xfId="0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right"/>
    </xf>
    <xf numFmtId="0" fontId="22" fillId="0" borderId="0" xfId="0" applyFont="1" applyFill="1" applyBorder="1" applyAlignment="1" applyProtection="1">
      <alignment horizontal="left" vertical="center"/>
    </xf>
    <xf numFmtId="0" fontId="0" fillId="0" borderId="6" xfId="0" applyFont="1" applyFill="1" applyBorder="1" applyAlignment="1" applyProtection="1">
      <alignment horizontal="center"/>
    </xf>
    <xf numFmtId="0" fontId="27" fillId="0" borderId="0" xfId="0" applyFont="1" applyFill="1" applyBorder="1" applyAlignment="1" applyProtection="1">
      <alignment horizontal="right"/>
    </xf>
    <xf numFmtId="0" fontId="22" fillId="0" borderId="0" xfId="0" applyFont="1" applyFill="1" applyBorder="1" applyAlignment="1" applyProtection="1">
      <alignment vertical="center"/>
    </xf>
    <xf numFmtId="0" fontId="21" fillId="0" borderId="0" xfId="0" applyFont="1" applyFill="1" applyBorder="1" applyProtection="1"/>
    <xf numFmtId="0" fontId="30" fillId="0" borderId="16" xfId="0" applyFont="1" applyFill="1" applyBorder="1" applyAlignment="1" applyProtection="1">
      <alignment horizontal="center"/>
    </xf>
    <xf numFmtId="0" fontId="29" fillId="0" borderId="0" xfId="0" applyFont="1" applyFill="1" applyBorder="1" applyAlignment="1" applyProtection="1">
      <alignment horizontal="center"/>
    </xf>
    <xf numFmtId="0" fontId="30" fillId="0" borderId="0" xfId="0" applyFont="1" applyFill="1" applyBorder="1" applyAlignment="1" applyProtection="1">
      <alignment horizontal="center"/>
    </xf>
    <xf numFmtId="0" fontId="29" fillId="0" borderId="17" xfId="0" applyFont="1" applyFill="1" applyBorder="1" applyAlignment="1" applyProtection="1">
      <alignment horizontal="center"/>
    </xf>
    <xf numFmtId="169" fontId="0" fillId="0" borderId="16" xfId="0" applyNumberFormat="1" applyFont="1" applyFill="1" applyBorder="1" applyProtection="1"/>
    <xf numFmtId="0" fontId="19" fillId="18" borderId="0" xfId="79" applyBorder="1" applyAlignment="1" applyProtection="1">
      <alignment horizontal="center"/>
    </xf>
    <xf numFmtId="164" fontId="0" fillId="0" borderId="0" xfId="0" applyNumberFormat="1" applyFont="1" applyFill="1" applyBorder="1" applyProtection="1"/>
    <xf numFmtId="0" fontId="0" fillId="0" borderId="16" xfId="0" applyFont="1" applyFill="1" applyBorder="1" applyProtection="1"/>
    <xf numFmtId="0" fontId="0" fillId="0" borderId="12" xfId="0" applyFont="1" applyFill="1" applyBorder="1" applyProtection="1"/>
    <xf numFmtId="164" fontId="0" fillId="0" borderId="0" xfId="75" applyFont="1" applyFill="1" applyBorder="1" applyAlignment="1" applyProtection="1">
      <alignment horizontal="right"/>
    </xf>
    <xf numFmtId="164" fontId="0" fillId="0" borderId="18" xfId="75" applyFont="1" applyFill="1" applyBorder="1" applyAlignment="1" applyProtection="1">
      <alignment horizontal="right"/>
    </xf>
    <xf numFmtId="164" fontId="0" fillId="0" borderId="1" xfId="75" applyFont="1" applyFill="1" applyBorder="1" applyAlignment="1" applyProtection="1">
      <alignment horizontal="right"/>
    </xf>
    <xf numFmtId="168" fontId="23" fillId="20" borderId="18" xfId="74" applyNumberFormat="1" applyFont="1" applyFill="1" applyBorder="1" applyAlignment="1" applyProtection="1">
      <alignment horizontal="right" vertical="center"/>
    </xf>
    <xf numFmtId="164" fontId="23" fillId="20" borderId="0" xfId="75" applyFont="1" applyFill="1" applyBorder="1" applyAlignment="1" applyProtection="1">
      <alignment horizontal="right" vertical="center"/>
    </xf>
    <xf numFmtId="164" fontId="23" fillId="20" borderId="1" xfId="75" applyFont="1" applyFill="1" applyBorder="1" applyAlignment="1" applyProtection="1">
      <alignment horizontal="right" vertical="center"/>
    </xf>
    <xf numFmtId="168" fontId="23" fillId="21" borderId="18" xfId="74" applyNumberFormat="1" applyFont="1" applyFill="1" applyBorder="1" applyAlignment="1" applyProtection="1">
      <alignment horizontal="right" vertical="center"/>
    </xf>
    <xf numFmtId="164" fontId="23" fillId="21" borderId="0" xfId="75" applyFont="1" applyFill="1" applyBorder="1" applyAlignment="1" applyProtection="1">
      <alignment horizontal="right" vertical="center"/>
    </xf>
    <xf numFmtId="164" fontId="23" fillId="21" borderId="1" xfId="75" applyFont="1" applyFill="1" applyBorder="1" applyAlignment="1" applyProtection="1">
      <alignment horizontal="right" vertical="center"/>
    </xf>
    <xf numFmtId="168" fontId="23" fillId="21" borderId="19" xfId="76" applyNumberFormat="1" applyFont="1" applyFill="1" applyBorder="1" applyProtection="1"/>
    <xf numFmtId="164" fontId="23" fillId="21" borderId="19" xfId="74" applyNumberFormat="1" applyFont="1" applyFill="1" applyProtection="1"/>
    <xf numFmtId="168" fontId="23" fillId="22" borderId="15" xfId="74" applyNumberFormat="1" applyFont="1" applyFill="1" applyBorder="1" applyAlignment="1" applyProtection="1">
      <alignment horizontal="right" vertical="center"/>
    </xf>
    <xf numFmtId="164" fontId="23" fillId="22" borderId="17" xfId="75" applyFont="1" applyFill="1" applyBorder="1" applyAlignment="1" applyProtection="1">
      <alignment horizontal="right" vertical="center"/>
    </xf>
    <xf numFmtId="164" fontId="23" fillId="22" borderId="1" xfId="75" applyFont="1" applyFill="1" applyBorder="1" applyAlignment="1" applyProtection="1">
      <alignment horizontal="right" vertical="center"/>
    </xf>
    <xf numFmtId="168" fontId="23" fillId="22" borderId="19" xfId="76" applyNumberFormat="1" applyFont="1" applyFill="1" applyBorder="1" applyProtection="1"/>
    <xf numFmtId="164" fontId="23" fillId="22" borderId="19" xfId="74" applyNumberFormat="1" applyFont="1" applyFill="1" applyProtection="1"/>
    <xf numFmtId="168" fontId="23" fillId="20" borderId="19" xfId="76" applyNumberFormat="1" applyFont="1" applyFill="1" applyBorder="1" applyProtection="1"/>
    <xf numFmtId="164" fontId="23" fillId="20" borderId="19" xfId="74" applyNumberFormat="1" applyFont="1" applyFill="1" applyProtection="1"/>
    <xf numFmtId="0" fontId="0" fillId="0" borderId="0" xfId="0" applyFont="1" applyFill="1" applyBorder="1" applyAlignment="1" applyProtection="1">
      <alignment horizontal="center"/>
    </xf>
    <xf numFmtId="0" fontId="21" fillId="0" borderId="10" xfId="0" applyFont="1" applyFill="1" applyBorder="1" applyAlignment="1" applyProtection="1">
      <alignment horizontal="center"/>
    </xf>
    <xf numFmtId="0" fontId="21" fillId="0" borderId="9" xfId="0" applyFont="1" applyFill="1" applyBorder="1" applyAlignment="1" applyProtection="1">
      <alignment horizontal="center"/>
    </xf>
    <xf numFmtId="0" fontId="0" fillId="0" borderId="10" xfId="0" applyFont="1" applyFill="1" applyBorder="1" applyAlignment="1" applyProtection="1">
      <alignment horizontal="center"/>
    </xf>
    <xf numFmtId="0" fontId="0" fillId="0" borderId="9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right"/>
    </xf>
    <xf numFmtId="0" fontId="0" fillId="0" borderId="17" xfId="0" applyFont="1" applyFill="1" applyBorder="1" applyAlignment="1" applyProtection="1">
      <alignment horizontal="right"/>
    </xf>
    <xf numFmtId="0" fontId="0" fillId="0" borderId="24" xfId="0" applyFont="1" applyFill="1" applyBorder="1" applyAlignment="1" applyProtection="1">
      <alignment horizontal="center" vertical="center" wrapText="1"/>
    </xf>
  </cellXfs>
  <cellStyles count="84">
    <cellStyle name="20% - Accent1" xfId="78" builtinId="30"/>
    <cellStyle name="40% - Accent1" xfId="79" builtinId="31"/>
    <cellStyle name="Accent1 - 20%" xfId="2"/>
    <cellStyle name="Accent1 - 40%" xfId="3"/>
    <cellStyle name="Accent1 - 60%" xfId="4"/>
    <cellStyle name="Accent2 - 20%" xfId="5"/>
    <cellStyle name="Accent2 - 40%" xfId="6"/>
    <cellStyle name="Accent2 - 60%" xfId="7"/>
    <cellStyle name="Accent3 - 20%" xfId="8"/>
    <cellStyle name="Accent3 - 40%" xfId="9"/>
    <cellStyle name="Accent3 - 60%" xfId="10"/>
    <cellStyle name="Accent4 - 20%" xfId="11"/>
    <cellStyle name="Accent4 - 40%" xfId="12"/>
    <cellStyle name="Accent4 - 60%" xfId="13"/>
    <cellStyle name="Accent5 - 20%" xfId="14"/>
    <cellStyle name="Accent5 - 40%" xfId="15"/>
    <cellStyle name="Accent5 - 60%" xfId="16"/>
    <cellStyle name="Accent6 - 20%" xfId="17"/>
    <cellStyle name="Accent6 - 40%" xfId="18"/>
    <cellStyle name="Accent6 - 60%" xfId="19"/>
    <cellStyle name="Check Cell" xfId="80" builtinId="23"/>
    <cellStyle name="Column heading" xfId="20"/>
    <cellStyle name="Comma" xfId="76" builtinId="3"/>
    <cellStyle name="Comma 2" xfId="21"/>
    <cellStyle name="Corner heading" xfId="22"/>
    <cellStyle name="Currency" xfId="75" builtinId="4"/>
    <cellStyle name="Currency 2" xfId="23"/>
    <cellStyle name="Currency 3" xfId="24"/>
    <cellStyle name="Currency 4" xfId="25"/>
    <cellStyle name="Currency 5" xfId="81"/>
    <cellStyle name="Data" xfId="26"/>
    <cellStyle name="Data no deci" xfId="27"/>
    <cellStyle name="Data Superscript" xfId="28"/>
    <cellStyle name="Data_1-1A-Regular" xfId="29"/>
    <cellStyle name="Emphasis 1" xfId="30"/>
    <cellStyle name="Emphasis 2" xfId="31"/>
    <cellStyle name="Emphasis 3" xfId="32"/>
    <cellStyle name="Hed Side" xfId="33"/>
    <cellStyle name="Hed Side bold" xfId="34"/>
    <cellStyle name="Hed Side Indent" xfId="35"/>
    <cellStyle name="Hed Side Regular" xfId="36"/>
    <cellStyle name="Hed Side_1-1A-Regular" xfId="37"/>
    <cellStyle name="Hed Top" xfId="38"/>
    <cellStyle name="Hed Top - SECTION" xfId="39"/>
    <cellStyle name="Hed Top_3-new4" xfId="40"/>
    <cellStyle name="Input" xfId="74" builtinId="20"/>
    <cellStyle name="Normal" xfId="0" builtinId="0"/>
    <cellStyle name="Normal 2" xfId="1"/>
    <cellStyle name="Normal 2 2" xfId="41"/>
    <cellStyle name="Normal 2 3" xfId="42"/>
    <cellStyle name="Normal 2 3 2" xfId="83"/>
    <cellStyle name="Normal 2_E-UniqueLists" xfId="43"/>
    <cellStyle name="Normal 3" xfId="44"/>
    <cellStyle name="Normal 3 2" xfId="45"/>
    <cellStyle name="Normal 3 2 2" xfId="82"/>
    <cellStyle name="Normal 4" xfId="46"/>
    <cellStyle name="Note" xfId="77" builtinId="10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484909</xdr:colOff>
      <xdr:row>8</xdr:row>
      <xdr:rowOff>69272</xdr:rowOff>
    </xdr:from>
    <xdr:to>
      <xdr:col>11</xdr:col>
      <xdr:colOff>458932</xdr:colOff>
      <xdr:row>10</xdr:row>
      <xdr:rowOff>103909</xdr:rowOff>
    </xdr:to>
    <xdr:sp macro="" textlink="">
      <xdr:nvSpPr>
        <xdr:cNvPr id="2" name="Rounded Rectangle 1"/>
        <xdr:cNvSpPr/>
      </xdr:nvSpPr>
      <xdr:spPr>
        <a:xfrm>
          <a:off x="7966364" y="1662545"/>
          <a:ext cx="2052204" cy="4242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S</a:t>
          </a:r>
          <a:r>
            <a:rPr lang="en-US" sz="1100"/>
            <a:t>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M113"/>
  <sheetViews>
    <sheetView tabSelected="1" workbookViewId="0">
      <selection activeCell="F22" sqref="F22"/>
    </sheetView>
  </sheetViews>
  <sheetFormatPr baseColWidth="10" defaultColWidth="8.83203125" defaultRowHeight="15" x14ac:dyDescent="0.2"/>
  <cols>
    <col min="1" max="1" width="10.6640625" style="54" customWidth="1"/>
    <col min="2" max="2" width="14.33203125" style="32" bestFit="1" customWidth="1"/>
    <col min="3" max="3" width="11.5" style="32" bestFit="1" customWidth="1"/>
    <col min="4" max="4" width="13.5" style="32" customWidth="1"/>
    <col min="5" max="5" width="12.5" style="32" customWidth="1"/>
    <col min="6" max="6" width="14.33203125" style="32" customWidth="1"/>
    <col min="7" max="7" width="9.5" style="32" customWidth="1"/>
    <col min="8" max="8" width="12.83203125" style="32" bestFit="1" customWidth="1"/>
    <col min="9" max="9" width="10.5" style="32" bestFit="1" customWidth="1"/>
    <col min="10" max="10" width="12.5" style="32" bestFit="1" customWidth="1"/>
    <col min="11" max="11" width="10.5" style="32" bestFit="1" customWidth="1"/>
    <col min="12" max="12" width="12.5" style="17" bestFit="1" customWidth="1"/>
    <col min="13" max="13" width="11.33203125" style="17" customWidth="1"/>
    <col min="14" max="14" width="11.5" style="32" bestFit="1" customWidth="1"/>
    <col min="15" max="16384" width="8.83203125" style="32"/>
  </cols>
  <sheetData>
    <row r="1" spans="1:13" ht="17" thickBot="1" x14ac:dyDescent="0.25">
      <c r="A1" s="31" t="s">
        <v>15</v>
      </c>
      <c r="B1" s="1" t="s">
        <v>14</v>
      </c>
      <c r="D1" s="1" t="s">
        <v>1</v>
      </c>
      <c r="E1" s="1"/>
      <c r="F1" s="1" t="s">
        <v>2</v>
      </c>
      <c r="G1" s="1"/>
      <c r="H1" s="1" t="s">
        <v>3</v>
      </c>
      <c r="K1" s="82" t="s">
        <v>4</v>
      </c>
      <c r="L1" s="82"/>
      <c r="M1" s="1"/>
    </row>
    <row r="2" spans="1:13" ht="17" thickTop="1" thickBot="1" x14ac:dyDescent="0.25">
      <c r="A2" s="33"/>
      <c r="B2" s="34">
        <v>2</v>
      </c>
      <c r="D2" s="34">
        <v>4</v>
      </c>
      <c r="E2" s="1"/>
      <c r="F2" s="34">
        <v>6</v>
      </c>
      <c r="G2" s="1"/>
      <c r="H2" s="1"/>
      <c r="K2" s="1" t="str">
        <f>B2 &amp; "-" &amp; D2 &amp; "-" &amp; F2</f>
        <v>2-4-6</v>
      </c>
      <c r="L2" s="2" t="str">
        <f>B2&amp;D2&amp;F2</f>
        <v>246</v>
      </c>
      <c r="M2" s="1"/>
    </row>
    <row r="3" spans="1:13" ht="17" thickTop="1" thickBot="1" x14ac:dyDescent="0.25">
      <c r="A3" s="35" t="s">
        <v>5</v>
      </c>
      <c r="B3" s="70">
        <f>HLOOKUP(B$2,$A$14:$F$17,ROW(A2),0)</f>
        <v>2000</v>
      </c>
      <c r="C3" s="36"/>
      <c r="D3" s="67">
        <f>HLOOKUP(D$2,$A$14:$F$17,ROW(C2),0)</f>
        <v>1400</v>
      </c>
      <c r="E3" s="3"/>
      <c r="F3" s="75">
        <f>HLOOKUP(F$2,$A$14:$F$17,ROW(E2),0)</f>
        <v>2200</v>
      </c>
      <c r="G3" s="37"/>
      <c r="H3" s="4">
        <f ca="1">D3+RAND()*(F3-D3)</f>
        <v>1548.0129060650952</v>
      </c>
      <c r="I3" s="89" t="s">
        <v>21</v>
      </c>
      <c r="L3" s="32"/>
      <c r="M3" s="32"/>
    </row>
    <row r="4" spans="1:13" x14ac:dyDescent="0.2">
      <c r="A4" s="38" t="s">
        <v>6</v>
      </c>
      <c r="B4" s="71">
        <f>HLOOKUP(B$2,$A$14:$F$17,ROW(A3),0)</f>
        <v>3</v>
      </c>
      <c r="C4" s="39"/>
      <c r="D4" s="68">
        <f>HLOOKUP(D$2,$A$14:$F$17,ROW(C3),0)</f>
        <v>2.75</v>
      </c>
      <c r="E4" s="5"/>
      <c r="F4" s="76">
        <f>HLOOKUP(F$2,$A$14:$F$17,ROW(E3),0)</f>
        <v>3.25</v>
      </c>
      <c r="G4" s="37"/>
      <c r="H4" s="6">
        <f ca="1">D4+RAND()*(F4-D4)</f>
        <v>2.9045595625785117</v>
      </c>
      <c r="I4" s="89"/>
      <c r="K4" s="40" t="s">
        <v>7</v>
      </c>
      <c r="L4" s="7">
        <f ca="1">MIN($L$13:$L$113)</f>
        <v>73596.703097765596</v>
      </c>
      <c r="M4" s="1"/>
    </row>
    <row r="5" spans="1:13" x14ac:dyDescent="0.2">
      <c r="A5" s="38" t="s">
        <v>8</v>
      </c>
      <c r="B5" s="71">
        <f>HLOOKUP(B$2,$A$14:$F$17,ROW(A4),0)</f>
        <v>60</v>
      </c>
      <c r="C5" s="41"/>
      <c r="D5" s="68">
        <f>HLOOKUP(D$2,$A$14:$F$17,ROW(C4),0)</f>
        <v>55</v>
      </c>
      <c r="E5" s="5"/>
      <c r="F5" s="76">
        <f>HLOOKUP(F$2,$A$14:$F$17,ROW(E4),0)</f>
        <v>65</v>
      </c>
      <c r="G5" s="37"/>
      <c r="H5" s="6">
        <f ca="1">D5+RAND()*(F5-D5)</f>
        <v>63.09930154831067</v>
      </c>
      <c r="I5" s="89"/>
      <c r="K5" s="42">
        <v>0.25</v>
      </c>
      <c r="L5" s="7">
        <f ca="1">PERCENTILE($L$13:$L$113, 0.25)</f>
        <v>90985.101291753104</v>
      </c>
      <c r="M5" s="43"/>
    </row>
    <row r="6" spans="1:13" ht="16" thickBot="1" x14ac:dyDescent="0.25">
      <c r="A6" s="44" t="s">
        <v>9</v>
      </c>
      <c r="B6" s="72">
        <v>800</v>
      </c>
      <c r="C6" s="45"/>
      <c r="D6" s="69">
        <v>800</v>
      </c>
      <c r="E6" s="46"/>
      <c r="F6" s="77">
        <v>800</v>
      </c>
      <c r="G6" s="37"/>
      <c r="H6" s="37"/>
      <c r="K6" s="47" t="s">
        <v>10</v>
      </c>
      <c r="L6" s="7">
        <f ca="1">MEDIAN($L$13:$L$113)</f>
        <v>97986.804179216429</v>
      </c>
      <c r="M6" s="43"/>
    </row>
    <row r="7" spans="1:13" x14ac:dyDescent="0.2">
      <c r="A7" s="48"/>
      <c r="B7" s="49"/>
      <c r="D7" s="49"/>
      <c r="E7" s="49"/>
      <c r="F7" s="49"/>
      <c r="G7" s="49"/>
      <c r="H7" s="49"/>
      <c r="K7" s="42">
        <v>0.75</v>
      </c>
      <c r="L7" s="7">
        <f ca="1">PERCENTILE($L$13:$L$113, 0.75)</f>
        <v>108672.72105904199</v>
      </c>
      <c r="M7" s="43"/>
    </row>
    <row r="8" spans="1:13" ht="16" thickBot="1" x14ac:dyDescent="0.25">
      <c r="A8" s="50" t="s">
        <v>11</v>
      </c>
      <c r="B8" s="8">
        <f>B3*B5</f>
        <v>120000</v>
      </c>
      <c r="C8" s="8"/>
      <c r="D8" s="8">
        <f>D3*D5</f>
        <v>77000</v>
      </c>
      <c r="E8" s="8"/>
      <c r="F8" s="8">
        <f>F3*F5</f>
        <v>143000</v>
      </c>
      <c r="G8" s="37"/>
      <c r="H8" s="6">
        <f ca="1">H3*H5</f>
        <v>97678.533160478168</v>
      </c>
      <c r="K8" s="51" t="s">
        <v>12</v>
      </c>
      <c r="L8" s="7">
        <f ca="1">MAX($L$13:$L$113)</f>
        <v>134883.820095995</v>
      </c>
      <c r="M8" s="43"/>
    </row>
    <row r="9" spans="1:13" x14ac:dyDescent="0.2">
      <c r="A9" s="50" t="s">
        <v>0</v>
      </c>
      <c r="B9" s="8">
        <f>$B$6+B3*B4</f>
        <v>6800</v>
      </c>
      <c r="C9" s="8"/>
      <c r="D9" s="8">
        <f>D6+D3*D4</f>
        <v>4650</v>
      </c>
      <c r="E9" s="8"/>
      <c r="F9" s="8">
        <f>$B$6+F3*F4</f>
        <v>7950</v>
      </c>
      <c r="G9" s="37"/>
      <c r="H9" s="6">
        <f ca="1">B6+H3*H4</f>
        <v>5296.2956893063238</v>
      </c>
      <c r="M9" s="43"/>
    </row>
    <row r="10" spans="1:13" ht="16" thickBot="1" x14ac:dyDescent="0.25">
      <c r="A10" s="32"/>
      <c r="B10" s="52"/>
      <c r="C10" s="53"/>
      <c r="D10" s="53"/>
      <c r="E10" s="53"/>
      <c r="F10" s="53"/>
      <c r="H10" s="30"/>
    </row>
    <row r="11" spans="1:13" x14ac:dyDescent="0.2">
      <c r="A11" s="50" t="s">
        <v>13</v>
      </c>
      <c r="B11" s="10">
        <f>B8-B9</f>
        <v>113200</v>
      </c>
      <c r="C11" s="10"/>
      <c r="D11" s="10">
        <f>D8-D9</f>
        <v>72350</v>
      </c>
      <c r="E11" s="10"/>
      <c r="F11" s="10">
        <f>F8-F9</f>
        <v>135050</v>
      </c>
      <c r="G11" s="53"/>
      <c r="H11" s="11">
        <f ca="1">H8-H9</f>
        <v>92382.237471171844</v>
      </c>
      <c r="M11" s="9"/>
    </row>
    <row r="12" spans="1:13" ht="16" thickBot="1" x14ac:dyDescent="0.25">
      <c r="G12" s="53"/>
      <c r="H12" s="53"/>
      <c r="I12" s="1" t="str">
        <f>A3</f>
        <v>Volume</v>
      </c>
      <c r="J12" s="1" t="str">
        <f>A8</f>
        <v>Revenues</v>
      </c>
      <c r="K12" s="1" t="str">
        <f>A9</f>
        <v>Expenses</v>
      </c>
      <c r="L12" s="9" t="str">
        <f>A11</f>
        <v>Profit</v>
      </c>
    </row>
    <row r="13" spans="1:13" ht="16" thickBot="1" x14ac:dyDescent="0.25">
      <c r="A13" s="83" t="s">
        <v>14</v>
      </c>
      <c r="B13" s="84"/>
      <c r="C13" s="85" t="s">
        <v>1</v>
      </c>
      <c r="D13" s="86"/>
      <c r="E13" s="85" t="s">
        <v>2</v>
      </c>
      <c r="F13" s="86"/>
      <c r="H13" s="11">
        <f ca="1">H11</f>
        <v>92382.237471171844</v>
      </c>
      <c r="I13" s="12">
        <f ca="1">H3</f>
        <v>1548.0129060650952</v>
      </c>
      <c r="J13" s="13">
        <f ca="1">H8</f>
        <v>97678.533160478168</v>
      </c>
      <c r="K13" s="13">
        <f ca="1">H9</f>
        <v>5296.2956893063238</v>
      </c>
      <c r="L13" s="14">
        <f ca="1">H13</f>
        <v>92382.237471171844</v>
      </c>
    </row>
    <row r="14" spans="1:13" x14ac:dyDescent="0.2">
      <c r="A14" s="55">
        <v>1</v>
      </c>
      <c r="B14" s="56">
        <v>2</v>
      </c>
      <c r="C14" s="57">
        <v>3</v>
      </c>
      <c r="D14" s="56">
        <v>4</v>
      </c>
      <c r="E14" s="57">
        <v>5</v>
      </c>
      <c r="F14" s="58">
        <v>6</v>
      </c>
      <c r="H14" s="59"/>
      <c r="I14" s="15">
        <f t="dataTable" ref="I14:L113" dt2D="0" dtr="0" r1="F11" ca="1"/>
        <v>1401.5054903477289</v>
      </c>
      <c r="J14" s="13">
        <v>86959.161677717362</v>
      </c>
      <c r="K14" s="13">
        <v>5204.2297629850427</v>
      </c>
      <c r="L14" s="14">
        <v>81754.931914732326</v>
      </c>
    </row>
    <row r="15" spans="1:13" x14ac:dyDescent="0.2">
      <c r="A15" s="73">
        <v>1500</v>
      </c>
      <c r="B15" s="73">
        <v>2000</v>
      </c>
      <c r="C15" s="80">
        <v>1200</v>
      </c>
      <c r="D15" s="80">
        <v>1400</v>
      </c>
      <c r="E15" s="78">
        <v>2100</v>
      </c>
      <c r="F15" s="78">
        <v>2200</v>
      </c>
      <c r="H15" s="59"/>
      <c r="I15" s="16">
        <v>1412.6037445170502</v>
      </c>
      <c r="J15" s="17">
        <v>83689.893120570559</v>
      </c>
      <c r="K15" s="17">
        <v>4973.3487924346664</v>
      </c>
      <c r="L15" s="18">
        <v>78716.544328135889</v>
      </c>
    </row>
    <row r="16" spans="1:13" x14ac:dyDescent="0.2">
      <c r="A16" s="74">
        <v>2.5</v>
      </c>
      <c r="B16" s="74">
        <v>3</v>
      </c>
      <c r="C16" s="81">
        <v>2.2999999999999998</v>
      </c>
      <c r="D16" s="81">
        <v>2.75</v>
      </c>
      <c r="E16" s="79">
        <v>2.7</v>
      </c>
      <c r="F16" s="79">
        <v>3.25</v>
      </c>
      <c r="H16" s="59"/>
      <c r="I16" s="16">
        <v>1664.3661291505236</v>
      </c>
      <c r="J16" s="17">
        <v>106225.09902880785</v>
      </c>
      <c r="K16" s="17">
        <v>6138.6520481900343</v>
      </c>
      <c r="L16" s="18">
        <v>100086.44698061781</v>
      </c>
    </row>
    <row r="17" spans="1:12" x14ac:dyDescent="0.2">
      <c r="A17" s="74">
        <v>50</v>
      </c>
      <c r="B17" s="74">
        <v>60</v>
      </c>
      <c r="C17" s="81">
        <v>47</v>
      </c>
      <c r="D17" s="81">
        <v>55</v>
      </c>
      <c r="E17" s="79">
        <v>53</v>
      </c>
      <c r="F17" s="79">
        <v>65</v>
      </c>
      <c r="H17" s="59"/>
      <c r="I17" s="16">
        <v>1838.0150197034468</v>
      </c>
      <c r="J17" s="17">
        <v>101290.20030760638</v>
      </c>
      <c r="K17" s="17">
        <v>6640.2411189587729</v>
      </c>
      <c r="L17" s="18">
        <v>94649.959188647612</v>
      </c>
    </row>
    <row r="18" spans="1:12" x14ac:dyDescent="0.2">
      <c r="H18" s="59"/>
      <c r="I18" s="16">
        <v>2019.1293757237115</v>
      </c>
      <c r="J18" s="17">
        <v>131056.42777070378</v>
      </c>
      <c r="K18" s="17">
        <v>6502.3914014661104</v>
      </c>
      <c r="L18" s="18">
        <v>124554.03636923767</v>
      </c>
    </row>
    <row r="19" spans="1:12" ht="16" thickBot="1" x14ac:dyDescent="0.25">
      <c r="B19" s="1" t="s">
        <v>15</v>
      </c>
      <c r="C19" s="1" t="s">
        <v>16</v>
      </c>
      <c r="D19" s="1" t="s">
        <v>18</v>
      </c>
      <c r="E19" s="1" t="s">
        <v>17</v>
      </c>
      <c r="H19" s="59"/>
      <c r="I19" s="16">
        <v>1905.0431140016906</v>
      </c>
      <c r="J19" s="17">
        <v>107703.86028365632</v>
      </c>
      <c r="K19" s="17">
        <v>6323.3896307868908</v>
      </c>
      <c r="L19" s="18">
        <v>101380.47065286944</v>
      </c>
    </row>
    <row r="20" spans="1:12" ht="15" customHeight="1" x14ac:dyDescent="0.2">
      <c r="A20" s="32"/>
      <c r="B20" s="60">
        <v>135</v>
      </c>
      <c r="C20" s="19">
        <v>55521.727400000003</v>
      </c>
      <c r="D20" s="65">
        <v>75713.429699999993</v>
      </c>
      <c r="E20" s="20">
        <v>102409.0667</v>
      </c>
      <c r="H20" s="59"/>
      <c r="I20" s="16">
        <v>1639.0110889281091</v>
      </c>
      <c r="J20" s="17">
        <v>93515.030898983838</v>
      </c>
      <c r="K20" s="17">
        <v>6069.9512574848532</v>
      </c>
      <c r="L20" s="18">
        <v>87445.079641498989</v>
      </c>
    </row>
    <row r="21" spans="1:12" ht="15" customHeight="1" x14ac:dyDescent="0.2">
      <c r="A21" s="32"/>
      <c r="B21" s="60">
        <v>136</v>
      </c>
      <c r="C21" s="21">
        <v>53217.368199999997</v>
      </c>
      <c r="D21" s="64">
        <v>88033.104099999997</v>
      </c>
      <c r="E21" s="22">
        <v>127708.2736</v>
      </c>
      <c r="F21" s="61"/>
      <c r="H21" s="59"/>
      <c r="I21" s="16">
        <v>2154.4390862515365</v>
      </c>
      <c r="J21" s="17">
        <v>137179.45545586312</v>
      </c>
      <c r="K21" s="17">
        <v>7578.257080368212</v>
      </c>
      <c r="L21" s="18">
        <v>129601.1983754949</v>
      </c>
    </row>
    <row r="22" spans="1:12" ht="15" customHeight="1" x14ac:dyDescent="0.2">
      <c r="A22" s="32"/>
      <c r="B22" s="60">
        <v>145</v>
      </c>
      <c r="C22" s="21">
        <v>69954.679499999998</v>
      </c>
      <c r="D22" s="64">
        <v>89781.746100000004</v>
      </c>
      <c r="E22" s="22">
        <v>107916.76029999999</v>
      </c>
      <c r="H22" s="59"/>
      <c r="I22" s="16">
        <v>1466.1198691055122</v>
      </c>
      <c r="J22" s="17">
        <v>92450.428943739054</v>
      </c>
      <c r="K22" s="17">
        <v>5213.1566030964132</v>
      </c>
      <c r="L22" s="18">
        <v>87237.272340642638</v>
      </c>
    </row>
    <row r="23" spans="1:12" ht="15" customHeight="1" x14ac:dyDescent="0.2">
      <c r="A23" s="32"/>
      <c r="B23" s="60">
        <v>146</v>
      </c>
      <c r="C23" s="21">
        <v>75641.450599999996</v>
      </c>
      <c r="D23" s="64">
        <v>100987.5289</v>
      </c>
      <c r="E23" s="22">
        <v>125786.4528</v>
      </c>
      <c r="H23" s="59"/>
      <c r="I23" s="16">
        <v>1538.9203289443515</v>
      </c>
      <c r="J23" s="17">
        <v>91409.707532617598</v>
      </c>
      <c r="K23" s="17">
        <v>5171.5455714554701</v>
      </c>
      <c r="L23" s="18">
        <v>86238.161961162128</v>
      </c>
    </row>
    <row r="24" spans="1:12" ht="15" customHeight="1" x14ac:dyDescent="0.2">
      <c r="A24" s="32"/>
      <c r="B24" s="60">
        <v>235</v>
      </c>
      <c r="C24" s="21">
        <v>54606.764499999997</v>
      </c>
      <c r="D24" s="64">
        <v>81536.055699999997</v>
      </c>
      <c r="E24" s="22">
        <v>102728.5609</v>
      </c>
      <c r="H24" s="59"/>
      <c r="I24" s="16">
        <v>1511.2308123762461</v>
      </c>
      <c r="J24" s="17">
        <v>89373.263868750801</v>
      </c>
      <c r="K24" s="17">
        <v>5024.5288114152836</v>
      </c>
      <c r="L24" s="18">
        <v>84348.735057335522</v>
      </c>
    </row>
    <row r="25" spans="1:12" ht="15" customHeight="1" x14ac:dyDescent="0.2">
      <c r="A25" s="32"/>
      <c r="B25" s="60">
        <v>236</v>
      </c>
      <c r="C25" s="21">
        <v>53846.397400000002</v>
      </c>
      <c r="D25" s="64">
        <v>86902.696899999995</v>
      </c>
      <c r="E25" s="22">
        <v>130991.216</v>
      </c>
      <c r="H25" s="59"/>
      <c r="I25" s="16">
        <v>1692.2784414204493</v>
      </c>
      <c r="J25" s="17">
        <v>103323.99531541335</v>
      </c>
      <c r="K25" s="17">
        <v>5740.8801426515938</v>
      </c>
      <c r="L25" s="18">
        <v>97583.115172761754</v>
      </c>
    </row>
    <row r="26" spans="1:12" ht="15" customHeight="1" x14ac:dyDescent="0.2">
      <c r="A26" s="32"/>
      <c r="B26" s="60">
        <v>245</v>
      </c>
      <c r="C26" s="21">
        <v>70296.571899999995</v>
      </c>
      <c r="D26" s="64">
        <v>86445.322700000004</v>
      </c>
      <c r="E26" s="22">
        <v>108272.9764</v>
      </c>
      <c r="H26" s="59"/>
      <c r="I26" s="16">
        <v>1471.3489305859603</v>
      </c>
      <c r="J26" s="17">
        <v>95233.864177666721</v>
      </c>
      <c r="K26" s="17">
        <v>4893.3687368501087</v>
      </c>
      <c r="L26" s="18">
        <v>90340.495440816609</v>
      </c>
    </row>
    <row r="27" spans="1:12" ht="15.75" customHeight="1" thickBot="1" x14ac:dyDescent="0.25">
      <c r="A27" s="32"/>
      <c r="B27" s="60">
        <v>246</v>
      </c>
      <c r="C27" s="23">
        <v>73596.703099999999</v>
      </c>
      <c r="D27" s="66">
        <v>97986.804199999999</v>
      </c>
      <c r="E27" s="24">
        <v>134883.82010000001</v>
      </c>
      <c r="H27" s="59"/>
      <c r="I27" s="16">
        <v>1704.6009270101774</v>
      </c>
      <c r="J27" s="17">
        <v>98558.090472346128</v>
      </c>
      <c r="K27" s="17">
        <v>6018.3945371981863</v>
      </c>
      <c r="L27" s="18">
        <v>92539.695935147945</v>
      </c>
    </row>
    <row r="28" spans="1:12" ht="16" thickBot="1" x14ac:dyDescent="0.25">
      <c r="H28" s="59"/>
      <c r="I28" s="16">
        <v>1948.5198971211098</v>
      </c>
      <c r="J28" s="17">
        <v>110432.65923615699</v>
      </c>
      <c r="K28" s="17">
        <v>6309.0366606401885</v>
      </c>
      <c r="L28" s="18">
        <v>104123.6225755168</v>
      </c>
    </row>
    <row r="29" spans="1:12" ht="16" thickBot="1" x14ac:dyDescent="0.25">
      <c r="A29" s="87" t="s">
        <v>19</v>
      </c>
      <c r="B29" s="88"/>
      <c r="C29" s="25">
        <f ca="1">MIN(C20:C27)</f>
        <v>53217.368199999997</v>
      </c>
      <c r="D29" s="26">
        <f ca="1">AVERAGE(D20:D27)</f>
        <v>87057.126300000004</v>
      </c>
      <c r="E29" s="26">
        <f ca="1">MAX(E20:E27)</f>
        <v>130991.216</v>
      </c>
      <c r="H29" s="59"/>
      <c r="I29" s="16">
        <v>1960.3576516454611</v>
      </c>
      <c r="J29" s="17">
        <v>123298.5542938126</v>
      </c>
      <c r="K29" s="17">
        <v>6616.2060436982929</v>
      </c>
      <c r="L29" s="18">
        <v>116682.34825011432</v>
      </c>
    </row>
    <row r="30" spans="1:12" x14ac:dyDescent="0.2">
      <c r="B30" s="49" t="s">
        <v>20</v>
      </c>
      <c r="C30" s="1">
        <f ca="1">INDEX($B$20:$B$27,MATCH(C29,C20:C27,0))</f>
        <v>136</v>
      </c>
      <c r="D30" s="1"/>
      <c r="E30" s="1">
        <f ca="1">INDEX($B$20:$B$27,MATCH(E29,E20:E27,0))</f>
        <v>236</v>
      </c>
      <c r="H30" s="59"/>
      <c r="I30" s="16">
        <v>2150.6179714059954</v>
      </c>
      <c r="J30" s="17">
        <v>127700.50391609305</v>
      </c>
      <c r="K30" s="17">
        <v>6753.4247888733244</v>
      </c>
      <c r="L30" s="18">
        <v>120947.07912721972</v>
      </c>
    </row>
    <row r="31" spans="1:12" x14ac:dyDescent="0.2">
      <c r="H31" s="59"/>
      <c r="I31" s="16">
        <v>1774.6028914571543</v>
      </c>
      <c r="J31" s="17">
        <v>101113.86988579386</v>
      </c>
      <c r="K31" s="17">
        <v>5826.4886506522325</v>
      </c>
      <c r="L31" s="18">
        <v>95287.381235141627</v>
      </c>
    </row>
    <row r="32" spans="1:12" x14ac:dyDescent="0.2">
      <c r="H32" s="59"/>
      <c r="I32" s="16">
        <v>1694.5704780748995</v>
      </c>
      <c r="J32" s="17">
        <v>98548.787621698648</v>
      </c>
      <c r="K32" s="17">
        <v>6010.0480246554844</v>
      </c>
      <c r="L32" s="18">
        <v>92538.739597043168</v>
      </c>
    </row>
    <row r="33" spans="8:12" x14ac:dyDescent="0.2">
      <c r="H33" s="59"/>
      <c r="I33" s="16">
        <v>1784.4998301728901</v>
      </c>
      <c r="J33" s="17">
        <v>105825.9482728374</v>
      </c>
      <c r="K33" s="17">
        <v>5981.745376101434</v>
      </c>
      <c r="L33" s="18">
        <v>99844.202896735966</v>
      </c>
    </row>
    <row r="34" spans="8:12" x14ac:dyDescent="0.2">
      <c r="H34" s="59"/>
      <c r="I34" s="16">
        <v>2139.5859450200523</v>
      </c>
      <c r="J34" s="17">
        <v>124197.48242225398</v>
      </c>
      <c r="K34" s="17">
        <v>7179.1209202503969</v>
      </c>
      <c r="L34" s="18">
        <v>117018.36150200358</v>
      </c>
    </row>
    <row r="35" spans="8:12" x14ac:dyDescent="0.2">
      <c r="H35" s="59"/>
      <c r="I35" s="16">
        <v>2196.1954321412936</v>
      </c>
      <c r="J35" s="17">
        <v>142398.34374222258</v>
      </c>
      <c r="K35" s="17">
        <v>7514.523646227578</v>
      </c>
      <c r="L35" s="18">
        <v>134883.820095995</v>
      </c>
    </row>
    <row r="36" spans="8:12" x14ac:dyDescent="0.2">
      <c r="H36" s="59"/>
      <c r="I36" s="16">
        <v>2180.7293840784255</v>
      </c>
      <c r="J36" s="17">
        <v>138048.29421449543</v>
      </c>
      <c r="K36" s="17">
        <v>7319.7208559634046</v>
      </c>
      <c r="L36" s="18">
        <v>130728.57335853203</v>
      </c>
    </row>
    <row r="37" spans="8:12" x14ac:dyDescent="0.2">
      <c r="H37" s="59"/>
      <c r="I37" s="16">
        <v>1729.2414457990126</v>
      </c>
      <c r="J37" s="17">
        <v>102311.62054564043</v>
      </c>
      <c r="K37" s="17">
        <v>6037.0309632967446</v>
      </c>
      <c r="L37" s="18">
        <v>96274.589582343688</v>
      </c>
    </row>
    <row r="38" spans="8:12" x14ac:dyDescent="0.2">
      <c r="H38" s="59"/>
      <c r="I38" s="16">
        <v>1749.1605380514959</v>
      </c>
      <c r="J38" s="17">
        <v>107894.83515586767</v>
      </c>
      <c r="K38" s="17">
        <v>6124.1538040942924</v>
      </c>
      <c r="L38" s="18">
        <v>101770.68135177337</v>
      </c>
    </row>
    <row r="39" spans="8:12" x14ac:dyDescent="0.2">
      <c r="H39" s="59"/>
      <c r="I39" s="16">
        <v>1555.7618994017594</v>
      </c>
      <c r="J39" s="17">
        <v>88393.979045838525</v>
      </c>
      <c r="K39" s="17">
        <v>5383.260238690611</v>
      </c>
      <c r="L39" s="18">
        <v>83010.718807147918</v>
      </c>
    </row>
    <row r="40" spans="8:12" x14ac:dyDescent="0.2">
      <c r="H40" s="59"/>
      <c r="I40" s="16">
        <v>1435.6793019355657</v>
      </c>
      <c r="J40" s="17">
        <v>84629.531248647356</v>
      </c>
      <c r="K40" s="17">
        <v>5345.275639665535</v>
      </c>
      <c r="L40" s="18">
        <v>79284.255608981824</v>
      </c>
    </row>
    <row r="41" spans="8:12" x14ac:dyDescent="0.2">
      <c r="H41" s="59"/>
      <c r="I41" s="16">
        <v>1441.5662717924602</v>
      </c>
      <c r="J41" s="17">
        <v>80200.24596672882</v>
      </c>
      <c r="K41" s="17">
        <v>5067.3543432483493</v>
      </c>
      <c r="L41" s="18">
        <v>75132.891623480478</v>
      </c>
    </row>
    <row r="42" spans="8:12" x14ac:dyDescent="0.2">
      <c r="H42" s="59"/>
      <c r="I42" s="16">
        <v>2013.2435690116845</v>
      </c>
      <c r="J42" s="17">
        <v>128663.50917428553</v>
      </c>
      <c r="K42" s="17">
        <v>6363.8271948510319</v>
      </c>
      <c r="L42" s="18">
        <v>122299.68197943449</v>
      </c>
    </row>
    <row r="43" spans="8:12" x14ac:dyDescent="0.2">
      <c r="H43" s="59"/>
      <c r="I43" s="16">
        <v>1632.9753800586518</v>
      </c>
      <c r="J43" s="17">
        <v>101615.64740293684</v>
      </c>
      <c r="K43" s="17">
        <v>5994.2747963057282</v>
      </c>
      <c r="L43" s="18">
        <v>95621.372606631106</v>
      </c>
    </row>
    <row r="44" spans="8:12" x14ac:dyDescent="0.2">
      <c r="H44" s="59"/>
      <c r="I44" s="16">
        <v>1796.2523838249699</v>
      </c>
      <c r="J44" s="17">
        <v>103310.3840236298</v>
      </c>
      <c r="K44" s="17">
        <v>5970.6944129790236</v>
      </c>
      <c r="L44" s="18">
        <v>97339.689610650777</v>
      </c>
    </row>
    <row r="45" spans="8:12" x14ac:dyDescent="0.2">
      <c r="H45" s="59"/>
      <c r="I45" s="16">
        <v>1716.4242622178965</v>
      </c>
      <c r="J45" s="17">
        <v>110888.82777083546</v>
      </c>
      <c r="K45" s="17">
        <v>5828.1776607686215</v>
      </c>
      <c r="L45" s="18">
        <v>105060.65011006684</v>
      </c>
    </row>
    <row r="46" spans="8:12" x14ac:dyDescent="0.2">
      <c r="H46" s="59"/>
      <c r="I46" s="16">
        <v>1746.6909494713777</v>
      </c>
      <c r="J46" s="17">
        <v>99409.474364183305</v>
      </c>
      <c r="K46" s="17">
        <v>6113.1596847515239</v>
      </c>
      <c r="L46" s="18">
        <v>93296.314679431787</v>
      </c>
    </row>
    <row r="47" spans="8:12" x14ac:dyDescent="0.2">
      <c r="H47" s="59"/>
      <c r="I47" s="16">
        <v>2119.8325808450927</v>
      </c>
      <c r="J47" s="17">
        <v>127068.8028224002</v>
      </c>
      <c r="K47" s="17">
        <v>7452.2337348641895</v>
      </c>
      <c r="L47" s="18">
        <v>119616.56908753602</v>
      </c>
    </row>
    <row r="48" spans="8:12" x14ac:dyDescent="0.2">
      <c r="H48" s="59"/>
      <c r="I48" s="16">
        <v>1866.2806342329591</v>
      </c>
      <c r="J48" s="17">
        <v>110016.89460483976</v>
      </c>
      <c r="K48" s="17">
        <v>6845.031684995758</v>
      </c>
      <c r="L48" s="18">
        <v>103171.862919844</v>
      </c>
    </row>
    <row r="49" spans="8:12" x14ac:dyDescent="0.2">
      <c r="H49" s="59"/>
      <c r="I49" s="16">
        <v>1664.1495382995058</v>
      </c>
      <c r="J49" s="17">
        <v>92541.994266594571</v>
      </c>
      <c r="K49" s="17">
        <v>5884.2051984026184</v>
      </c>
      <c r="L49" s="18">
        <v>86657.789068191953</v>
      </c>
    </row>
    <row r="50" spans="8:12" x14ac:dyDescent="0.2">
      <c r="H50" s="59"/>
      <c r="I50" s="16">
        <v>1410.6122388132144</v>
      </c>
      <c r="J50" s="17">
        <v>90214.797091596658</v>
      </c>
      <c r="K50" s="17">
        <v>4938.6858682552784</v>
      </c>
      <c r="L50" s="18">
        <v>85276.111223341373</v>
      </c>
    </row>
    <row r="51" spans="8:12" x14ac:dyDescent="0.2">
      <c r="H51" s="59"/>
      <c r="I51" s="16">
        <v>2112.5696565247931</v>
      </c>
      <c r="J51" s="17">
        <v>134380.43988622451</v>
      </c>
      <c r="K51" s="17">
        <v>7488.7717589668191</v>
      </c>
      <c r="L51" s="18">
        <v>126891.6681272577</v>
      </c>
    </row>
    <row r="52" spans="8:12" x14ac:dyDescent="0.2">
      <c r="H52" s="59"/>
      <c r="I52" s="16">
        <v>1777.8897188074361</v>
      </c>
      <c r="J52" s="17">
        <v>113761.09608246818</v>
      </c>
      <c r="K52" s="17">
        <v>6185.7875215355707</v>
      </c>
      <c r="L52" s="18">
        <v>107575.30856093261</v>
      </c>
    </row>
    <row r="53" spans="8:12" x14ac:dyDescent="0.2">
      <c r="H53" s="59"/>
      <c r="I53" s="16">
        <v>1546.8499426420863</v>
      </c>
      <c r="J53" s="17">
        <v>98310.496437055917</v>
      </c>
      <c r="K53" s="17">
        <v>5371.486243151704</v>
      </c>
      <c r="L53" s="18">
        <v>92939.010193904207</v>
      </c>
    </row>
    <row r="54" spans="8:12" x14ac:dyDescent="0.2">
      <c r="H54" s="59"/>
      <c r="I54" s="16">
        <v>1437.9573518415943</v>
      </c>
      <c r="J54" s="17">
        <v>79715.156693294528</v>
      </c>
      <c r="K54" s="17">
        <v>5167.6177080094722</v>
      </c>
      <c r="L54" s="18">
        <v>74547.538985285049</v>
      </c>
    </row>
    <row r="55" spans="8:12" x14ac:dyDescent="0.2">
      <c r="H55" s="59"/>
      <c r="I55" s="16">
        <v>1986.7695897127139</v>
      </c>
      <c r="J55" s="17">
        <v>115400.10183543676</v>
      </c>
      <c r="K55" s="17">
        <v>7043.1550578730976</v>
      </c>
      <c r="L55" s="18">
        <v>108356.94677756366</v>
      </c>
    </row>
    <row r="56" spans="8:12" x14ac:dyDescent="0.2">
      <c r="H56" s="59"/>
      <c r="I56" s="16">
        <v>1452.0570339782746</v>
      </c>
      <c r="J56" s="17">
        <v>85715.279076383449</v>
      </c>
      <c r="K56" s="17">
        <v>5446.0975146615392</v>
      </c>
      <c r="L56" s="18">
        <v>80269.181561721911</v>
      </c>
    </row>
    <row r="57" spans="8:12" x14ac:dyDescent="0.2">
      <c r="H57" s="59"/>
      <c r="I57" s="16">
        <v>1894.7342080572093</v>
      </c>
      <c r="J57" s="17">
        <v>107643.33677073484</v>
      </c>
      <c r="K57" s="17">
        <v>6535.5785972020667</v>
      </c>
      <c r="L57" s="18">
        <v>101107.75817353277</v>
      </c>
    </row>
    <row r="58" spans="8:12" x14ac:dyDescent="0.2">
      <c r="H58" s="59"/>
      <c r="I58" s="16">
        <v>1642.1190746398399</v>
      </c>
      <c r="J58" s="17">
        <v>90712.329058045827</v>
      </c>
      <c r="K58" s="17">
        <v>5342.9425916379887</v>
      </c>
      <c r="L58" s="18">
        <v>85369.386466407843</v>
      </c>
    </row>
    <row r="59" spans="8:12" x14ac:dyDescent="0.2">
      <c r="H59" s="59"/>
      <c r="I59" s="16">
        <v>1713.5822514891192</v>
      </c>
      <c r="J59" s="17">
        <v>103740.18556752233</v>
      </c>
      <c r="K59" s="17">
        <v>5950.7526980798702</v>
      </c>
      <c r="L59" s="18">
        <v>97789.432869442462</v>
      </c>
    </row>
    <row r="60" spans="8:12" x14ac:dyDescent="0.2">
      <c r="H60" s="59"/>
      <c r="I60" s="16">
        <v>1813.6848267806538</v>
      </c>
      <c r="J60" s="17">
        <v>104988.41737806777</v>
      </c>
      <c r="K60" s="17">
        <v>6212.261046566955</v>
      </c>
      <c r="L60" s="18">
        <v>98776.15633150081</v>
      </c>
    </row>
    <row r="61" spans="8:12" x14ac:dyDescent="0.2">
      <c r="H61" s="59"/>
      <c r="I61" s="16">
        <v>2035.2785241606223</v>
      </c>
      <c r="J61" s="17">
        <v>126449.69608796304</v>
      </c>
      <c r="K61" s="17">
        <v>6678.0802023400838</v>
      </c>
      <c r="L61" s="18">
        <v>119771.61588562294</v>
      </c>
    </row>
    <row r="62" spans="8:12" x14ac:dyDescent="0.2">
      <c r="H62" s="59"/>
      <c r="I62" s="16">
        <v>2020.0688429991528</v>
      </c>
      <c r="J62" s="17">
        <v>123300.45366782763</v>
      </c>
      <c r="K62" s="17">
        <v>7182.2021945527995</v>
      </c>
      <c r="L62" s="18">
        <v>116118.25147327484</v>
      </c>
    </row>
    <row r="63" spans="8:12" x14ac:dyDescent="0.2">
      <c r="H63" s="59"/>
      <c r="I63" s="16">
        <v>1488.8556133302586</v>
      </c>
      <c r="J63" s="17">
        <v>91480.297805944661</v>
      </c>
      <c r="K63" s="17">
        <v>4960.3594420879817</v>
      </c>
      <c r="L63" s="18">
        <v>86519.93836385668</v>
      </c>
    </row>
    <row r="64" spans="8:12" x14ac:dyDescent="0.2">
      <c r="H64" s="59"/>
      <c r="I64" s="16">
        <v>2020.8432387918251</v>
      </c>
      <c r="J64" s="17">
        <v>119420.44422128817</v>
      </c>
      <c r="K64" s="17">
        <v>7277.4173855952113</v>
      </c>
      <c r="L64" s="18">
        <v>112143.02683569296</v>
      </c>
    </row>
    <row r="65" spans="8:12" x14ac:dyDescent="0.2">
      <c r="H65" s="59"/>
      <c r="I65" s="16">
        <v>2064.2990190032124</v>
      </c>
      <c r="J65" s="17">
        <v>132947.63806468077</v>
      </c>
      <c r="K65" s="17">
        <v>6921.3108225648266</v>
      </c>
      <c r="L65" s="18">
        <v>126026.32724211593</v>
      </c>
    </row>
    <row r="66" spans="8:12" x14ac:dyDescent="0.2">
      <c r="H66" s="59"/>
      <c r="I66" s="16">
        <v>1540.3177569647087</v>
      </c>
      <c r="J66" s="17">
        <v>88976.392950945272</v>
      </c>
      <c r="K66" s="17">
        <v>5129.5286701961386</v>
      </c>
      <c r="L66" s="18">
        <v>83846.864280749127</v>
      </c>
    </row>
    <row r="67" spans="8:12" x14ac:dyDescent="0.2">
      <c r="H67" s="59"/>
      <c r="I67" s="16">
        <v>1853.3010781713635</v>
      </c>
      <c r="J67" s="17">
        <v>104674.96137843348</v>
      </c>
      <c r="K67" s="17">
        <v>6130.9168308166891</v>
      </c>
      <c r="L67" s="18">
        <v>98544.044547616795</v>
      </c>
    </row>
    <row r="68" spans="8:12" x14ac:dyDescent="0.2">
      <c r="H68" s="59"/>
      <c r="I68" s="16">
        <v>1585.5522741836974</v>
      </c>
      <c r="J68" s="17">
        <v>93102.139386763753</v>
      </c>
      <c r="K68" s="17">
        <v>5933.5172914114</v>
      </c>
      <c r="L68" s="18">
        <v>87168.622095352359</v>
      </c>
    </row>
    <row r="69" spans="8:12" x14ac:dyDescent="0.2">
      <c r="H69" s="59"/>
      <c r="I69" s="16">
        <v>1696.4063966360445</v>
      </c>
      <c r="J69" s="17">
        <v>104497.32149069749</v>
      </c>
      <c r="K69" s="17">
        <v>5563.044574837063</v>
      </c>
      <c r="L69" s="18">
        <v>98934.276915860421</v>
      </c>
    </row>
    <row r="70" spans="8:12" x14ac:dyDescent="0.2">
      <c r="H70" s="59"/>
      <c r="I70" s="16">
        <v>1828.9115729624434</v>
      </c>
      <c r="J70" s="17">
        <v>106624.31981183848</v>
      </c>
      <c r="K70" s="17">
        <v>6451.2132942319422</v>
      </c>
      <c r="L70" s="18">
        <v>100173.10651760653</v>
      </c>
    </row>
    <row r="71" spans="8:12" x14ac:dyDescent="0.2">
      <c r="H71" s="59"/>
      <c r="I71" s="16">
        <v>2029.7848622983711</v>
      </c>
      <c r="J71" s="17">
        <v>127045.99414898388</v>
      </c>
      <c r="K71" s="17">
        <v>6661.2753764092849</v>
      </c>
      <c r="L71" s="18">
        <v>120384.71877257459</v>
      </c>
    </row>
    <row r="72" spans="8:12" x14ac:dyDescent="0.2">
      <c r="H72" s="59"/>
      <c r="I72" s="16">
        <v>2037.889244978307</v>
      </c>
      <c r="J72" s="17">
        <v>129981.11197768741</v>
      </c>
      <c r="K72" s="17">
        <v>6536.6535137516121</v>
      </c>
      <c r="L72" s="18">
        <v>123444.45846393579</v>
      </c>
    </row>
    <row r="73" spans="8:12" x14ac:dyDescent="0.2">
      <c r="H73" s="59"/>
      <c r="I73" s="16">
        <v>1879.1564430451253</v>
      </c>
      <c r="J73" s="17">
        <v>114251.09671588463</v>
      </c>
      <c r="K73" s="17">
        <v>6755.5379732418942</v>
      </c>
      <c r="L73" s="18">
        <v>107495.55874264274</v>
      </c>
    </row>
    <row r="74" spans="8:12" x14ac:dyDescent="0.2">
      <c r="H74" s="59"/>
      <c r="I74" s="16">
        <v>1605.8083351153</v>
      </c>
      <c r="J74" s="17">
        <v>96389.94039863754</v>
      </c>
      <c r="K74" s="17">
        <v>5525.892242130848</v>
      </c>
      <c r="L74" s="18">
        <v>90864.048156506688</v>
      </c>
    </row>
    <row r="75" spans="8:12" x14ac:dyDescent="0.2">
      <c r="H75" s="59"/>
      <c r="I75" s="16">
        <v>1696.1003084173885</v>
      </c>
      <c r="J75" s="17">
        <v>109281.98570893446</v>
      </c>
      <c r="K75" s="17">
        <v>5679.2303060462336</v>
      </c>
      <c r="L75" s="18">
        <v>103602.75540288823</v>
      </c>
    </row>
    <row r="76" spans="8:12" x14ac:dyDescent="0.2">
      <c r="H76" s="59"/>
      <c r="I76" s="16">
        <v>1831.2511603596436</v>
      </c>
      <c r="J76" s="17">
        <v>110117.68695931193</v>
      </c>
      <c r="K76" s="17">
        <v>6483.1731955000732</v>
      </c>
      <c r="L76" s="18">
        <v>103634.51376381186</v>
      </c>
    </row>
    <row r="77" spans="8:12" x14ac:dyDescent="0.2">
      <c r="H77" s="59"/>
      <c r="I77" s="16">
        <v>1577.8029691137936</v>
      </c>
      <c r="J77" s="17">
        <v>100499.4665274055</v>
      </c>
      <c r="K77" s="17">
        <v>5526.318017015511</v>
      </c>
      <c r="L77" s="18">
        <v>94973.14851038999</v>
      </c>
    </row>
    <row r="78" spans="8:12" x14ac:dyDescent="0.2">
      <c r="H78" s="59"/>
      <c r="I78" s="16">
        <v>1737.399037126517</v>
      </c>
      <c r="J78" s="17">
        <v>102923.80656641496</v>
      </c>
      <c r="K78" s="17">
        <v>5951.0842654291519</v>
      </c>
      <c r="L78" s="18">
        <v>96972.722300985813</v>
      </c>
    </row>
    <row r="79" spans="8:12" x14ac:dyDescent="0.2">
      <c r="H79" s="59"/>
      <c r="I79" s="16">
        <v>2195.3251781653648</v>
      </c>
      <c r="J79" s="17">
        <v>120800.49477153378</v>
      </c>
      <c r="K79" s="17">
        <v>6997.8841544879624</v>
      </c>
      <c r="L79" s="18">
        <v>113802.61061704581</v>
      </c>
    </row>
    <row r="80" spans="8:12" x14ac:dyDescent="0.2">
      <c r="H80" s="59"/>
      <c r="I80" s="16">
        <v>1693.8699351392288</v>
      </c>
      <c r="J80" s="17">
        <v>93193.140864400906</v>
      </c>
      <c r="K80" s="17">
        <v>6150.550109931125</v>
      </c>
      <c r="L80" s="18">
        <v>87042.590754469784</v>
      </c>
    </row>
    <row r="81" spans="8:12" x14ac:dyDescent="0.2">
      <c r="H81" s="59"/>
      <c r="I81" s="16">
        <v>1825.7297505971706</v>
      </c>
      <c r="J81" s="17">
        <v>113487.55524355583</v>
      </c>
      <c r="K81" s="17">
        <v>6349.1437807743332</v>
      </c>
      <c r="L81" s="18">
        <v>107138.4114627815</v>
      </c>
    </row>
    <row r="82" spans="8:12" x14ac:dyDescent="0.2">
      <c r="H82" s="59"/>
      <c r="I82" s="16">
        <v>1693.5484548480879</v>
      </c>
      <c r="J82" s="17">
        <v>100898.59055101442</v>
      </c>
      <c r="K82" s="17">
        <v>6048.6445381085996</v>
      </c>
      <c r="L82" s="18">
        <v>94849.946012905828</v>
      </c>
    </row>
    <row r="83" spans="8:12" x14ac:dyDescent="0.2">
      <c r="H83" s="59"/>
      <c r="I83" s="16">
        <v>1683.9260534666432</v>
      </c>
      <c r="J83" s="17">
        <v>106518.79161508499</v>
      </c>
      <c r="K83" s="17">
        <v>5934.4152615064604</v>
      </c>
      <c r="L83" s="18">
        <v>100584.37635357853</v>
      </c>
    </row>
    <row r="84" spans="8:12" x14ac:dyDescent="0.2">
      <c r="H84" s="59"/>
      <c r="I84" s="16">
        <v>1482.2151580666177</v>
      </c>
      <c r="J84" s="17">
        <v>83890.124992940342</v>
      </c>
      <c r="K84" s="17">
        <v>4876.1509148161331</v>
      </c>
      <c r="L84" s="18">
        <v>79013.974078124214</v>
      </c>
    </row>
    <row r="85" spans="8:12" x14ac:dyDescent="0.2">
      <c r="H85" s="59"/>
      <c r="I85" s="16">
        <v>1600.2918108041595</v>
      </c>
      <c r="J85" s="17">
        <v>96435.451377951395</v>
      </c>
      <c r="K85" s="17">
        <v>5450.3500861982902</v>
      </c>
      <c r="L85" s="18">
        <v>90985.101291753104</v>
      </c>
    </row>
    <row r="86" spans="8:12" x14ac:dyDescent="0.2">
      <c r="H86" s="59"/>
      <c r="I86" s="16">
        <v>1626.1944198324934</v>
      </c>
      <c r="J86" s="17">
        <v>97106.370802828489</v>
      </c>
      <c r="K86" s="17">
        <v>5837.8102050087891</v>
      </c>
      <c r="L86" s="18">
        <v>91268.560597819698</v>
      </c>
    </row>
    <row r="87" spans="8:12" x14ac:dyDescent="0.2">
      <c r="H87" s="59"/>
      <c r="I87" s="16">
        <v>1627.4537742301407</v>
      </c>
      <c r="J87" s="17">
        <v>104495.73261419158</v>
      </c>
      <c r="K87" s="17">
        <v>5786.4562006254273</v>
      </c>
      <c r="L87" s="18">
        <v>98709.276413566156</v>
      </c>
    </row>
    <row r="88" spans="8:12" x14ac:dyDescent="0.2">
      <c r="H88" s="59"/>
      <c r="I88" s="16">
        <v>1453.408251045842</v>
      </c>
      <c r="J88" s="17">
        <v>80323.351833399603</v>
      </c>
      <c r="K88" s="17">
        <v>5066.3720166028052</v>
      </c>
      <c r="L88" s="18">
        <v>75256.979816796797</v>
      </c>
    </row>
    <row r="89" spans="8:12" x14ac:dyDescent="0.2">
      <c r="H89" s="59"/>
      <c r="I89" s="16">
        <v>1941.261593751203</v>
      </c>
      <c r="J89" s="17">
        <v>114924.13669434479</v>
      </c>
      <c r="K89" s="17">
        <v>6251.415635302802</v>
      </c>
      <c r="L89" s="18">
        <v>108672.72105904199</v>
      </c>
    </row>
    <row r="90" spans="8:12" x14ac:dyDescent="0.2">
      <c r="H90" s="62"/>
      <c r="I90" s="16">
        <v>1802.97784747729</v>
      </c>
      <c r="J90" s="17">
        <v>99499.416648340659</v>
      </c>
      <c r="K90" s="17">
        <v>6015.1112573079035</v>
      </c>
      <c r="L90" s="18">
        <v>93484.305391032758</v>
      </c>
    </row>
    <row r="91" spans="8:12" x14ac:dyDescent="0.2">
      <c r="H91" s="62"/>
      <c r="I91" s="16">
        <v>1826.0540376179479</v>
      </c>
      <c r="J91" s="17">
        <v>116290.02830620055</v>
      </c>
      <c r="K91" s="17">
        <v>6642.167419376171</v>
      </c>
      <c r="L91" s="18">
        <v>109647.86088682438</v>
      </c>
    </row>
    <row r="92" spans="8:12" x14ac:dyDescent="0.2">
      <c r="H92" s="62"/>
      <c r="I92" s="16">
        <v>1808.082849912214</v>
      </c>
      <c r="J92" s="17">
        <v>107076.01165521161</v>
      </c>
      <c r="K92" s="17">
        <v>6311.0108072988396</v>
      </c>
      <c r="L92" s="18">
        <v>100765.00084791277</v>
      </c>
    </row>
    <row r="93" spans="8:12" x14ac:dyDescent="0.2">
      <c r="H93" s="62"/>
      <c r="I93" s="16">
        <v>2196.3189065770366</v>
      </c>
      <c r="J93" s="17">
        <v>135482.04174010578</v>
      </c>
      <c r="K93" s="17">
        <v>7678.9793732553562</v>
      </c>
      <c r="L93" s="18">
        <v>127803.06236685043</v>
      </c>
    </row>
    <row r="94" spans="8:12" x14ac:dyDescent="0.2">
      <c r="H94" s="62"/>
      <c r="I94" s="16">
        <v>1710.3841205901081</v>
      </c>
      <c r="J94" s="17">
        <v>99191.354046577049</v>
      </c>
      <c r="K94" s="17">
        <v>6044.0174399585576</v>
      </c>
      <c r="L94" s="18">
        <v>93147.336606618497</v>
      </c>
    </row>
    <row r="95" spans="8:12" x14ac:dyDescent="0.2">
      <c r="H95" s="62"/>
      <c r="I95" s="16">
        <v>1424.2891112891887</v>
      </c>
      <c r="J95" s="17">
        <v>78490.781181970073</v>
      </c>
      <c r="K95" s="17">
        <v>4894.0780842044751</v>
      </c>
      <c r="L95" s="18">
        <v>73596.703097765596</v>
      </c>
    </row>
    <row r="96" spans="8:12" x14ac:dyDescent="0.2">
      <c r="H96" s="62"/>
      <c r="I96" s="16">
        <v>1853.4859541997587</v>
      </c>
      <c r="J96" s="17">
        <v>118516.52359111432</v>
      </c>
      <c r="K96" s="17">
        <v>5900.3149435762634</v>
      </c>
      <c r="L96" s="18">
        <v>112616.20864753806</v>
      </c>
    </row>
    <row r="97" spans="8:12" x14ac:dyDescent="0.2">
      <c r="H97" s="62"/>
      <c r="I97" s="16">
        <v>1423.0788499628509</v>
      </c>
      <c r="J97" s="17">
        <v>80779.322837383108</v>
      </c>
      <c r="K97" s="17">
        <v>5370.8028956559374</v>
      </c>
      <c r="L97" s="18">
        <v>75408.519941727165</v>
      </c>
    </row>
    <row r="98" spans="8:12" x14ac:dyDescent="0.2">
      <c r="H98" s="62"/>
      <c r="I98" s="16">
        <v>1839.1240160349803</v>
      </c>
      <c r="J98" s="17">
        <v>109591.44263820359</v>
      </c>
      <c r="K98" s="17">
        <v>6485.0247554480975</v>
      </c>
      <c r="L98" s="18">
        <v>103106.41788275549</v>
      </c>
    </row>
    <row r="99" spans="8:12" x14ac:dyDescent="0.2">
      <c r="H99" s="62"/>
      <c r="I99" s="16">
        <v>1802.7043007057846</v>
      </c>
      <c r="J99" s="17">
        <v>113142.43019563392</v>
      </c>
      <c r="K99" s="17">
        <v>6400.6954091236221</v>
      </c>
      <c r="L99" s="18">
        <v>106741.73478651029</v>
      </c>
    </row>
    <row r="100" spans="8:12" x14ac:dyDescent="0.2">
      <c r="H100" s="62"/>
      <c r="I100" s="16">
        <v>1577.470381378921</v>
      </c>
      <c r="J100" s="17">
        <v>90513.928591543445</v>
      </c>
      <c r="K100" s="17">
        <v>5658.780887775315</v>
      </c>
      <c r="L100" s="18">
        <v>84855.147703768132</v>
      </c>
    </row>
    <row r="101" spans="8:12" x14ac:dyDescent="0.2">
      <c r="H101" s="62"/>
      <c r="I101" s="16">
        <v>1633.9834818987292</v>
      </c>
      <c r="J101" s="17">
        <v>100215.0179170951</v>
      </c>
      <c r="K101" s="17">
        <v>5991.8773721945181</v>
      </c>
      <c r="L101" s="18">
        <v>94223.140544900583</v>
      </c>
    </row>
    <row r="102" spans="8:12" x14ac:dyDescent="0.2">
      <c r="H102" s="62"/>
      <c r="I102" s="16">
        <v>1823.1910681474687</v>
      </c>
      <c r="J102" s="17">
        <v>100771.90949794716</v>
      </c>
      <c r="K102" s="17">
        <v>6092.4938227523762</v>
      </c>
      <c r="L102" s="18">
        <v>94679.415675194774</v>
      </c>
    </row>
    <row r="103" spans="8:12" x14ac:dyDescent="0.2">
      <c r="H103" s="62"/>
      <c r="I103" s="16">
        <v>1655.2222375228305</v>
      </c>
      <c r="J103" s="17">
        <v>103495.45276919469</v>
      </c>
      <c r="K103" s="17">
        <v>5508.6485899782538</v>
      </c>
      <c r="L103" s="18">
        <v>97986.804179216429</v>
      </c>
    </row>
    <row r="104" spans="8:12" x14ac:dyDescent="0.2">
      <c r="H104" s="62"/>
      <c r="I104" s="16">
        <v>1675.1481963741983</v>
      </c>
      <c r="J104" s="17">
        <v>97587.809452036789</v>
      </c>
      <c r="K104" s="17">
        <v>5962.3630451551026</v>
      </c>
      <c r="L104" s="18">
        <v>91625.446406881689</v>
      </c>
    </row>
    <row r="105" spans="8:12" x14ac:dyDescent="0.2">
      <c r="H105" s="62"/>
      <c r="I105" s="16">
        <v>1953.7289640130973</v>
      </c>
      <c r="J105" s="17">
        <v>126233.95966461698</v>
      </c>
      <c r="K105" s="17">
        <v>6893.9973654470004</v>
      </c>
      <c r="L105" s="18">
        <v>119339.96229916999</v>
      </c>
    </row>
    <row r="106" spans="8:12" x14ac:dyDescent="0.2">
      <c r="H106" s="62"/>
      <c r="I106" s="16">
        <v>1863.5590627346908</v>
      </c>
      <c r="J106" s="17">
        <v>118737.92103901347</v>
      </c>
      <c r="K106" s="17">
        <v>6622.2806363028521</v>
      </c>
      <c r="L106" s="18">
        <v>112115.64040271062</v>
      </c>
    </row>
    <row r="107" spans="8:12" x14ac:dyDescent="0.2">
      <c r="H107" s="62"/>
      <c r="I107" s="16">
        <v>2144.7676779708936</v>
      </c>
      <c r="J107" s="17">
        <v>126695.72776301486</v>
      </c>
      <c r="K107" s="17">
        <v>6977.148987554895</v>
      </c>
      <c r="L107" s="18">
        <v>119718.57877545996</v>
      </c>
    </row>
    <row r="108" spans="8:12" x14ac:dyDescent="0.2">
      <c r="H108" s="62"/>
      <c r="I108" s="16">
        <v>1615.0410511671539</v>
      </c>
      <c r="J108" s="17">
        <v>103063.71136142638</v>
      </c>
      <c r="K108" s="17">
        <v>5258.1336097277162</v>
      </c>
      <c r="L108" s="18">
        <v>97805.577751698671</v>
      </c>
    </row>
    <row r="109" spans="8:12" x14ac:dyDescent="0.2">
      <c r="H109" s="62"/>
      <c r="I109" s="16">
        <v>1611.6342865315526</v>
      </c>
      <c r="J109" s="17">
        <v>96922.843461570126</v>
      </c>
      <c r="K109" s="17">
        <v>5657.7728072525124</v>
      </c>
      <c r="L109" s="18">
        <v>91265.07065431762</v>
      </c>
    </row>
    <row r="110" spans="8:12" x14ac:dyDescent="0.2">
      <c r="H110" s="62"/>
      <c r="I110" s="16">
        <v>2118.2645743660282</v>
      </c>
      <c r="J110" s="17">
        <v>128648.08824070364</v>
      </c>
      <c r="K110" s="17">
        <v>7627.0794935816502</v>
      </c>
      <c r="L110" s="18">
        <v>121021.00874712199</v>
      </c>
    </row>
    <row r="111" spans="8:12" x14ac:dyDescent="0.2">
      <c r="H111" s="62"/>
      <c r="I111" s="16">
        <v>2156.616428340471</v>
      </c>
      <c r="J111" s="17">
        <v>128780.56445635321</v>
      </c>
      <c r="K111" s="17">
        <v>7207.0942865784</v>
      </c>
      <c r="L111" s="18">
        <v>121573.47016977481</v>
      </c>
    </row>
    <row r="112" spans="8:12" x14ac:dyDescent="0.2">
      <c r="H112" s="62"/>
      <c r="I112" s="16">
        <v>1921.2192980299983</v>
      </c>
      <c r="J112" s="17">
        <v>112528.09125834094</v>
      </c>
      <c r="K112" s="17">
        <v>6469.1865163620305</v>
      </c>
      <c r="L112" s="18">
        <v>106058.90474197891</v>
      </c>
    </row>
    <row r="113" spans="8:12" ht="16" thickBot="1" x14ac:dyDescent="0.25">
      <c r="H113" s="63"/>
      <c r="I113" s="27">
        <v>1690.7994775324921</v>
      </c>
      <c r="J113" s="28">
        <v>97334.031167002686</v>
      </c>
      <c r="K113" s="28">
        <v>6152.2062014415387</v>
      </c>
      <c r="L113" s="29">
        <v>91181.824965561143</v>
      </c>
    </row>
  </sheetData>
  <mergeCells count="6">
    <mergeCell ref="K1:L1"/>
    <mergeCell ref="A13:B13"/>
    <mergeCell ref="C13:D13"/>
    <mergeCell ref="E13:F13"/>
    <mergeCell ref="A29:B29"/>
    <mergeCell ref="I3:I5"/>
  </mergeCells>
  <dataValidations disablePrompts="1" count="3">
    <dataValidation type="list" allowBlank="1" showInputMessage="1" showErrorMessage="1" sqref="B2">
      <formula1>"1,2"</formula1>
    </dataValidation>
    <dataValidation type="list" allowBlank="1" showInputMessage="1" showErrorMessage="1" sqref="D2">
      <formula1>"3,4"</formula1>
    </dataValidation>
    <dataValidation type="list" allowBlank="1" showInputMessage="1" showErrorMessage="1" sqref="F2">
      <formula1>"5,6"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Scenarios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Harry Wong</cp:lastModifiedBy>
  <dcterms:created xsi:type="dcterms:W3CDTF">2012-12-16T18:31:53Z</dcterms:created>
  <dcterms:modified xsi:type="dcterms:W3CDTF">2021-04-18T20:38:06Z</dcterms:modified>
</cp:coreProperties>
</file>