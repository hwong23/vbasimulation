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6-Business\"/>
    </mc:Choice>
  </mc:AlternateContent>
  <bookViews>
    <workbookView xWindow="480" yWindow="45" windowWidth="22995" windowHeight="10035"/>
  </bookViews>
  <sheets>
    <sheet name="MarketGrowth" sheetId="11" r:id="rId1"/>
  </sheets>
  <externalReferences>
    <externalReference r:id="rId2"/>
  </externalReferences>
  <definedNames>
    <definedName name="_xlnm.Database">#REF!</definedName>
    <definedName name="Table">OFFSET([1]StockMarket!$A$1,0,0,COUNTA([1]StockMarket!$A:$A),COUNTA([1]StockMarket!$1:$1))</definedName>
  </definedNames>
  <calcPr calcId="152511" iterateCount="1000" calcOnSave="0"/>
</workbook>
</file>

<file path=xl/calcChain.xml><?xml version="1.0" encoding="utf-8"?>
<calcChain xmlns="http://schemas.openxmlformats.org/spreadsheetml/2006/main">
  <c r="F7" i="11" l="1"/>
  <c r="G7" i="11" s="1"/>
  <c r="F8" i="11"/>
  <c r="G8" i="11" s="1"/>
  <c r="F9" i="11"/>
  <c r="G9" i="11" s="1"/>
  <c r="F10" i="11"/>
  <c r="G10" i="11" s="1"/>
  <c r="F11" i="11"/>
  <c r="G11" i="11" s="1"/>
  <c r="F12" i="11"/>
  <c r="G12" i="11" s="1"/>
  <c r="F13" i="11"/>
  <c r="G13" i="11" s="1"/>
  <c r="F14" i="11"/>
  <c r="G14" i="11" s="1"/>
  <c r="F15" i="11"/>
  <c r="G15" i="11" s="1"/>
  <c r="F16" i="11"/>
  <c r="G16" i="11" s="1"/>
  <c r="F17" i="11"/>
  <c r="G17" i="11" s="1"/>
  <c r="F18" i="11"/>
  <c r="G18" i="11" s="1"/>
  <c r="F19" i="11"/>
  <c r="G19" i="11" s="1"/>
  <c r="F20" i="11"/>
  <c r="G20" i="11" s="1"/>
  <c r="F21" i="11"/>
  <c r="G21" i="11" s="1"/>
  <c r="F22" i="11"/>
  <c r="G22" i="11" s="1"/>
  <c r="F23" i="11"/>
  <c r="G23" i="11" s="1"/>
  <c r="F24" i="11"/>
  <c r="G24" i="11" s="1"/>
  <c r="F25" i="11"/>
  <c r="G25" i="11" s="1"/>
  <c r="F26" i="11"/>
  <c r="G26" i="11" s="1"/>
  <c r="F27" i="11"/>
  <c r="G27" i="11" s="1"/>
  <c r="F28" i="11"/>
  <c r="G28" i="11" s="1"/>
  <c r="F29" i="11"/>
  <c r="G29" i="11" s="1"/>
  <c r="F30" i="11"/>
  <c r="G30" i="11" s="1"/>
  <c r="F31" i="11"/>
  <c r="G31" i="11" s="1"/>
  <c r="F32" i="11"/>
  <c r="G32" i="11" s="1"/>
  <c r="F33" i="11"/>
  <c r="G33" i="11" s="1"/>
  <c r="F34" i="11"/>
  <c r="G34" i="11" s="1"/>
  <c r="F35" i="11"/>
  <c r="G35" i="11" s="1"/>
  <c r="F36" i="11"/>
  <c r="G36" i="11" s="1"/>
  <c r="F37" i="11"/>
  <c r="G37" i="11" s="1"/>
  <c r="F38" i="11"/>
  <c r="G38" i="11" s="1"/>
  <c r="F39" i="11"/>
  <c r="G39" i="11" s="1"/>
  <c r="F40" i="11"/>
  <c r="G40" i="11" s="1"/>
  <c r="F41" i="11"/>
  <c r="G41" i="11" s="1"/>
  <c r="F42" i="11"/>
  <c r="G42" i="11" s="1"/>
  <c r="F43" i="11"/>
  <c r="G43" i="11" s="1"/>
  <c r="F44" i="11"/>
  <c r="G44" i="11" s="1"/>
  <c r="F45" i="11"/>
  <c r="G45" i="11" s="1"/>
  <c r="F46" i="11"/>
  <c r="G46" i="11" s="1"/>
  <c r="F47" i="11"/>
  <c r="G47" i="11" s="1"/>
  <c r="F48" i="11"/>
  <c r="G48" i="11" s="1"/>
  <c r="F49" i="11"/>
  <c r="G49" i="11" s="1"/>
  <c r="F50" i="11"/>
  <c r="G50" i="11" s="1"/>
  <c r="F51" i="11"/>
  <c r="G51" i="11" s="1"/>
  <c r="F52" i="11"/>
  <c r="G52" i="11" s="1"/>
  <c r="F53" i="11"/>
  <c r="G53" i="11" s="1"/>
  <c r="F54" i="11"/>
  <c r="G54" i="11" s="1"/>
  <c r="F55" i="11"/>
  <c r="G55" i="11" s="1"/>
  <c r="F56" i="11"/>
  <c r="G56" i="11" s="1"/>
  <c r="F57" i="11"/>
  <c r="G57" i="11" s="1"/>
  <c r="F58" i="11"/>
  <c r="G58" i="11" s="1"/>
  <c r="F59" i="11"/>
  <c r="G59" i="11" s="1"/>
  <c r="F60" i="11"/>
  <c r="G60" i="11" s="1"/>
  <c r="F61" i="11"/>
  <c r="G61" i="11" s="1"/>
  <c r="F62" i="11"/>
  <c r="G62" i="11" s="1"/>
  <c r="F63" i="11"/>
  <c r="G63" i="11" s="1"/>
  <c r="F64" i="11"/>
  <c r="G64" i="11" s="1"/>
  <c r="F65" i="11"/>
  <c r="G65" i="11" s="1"/>
  <c r="F66" i="11"/>
  <c r="G66" i="11" s="1"/>
  <c r="F67" i="11"/>
  <c r="G67" i="11" s="1"/>
  <c r="F68" i="11"/>
  <c r="G68" i="11" s="1"/>
  <c r="F69" i="11"/>
  <c r="G69" i="11" s="1"/>
  <c r="F70" i="11"/>
  <c r="G70" i="11" s="1"/>
  <c r="F71" i="11"/>
  <c r="G71" i="11" s="1"/>
  <c r="F72" i="11"/>
  <c r="G72" i="11" s="1"/>
  <c r="F73" i="11"/>
  <c r="G73" i="11" s="1"/>
  <c r="F74" i="11"/>
  <c r="G74" i="11" s="1"/>
  <c r="F75" i="11"/>
  <c r="G75" i="11" s="1"/>
  <c r="F76" i="11"/>
  <c r="G76" i="11" s="1"/>
  <c r="F77" i="11"/>
  <c r="G77" i="11" s="1"/>
  <c r="F78" i="11"/>
  <c r="G78" i="11" s="1"/>
  <c r="F79" i="11"/>
  <c r="G79" i="11" s="1"/>
  <c r="F80" i="11"/>
  <c r="G80" i="11" s="1"/>
  <c r="F81" i="11"/>
  <c r="G81" i="11" s="1"/>
  <c r="F82" i="11"/>
  <c r="G82" i="11" s="1"/>
  <c r="F83" i="11"/>
  <c r="G83" i="11" s="1"/>
  <c r="F84" i="11"/>
  <c r="G84" i="11" s="1"/>
  <c r="F85" i="11"/>
  <c r="G85" i="11" s="1"/>
  <c r="F86" i="11"/>
  <c r="G86" i="11" s="1"/>
  <c r="F87" i="11"/>
  <c r="G87" i="11" s="1"/>
  <c r="F88" i="11"/>
  <c r="G88" i="11" s="1"/>
  <c r="F89" i="11"/>
  <c r="G89" i="11" s="1"/>
  <c r="F90" i="11"/>
  <c r="G90" i="11" s="1"/>
  <c r="F91" i="11"/>
  <c r="G91" i="11" s="1"/>
  <c r="F92" i="11"/>
  <c r="G92" i="11" s="1"/>
  <c r="F93" i="11"/>
  <c r="G93" i="11" s="1"/>
  <c r="F94" i="11"/>
  <c r="G94" i="11" s="1"/>
  <c r="F95" i="11"/>
  <c r="G95" i="11" s="1"/>
  <c r="F96" i="11"/>
  <c r="G96" i="11" s="1"/>
  <c r="F97" i="11"/>
  <c r="G97" i="11" s="1"/>
  <c r="F98" i="11"/>
  <c r="G98" i="11" s="1"/>
  <c r="F99" i="11"/>
  <c r="G99" i="11" s="1"/>
  <c r="F100" i="11"/>
  <c r="G100" i="11" s="1"/>
  <c r="F101" i="11"/>
  <c r="G101" i="11" s="1"/>
  <c r="F102" i="11"/>
  <c r="G102" i="11" s="1"/>
  <c r="F103" i="11"/>
  <c r="G103" i="11" s="1"/>
  <c r="F104" i="11"/>
  <c r="G104" i="11" s="1"/>
  <c r="F105" i="11"/>
  <c r="G105" i="11" s="1"/>
  <c r="F106" i="11"/>
  <c r="G106" i="11" s="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B7" i="11"/>
  <c r="D7" i="11" s="1"/>
  <c r="E7" i="11" s="1"/>
  <c r="H7" i="11" s="1"/>
  <c r="B8" i="11"/>
  <c r="D8" i="11" s="1"/>
  <c r="E8" i="11" s="1"/>
  <c r="H8" i="11" s="1"/>
  <c r="B9" i="11"/>
  <c r="D9" i="11" s="1"/>
  <c r="E9" i="11" s="1"/>
  <c r="B10" i="11"/>
  <c r="D10" i="11" s="1"/>
  <c r="E10" i="11" s="1"/>
  <c r="B11" i="11"/>
  <c r="D11" i="11" s="1"/>
  <c r="E11" i="11" s="1"/>
  <c r="H11" i="11" s="1"/>
  <c r="B12" i="11"/>
  <c r="D12" i="11" s="1"/>
  <c r="E12" i="11" s="1"/>
  <c r="H12" i="11" s="1"/>
  <c r="B13" i="11"/>
  <c r="D13" i="11" s="1"/>
  <c r="E13" i="11" s="1"/>
  <c r="B14" i="11"/>
  <c r="D14" i="11" s="1"/>
  <c r="E14" i="11" s="1"/>
  <c r="B15" i="11"/>
  <c r="D15" i="11" s="1"/>
  <c r="E15" i="11" s="1"/>
  <c r="H15" i="11" s="1"/>
  <c r="B16" i="11"/>
  <c r="D16" i="11" s="1"/>
  <c r="E16" i="11" s="1"/>
  <c r="H16" i="11" s="1"/>
  <c r="B17" i="11"/>
  <c r="D17" i="11" s="1"/>
  <c r="E17" i="11" s="1"/>
  <c r="B18" i="11"/>
  <c r="D18" i="11" s="1"/>
  <c r="E18" i="11" s="1"/>
  <c r="B19" i="11"/>
  <c r="D19" i="11" s="1"/>
  <c r="E19" i="11" s="1"/>
  <c r="H19" i="11" s="1"/>
  <c r="B20" i="11"/>
  <c r="D20" i="11" s="1"/>
  <c r="E20" i="11" s="1"/>
  <c r="H20" i="11" s="1"/>
  <c r="B21" i="11"/>
  <c r="D21" i="11" s="1"/>
  <c r="E21" i="11" s="1"/>
  <c r="B22" i="11"/>
  <c r="D22" i="11" s="1"/>
  <c r="E22" i="11" s="1"/>
  <c r="B23" i="11"/>
  <c r="D23" i="11" s="1"/>
  <c r="E23" i="11" s="1"/>
  <c r="H23" i="11" s="1"/>
  <c r="B24" i="11"/>
  <c r="D24" i="11" s="1"/>
  <c r="E24" i="11" s="1"/>
  <c r="H24" i="11" s="1"/>
  <c r="B25" i="11"/>
  <c r="D25" i="11" s="1"/>
  <c r="E25" i="11" s="1"/>
  <c r="B26" i="11"/>
  <c r="D26" i="11" s="1"/>
  <c r="E26" i="11" s="1"/>
  <c r="B27" i="11"/>
  <c r="D27" i="11" s="1"/>
  <c r="E27" i="11" s="1"/>
  <c r="H27" i="11" s="1"/>
  <c r="B28" i="11"/>
  <c r="D28" i="11" s="1"/>
  <c r="E28" i="11" s="1"/>
  <c r="H28" i="11" s="1"/>
  <c r="B29" i="11"/>
  <c r="D29" i="11" s="1"/>
  <c r="E29" i="11" s="1"/>
  <c r="B30" i="11"/>
  <c r="D30" i="11" s="1"/>
  <c r="E30" i="11" s="1"/>
  <c r="B31" i="11"/>
  <c r="D31" i="11" s="1"/>
  <c r="E31" i="11" s="1"/>
  <c r="H31" i="11" s="1"/>
  <c r="B32" i="11"/>
  <c r="D32" i="11" s="1"/>
  <c r="E32" i="11" s="1"/>
  <c r="H32" i="11" s="1"/>
  <c r="B33" i="11"/>
  <c r="D33" i="11" s="1"/>
  <c r="E33" i="11" s="1"/>
  <c r="B34" i="11"/>
  <c r="D34" i="11" s="1"/>
  <c r="E34" i="11" s="1"/>
  <c r="B35" i="11"/>
  <c r="D35" i="11" s="1"/>
  <c r="E35" i="11" s="1"/>
  <c r="H35" i="11" s="1"/>
  <c r="B36" i="11"/>
  <c r="D36" i="11" s="1"/>
  <c r="E36" i="11" s="1"/>
  <c r="H36" i="11" s="1"/>
  <c r="B37" i="11"/>
  <c r="D37" i="11" s="1"/>
  <c r="E37" i="11" s="1"/>
  <c r="B38" i="11"/>
  <c r="D38" i="11" s="1"/>
  <c r="E38" i="11" s="1"/>
  <c r="B39" i="11"/>
  <c r="D39" i="11" s="1"/>
  <c r="E39" i="11" s="1"/>
  <c r="H39" i="11" s="1"/>
  <c r="B40" i="11"/>
  <c r="D40" i="11" s="1"/>
  <c r="E40" i="11" s="1"/>
  <c r="H40" i="11" s="1"/>
  <c r="B41" i="11"/>
  <c r="D41" i="11" s="1"/>
  <c r="E41" i="11" s="1"/>
  <c r="B42" i="11"/>
  <c r="D42" i="11" s="1"/>
  <c r="E42" i="11" s="1"/>
  <c r="B43" i="11"/>
  <c r="D43" i="11" s="1"/>
  <c r="E43" i="11" s="1"/>
  <c r="H43" i="11" s="1"/>
  <c r="B44" i="11"/>
  <c r="D44" i="11" s="1"/>
  <c r="E44" i="11" s="1"/>
  <c r="H44" i="11" s="1"/>
  <c r="B45" i="11"/>
  <c r="D45" i="11" s="1"/>
  <c r="E45" i="11" s="1"/>
  <c r="B46" i="11"/>
  <c r="D46" i="11" s="1"/>
  <c r="E46" i="11" s="1"/>
  <c r="B47" i="11"/>
  <c r="D47" i="11" s="1"/>
  <c r="E47" i="11" s="1"/>
  <c r="H47" i="11" s="1"/>
  <c r="B48" i="11"/>
  <c r="D48" i="11" s="1"/>
  <c r="E48" i="11" s="1"/>
  <c r="H48" i="11" s="1"/>
  <c r="B49" i="11"/>
  <c r="D49" i="11" s="1"/>
  <c r="E49" i="11" s="1"/>
  <c r="B50" i="11"/>
  <c r="D50" i="11" s="1"/>
  <c r="E50" i="11" s="1"/>
  <c r="B51" i="11"/>
  <c r="D51" i="11" s="1"/>
  <c r="E51" i="11" s="1"/>
  <c r="H51" i="11" s="1"/>
  <c r="B52" i="11"/>
  <c r="D52" i="11" s="1"/>
  <c r="E52" i="11" s="1"/>
  <c r="H52" i="11" s="1"/>
  <c r="B53" i="11"/>
  <c r="D53" i="11" s="1"/>
  <c r="E53" i="11" s="1"/>
  <c r="B54" i="11"/>
  <c r="D54" i="11" s="1"/>
  <c r="E54" i="11" s="1"/>
  <c r="B55" i="11"/>
  <c r="D55" i="11" s="1"/>
  <c r="E55" i="11" s="1"/>
  <c r="H55" i="11" s="1"/>
  <c r="B56" i="11"/>
  <c r="D56" i="11" s="1"/>
  <c r="E56" i="11" s="1"/>
  <c r="H56" i="11" s="1"/>
  <c r="B57" i="11"/>
  <c r="D57" i="11" s="1"/>
  <c r="E57" i="11" s="1"/>
  <c r="B58" i="11"/>
  <c r="D58" i="11" s="1"/>
  <c r="E58" i="11" s="1"/>
  <c r="B59" i="11"/>
  <c r="D59" i="11" s="1"/>
  <c r="E59" i="11" s="1"/>
  <c r="H59" i="11" s="1"/>
  <c r="B60" i="11"/>
  <c r="D60" i="11" s="1"/>
  <c r="E60" i="11" s="1"/>
  <c r="H60" i="11" s="1"/>
  <c r="B61" i="11"/>
  <c r="D61" i="11" s="1"/>
  <c r="E61" i="11" s="1"/>
  <c r="B62" i="11"/>
  <c r="D62" i="11" s="1"/>
  <c r="E62" i="11" s="1"/>
  <c r="B63" i="11"/>
  <c r="D63" i="11" s="1"/>
  <c r="E63" i="11" s="1"/>
  <c r="H63" i="11" s="1"/>
  <c r="B64" i="11"/>
  <c r="D64" i="11" s="1"/>
  <c r="E64" i="11" s="1"/>
  <c r="H64" i="11" s="1"/>
  <c r="B65" i="11"/>
  <c r="D65" i="11" s="1"/>
  <c r="E65" i="11" s="1"/>
  <c r="B66" i="11"/>
  <c r="D66" i="11" s="1"/>
  <c r="E66" i="11" s="1"/>
  <c r="B67" i="11"/>
  <c r="D67" i="11" s="1"/>
  <c r="E67" i="11" s="1"/>
  <c r="H67" i="11" s="1"/>
  <c r="B68" i="11"/>
  <c r="D68" i="11" s="1"/>
  <c r="E68" i="11" s="1"/>
  <c r="H68" i="11" s="1"/>
  <c r="B69" i="11"/>
  <c r="D69" i="11" s="1"/>
  <c r="E69" i="11" s="1"/>
  <c r="B70" i="11"/>
  <c r="D70" i="11" s="1"/>
  <c r="E70" i="11" s="1"/>
  <c r="B71" i="11"/>
  <c r="D71" i="11" s="1"/>
  <c r="E71" i="11" s="1"/>
  <c r="H71" i="11" s="1"/>
  <c r="B72" i="11"/>
  <c r="D72" i="11" s="1"/>
  <c r="E72" i="11" s="1"/>
  <c r="H72" i="11" s="1"/>
  <c r="B73" i="11"/>
  <c r="D73" i="11" s="1"/>
  <c r="E73" i="11" s="1"/>
  <c r="B74" i="11"/>
  <c r="D74" i="11" s="1"/>
  <c r="E74" i="11" s="1"/>
  <c r="B75" i="11"/>
  <c r="D75" i="11" s="1"/>
  <c r="E75" i="11" s="1"/>
  <c r="H75" i="11" s="1"/>
  <c r="B76" i="11"/>
  <c r="D76" i="11" s="1"/>
  <c r="E76" i="11" s="1"/>
  <c r="H76" i="11" s="1"/>
  <c r="B77" i="11"/>
  <c r="D77" i="11" s="1"/>
  <c r="E77" i="11" s="1"/>
  <c r="B78" i="11"/>
  <c r="D78" i="11" s="1"/>
  <c r="E78" i="11" s="1"/>
  <c r="B79" i="11"/>
  <c r="D79" i="11" s="1"/>
  <c r="E79" i="11" s="1"/>
  <c r="H79" i="11" s="1"/>
  <c r="B80" i="11"/>
  <c r="D80" i="11" s="1"/>
  <c r="E80" i="11" s="1"/>
  <c r="H80" i="11" s="1"/>
  <c r="B81" i="11"/>
  <c r="D81" i="11" s="1"/>
  <c r="E81" i="11" s="1"/>
  <c r="H81" i="11" s="1"/>
  <c r="B82" i="11"/>
  <c r="D82" i="11" s="1"/>
  <c r="E82" i="11" s="1"/>
  <c r="B83" i="11"/>
  <c r="D83" i="11" s="1"/>
  <c r="E83" i="11" s="1"/>
  <c r="H83" i="11" s="1"/>
  <c r="B84" i="11"/>
  <c r="D84" i="11" s="1"/>
  <c r="E84" i="11" s="1"/>
  <c r="H84" i="11" s="1"/>
  <c r="B85" i="11"/>
  <c r="D85" i="11" s="1"/>
  <c r="E85" i="11" s="1"/>
  <c r="B86" i="11"/>
  <c r="D86" i="11" s="1"/>
  <c r="E86" i="11" s="1"/>
  <c r="B87" i="11"/>
  <c r="D87" i="11" s="1"/>
  <c r="E87" i="11" s="1"/>
  <c r="H87" i="11" s="1"/>
  <c r="B88" i="11"/>
  <c r="D88" i="11" s="1"/>
  <c r="E88" i="11" s="1"/>
  <c r="H88" i="11" s="1"/>
  <c r="B89" i="11"/>
  <c r="D89" i="11" s="1"/>
  <c r="E89" i="11" s="1"/>
  <c r="B90" i="11"/>
  <c r="D90" i="11" s="1"/>
  <c r="E90" i="11" s="1"/>
  <c r="B91" i="11"/>
  <c r="D91" i="11" s="1"/>
  <c r="E91" i="11" s="1"/>
  <c r="H91" i="11" s="1"/>
  <c r="B92" i="11"/>
  <c r="D92" i="11" s="1"/>
  <c r="E92" i="11" s="1"/>
  <c r="H92" i="11" s="1"/>
  <c r="B93" i="11"/>
  <c r="D93" i="11" s="1"/>
  <c r="E93" i="11" s="1"/>
  <c r="B94" i="11"/>
  <c r="D94" i="11" s="1"/>
  <c r="E94" i="11" s="1"/>
  <c r="B95" i="11"/>
  <c r="D95" i="11" s="1"/>
  <c r="E95" i="11" s="1"/>
  <c r="H95" i="11" s="1"/>
  <c r="B96" i="11"/>
  <c r="D96" i="11" s="1"/>
  <c r="E96" i="11" s="1"/>
  <c r="H96" i="11" s="1"/>
  <c r="B97" i="11"/>
  <c r="D97" i="11" s="1"/>
  <c r="E97" i="11" s="1"/>
  <c r="B98" i="11"/>
  <c r="D98" i="11" s="1"/>
  <c r="E98" i="11" s="1"/>
  <c r="B99" i="11"/>
  <c r="D99" i="11" s="1"/>
  <c r="E99" i="11" s="1"/>
  <c r="H99" i="11" s="1"/>
  <c r="B100" i="11"/>
  <c r="D100" i="11" s="1"/>
  <c r="E100" i="11" s="1"/>
  <c r="H100" i="11" s="1"/>
  <c r="B101" i="11"/>
  <c r="D101" i="11" s="1"/>
  <c r="E101" i="11" s="1"/>
  <c r="H101" i="11" s="1"/>
  <c r="B102" i="11"/>
  <c r="D102" i="11" s="1"/>
  <c r="E102" i="11" s="1"/>
  <c r="B103" i="11"/>
  <c r="D103" i="11" s="1"/>
  <c r="E103" i="11" s="1"/>
  <c r="H103" i="11" s="1"/>
  <c r="B104" i="11"/>
  <c r="D104" i="11" s="1"/>
  <c r="E104" i="11" s="1"/>
  <c r="H104" i="11" s="1"/>
  <c r="B105" i="11"/>
  <c r="D105" i="11" s="1"/>
  <c r="E105" i="11" s="1"/>
  <c r="B106" i="11"/>
  <c r="D106" i="11" s="1"/>
  <c r="E106" i="11" s="1"/>
  <c r="H105" i="11" l="1"/>
  <c r="H97" i="11"/>
  <c r="H85" i="11"/>
  <c r="H77" i="11"/>
  <c r="H69" i="11"/>
  <c r="H61" i="11"/>
  <c r="H53" i="11"/>
  <c r="H45" i="11"/>
  <c r="H37" i="11"/>
  <c r="H29" i="11"/>
  <c r="H21" i="11"/>
  <c r="H17" i="11"/>
  <c r="H9" i="11"/>
  <c r="H93" i="11"/>
  <c r="H89" i="11"/>
  <c r="H73" i="11"/>
  <c r="H65" i="11"/>
  <c r="H57" i="11"/>
  <c r="H49" i="11"/>
  <c r="H41" i="11"/>
  <c r="H33" i="11"/>
  <c r="H25" i="11"/>
  <c r="H13" i="11"/>
  <c r="H106" i="11"/>
  <c r="H102" i="11"/>
  <c r="H98" i="11"/>
  <c r="H94" i="11"/>
  <c r="H90" i="11"/>
  <c r="H86" i="11"/>
  <c r="H82" i="11"/>
  <c r="H78" i="11"/>
  <c r="H74" i="11"/>
  <c r="H70" i="11"/>
  <c r="H66" i="11"/>
  <c r="H62" i="11"/>
  <c r="H58" i="11"/>
  <c r="H54" i="11"/>
  <c r="H50" i="11"/>
  <c r="H46" i="11"/>
  <c r="H42" i="11"/>
  <c r="H38" i="11"/>
  <c r="H34" i="11"/>
  <c r="H30" i="11"/>
  <c r="H26" i="11"/>
  <c r="H22" i="11"/>
  <c r="H18" i="11"/>
  <c r="H14" i="11"/>
  <c r="H10" i="11"/>
  <c r="J7" i="11" l="1"/>
  <c r="K7" i="11"/>
  <c r="N9" i="11" s="1"/>
  <c r="N7" i="11" l="1"/>
  <c r="N8" i="11"/>
</calcChain>
</file>

<file path=xl/sharedStrings.xml><?xml version="1.0" encoding="utf-8"?>
<sst xmlns="http://schemas.openxmlformats.org/spreadsheetml/2006/main" count="15" uniqueCount="15">
  <si>
    <t>Market</t>
  </si>
  <si>
    <t>Share</t>
  </si>
  <si>
    <t>GDP Growth</t>
  </si>
  <si>
    <t>Multiple</t>
  </si>
  <si>
    <t>New Market Size</t>
  </si>
  <si>
    <t>Market Share Growth</t>
  </si>
  <si>
    <t>New Market Share</t>
  </si>
  <si>
    <t>Sales Volume</t>
  </si>
  <si>
    <t>MIN</t>
  </si>
  <si>
    <t>MED</t>
  </si>
  <si>
    <t>MAX</t>
  </si>
  <si>
    <t>Market Growth</t>
  </si>
  <si>
    <t>mean</t>
  </si>
  <si>
    <t>SD</t>
  </si>
  <si>
    <t>Results of 100 x 100 runs.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</si>
</sst>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###0.00_)"/>
    <numFmt numFmtId="166" formatCode="#,##0_)"/>
    <numFmt numFmtId="167" formatCode="_(* #,##0_);_(* \(#,##0\);_(* &quot;-&quot;??_);_(@_)"/>
    <numFmt numFmtId="168" formatCode="0.0000"/>
    <numFmt numFmtId="169" formatCode="0.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3F3F76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  <fill>
      <patternFill patternType="solid">
        <fgColor theme="7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7">
    <xf numFmtId="0" fontId="0" fillId="0" borderId="0"/>
    <xf numFmtId="43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  <xf numFmtId="0" fontId="4" fillId="0" borderId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6" fillId="8" borderId="0" applyNumberFormat="0" applyBorder="0" applyAlignment="0" applyProtection="0"/>
    <xf numFmtId="0" fontId="5" fillId="6" borderId="0" applyNumberFormat="0" applyBorder="0" applyAlignment="0" applyProtection="0"/>
    <xf numFmtId="0" fontId="5" fillId="9" borderId="0" applyNumberFormat="0" applyBorder="0" applyAlignment="0" applyProtection="0"/>
    <xf numFmtId="0" fontId="6" fillId="7" borderId="0" applyNumberFormat="0" applyBorder="0" applyAlignment="0" applyProtection="0"/>
    <xf numFmtId="0" fontId="5" fillId="4" borderId="0" applyNumberFormat="0" applyBorder="0" applyAlignment="0" applyProtection="0"/>
    <xf numFmtId="0" fontId="5" fillId="7" borderId="0" applyNumberFormat="0" applyBorder="0" applyAlignment="0" applyProtection="0"/>
    <xf numFmtId="0" fontId="6" fillId="7" borderId="0" applyNumberFormat="0" applyBorder="0" applyAlignment="0" applyProtection="0"/>
    <xf numFmtId="0" fontId="5" fillId="10" borderId="0" applyNumberFormat="0" applyBorder="0" applyAlignment="0" applyProtection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11" borderId="0" applyNumberFormat="0" applyBorder="0" applyAlignment="0" applyProtection="0"/>
    <xf numFmtId="0" fontId="6" fillId="11" borderId="0" applyNumberFormat="0" applyBorder="0" applyAlignment="0" applyProtection="0"/>
    <xf numFmtId="0" fontId="7" fillId="0" borderId="0">
      <alignment horizontal="center" vertical="center" wrapText="1"/>
    </xf>
    <xf numFmtId="0" fontId="8" fillId="0" borderId="0">
      <alignment horizontal="left" vertical="center" wrapText="1"/>
    </xf>
    <xf numFmtId="4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9" fillId="0" borderId="5" applyNumberFormat="0" applyFill="0">
      <alignment horizontal="right"/>
    </xf>
    <xf numFmtId="166" fontId="10" fillId="0" borderId="5">
      <alignment horizontal="right" vertical="center"/>
    </xf>
    <xf numFmtId="49" fontId="11" fillId="0" borderId="5">
      <alignment horizontal="left" vertical="center"/>
    </xf>
    <xf numFmtId="165" fontId="9" fillId="0" borderId="5" applyNumberFormat="0" applyFill="0">
      <alignment horizontal="right"/>
    </xf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0" borderId="5">
      <alignment horizontal="left"/>
    </xf>
    <xf numFmtId="0" fontId="14" fillId="0" borderId="6">
      <alignment horizontal="right" vertical="center"/>
    </xf>
    <xf numFmtId="0" fontId="15" fillId="0" borderId="5">
      <alignment horizontal="left" vertical="center"/>
    </xf>
    <xf numFmtId="0" fontId="9" fillId="0" borderId="5">
      <alignment horizontal="left" vertical="center"/>
    </xf>
    <xf numFmtId="0" fontId="13" fillId="0" borderId="5">
      <alignment horizontal="left"/>
    </xf>
    <xf numFmtId="0" fontId="13" fillId="15" borderId="0">
      <alignment horizontal="centerContinuous" wrapText="1"/>
    </xf>
    <xf numFmtId="49" fontId="13" fillId="15" borderId="7">
      <alignment horizontal="left" vertical="center"/>
    </xf>
    <xf numFmtId="0" fontId="13" fillId="15" borderId="0">
      <alignment horizontal="centerContinuous" vertical="center" wrapText="1"/>
    </xf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4" fillId="0" borderId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4" fillId="0" borderId="0" applyFont="0" applyFill="0" applyBorder="0" applyAlignment="0" applyProtection="0"/>
    <xf numFmtId="3" fontId="10" fillId="0" borderId="0">
      <alignment horizontal="left" vertical="center"/>
    </xf>
    <xf numFmtId="0" fontId="7" fillId="0" borderId="0">
      <alignment horizontal="left" vertical="center"/>
    </xf>
    <xf numFmtId="0" fontId="17" fillId="0" borderId="0" applyNumberFormat="0" applyFill="0" applyBorder="0" applyAlignment="0" applyProtection="0"/>
    <xf numFmtId="0" fontId="18" fillId="0" borderId="0">
      <alignment horizontal="right"/>
    </xf>
    <xf numFmtId="49" fontId="18" fillId="0" borderId="0">
      <alignment horizontal="center"/>
    </xf>
    <xf numFmtId="0" fontId="11" fillId="0" borderId="0">
      <alignment horizontal="right"/>
    </xf>
    <xf numFmtId="0" fontId="18" fillId="0" borderId="0">
      <alignment horizontal="left"/>
    </xf>
    <xf numFmtId="49" fontId="10" fillId="0" borderId="0">
      <alignment horizontal="left" vertical="center"/>
    </xf>
    <xf numFmtId="49" fontId="11" fillId="0" borderId="5">
      <alignment horizontal="left"/>
    </xf>
    <xf numFmtId="165" fontId="10" fillId="0" borderId="0" applyNumberFormat="0">
      <alignment horizontal="right"/>
    </xf>
    <xf numFmtId="0" fontId="14" fillId="16" borderId="0">
      <alignment horizontal="centerContinuous" vertical="center" wrapText="1"/>
    </xf>
    <xf numFmtId="0" fontId="14" fillId="0" borderId="8">
      <alignment horizontal="left" vertical="center"/>
    </xf>
    <xf numFmtId="0" fontId="19" fillId="0" borderId="0">
      <alignment horizontal="left" vertical="top"/>
    </xf>
    <xf numFmtId="0" fontId="13" fillId="0" borderId="0">
      <alignment horizontal="left"/>
    </xf>
    <xf numFmtId="0" fontId="8" fillId="0" borderId="0">
      <alignment horizontal="left"/>
    </xf>
    <xf numFmtId="0" fontId="9" fillId="0" borderId="0">
      <alignment horizontal="left"/>
    </xf>
    <xf numFmtId="0" fontId="19" fillId="0" borderId="0">
      <alignment horizontal="left" vertical="top"/>
    </xf>
    <xf numFmtId="0" fontId="8" fillId="0" borderId="0">
      <alignment horizontal="left"/>
    </xf>
    <xf numFmtId="0" fontId="9" fillId="0" borderId="0">
      <alignment horizontal="left"/>
    </xf>
    <xf numFmtId="49" fontId="10" fillId="0" borderId="5">
      <alignment horizontal="left"/>
    </xf>
    <xf numFmtId="0" fontId="14" fillId="0" borderId="6">
      <alignment horizontal="left"/>
    </xf>
    <xf numFmtId="0" fontId="13" fillId="0" borderId="0">
      <alignment horizontal="left" vertical="center"/>
    </xf>
    <xf numFmtId="49" fontId="10" fillId="0" borderId="5">
      <alignment horizontal="left"/>
    </xf>
  </cellStyleXfs>
  <cellXfs count="45">
    <xf numFmtId="0" fontId="0" fillId="0" borderId="0" xfId="0"/>
    <xf numFmtId="0" fontId="21" fillId="0" borderId="0" xfId="0" applyFont="1" applyAlignment="1" applyProtection="1">
      <alignment horizontal="center" vertical="center" wrapText="1"/>
    </xf>
    <xf numFmtId="0" fontId="22" fillId="0" borderId="0" xfId="0" applyFont="1" applyProtection="1"/>
    <xf numFmtId="0" fontId="23" fillId="0" borderId="0" xfId="0" applyFont="1" applyProtection="1"/>
    <xf numFmtId="0" fontId="22" fillId="0" borderId="12" xfId="0" applyFont="1" applyBorder="1" applyAlignment="1" applyProtection="1">
      <alignment horizontal="center"/>
    </xf>
    <xf numFmtId="3" fontId="24" fillId="2" borderId="13" xfId="2" applyNumberFormat="1" applyFont="1" applyBorder="1" applyAlignment="1" applyProtection="1">
      <alignment horizontal="center"/>
    </xf>
    <xf numFmtId="0" fontId="22" fillId="0" borderId="14" xfId="0" applyFont="1" applyBorder="1" applyAlignment="1" applyProtection="1">
      <alignment horizontal="center"/>
    </xf>
    <xf numFmtId="9" fontId="24" fillId="2" borderId="13" xfId="2" applyNumberFormat="1" applyFont="1" applyBorder="1" applyAlignment="1" applyProtection="1">
      <alignment horizontal="center"/>
    </xf>
    <xf numFmtId="167" fontId="22" fillId="0" borderId="0" xfId="1" applyNumberFormat="1" applyFont="1" applyProtection="1"/>
    <xf numFmtId="0" fontId="22" fillId="0" borderId="0" xfId="0" applyFont="1" applyBorder="1" applyAlignment="1" applyProtection="1">
      <alignment horizontal="center"/>
    </xf>
    <xf numFmtId="3" fontId="24" fillId="0" borderId="0" xfId="2" applyNumberFormat="1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center"/>
    </xf>
    <xf numFmtId="9" fontId="24" fillId="0" borderId="0" xfId="2" applyNumberFormat="1" applyFont="1" applyFill="1" applyBorder="1" applyAlignment="1" applyProtection="1">
      <alignment horizontal="center"/>
    </xf>
    <xf numFmtId="0" fontId="23" fillId="0" borderId="19" xfId="0" applyFont="1" applyBorder="1" applyProtection="1"/>
    <xf numFmtId="0" fontId="22" fillId="0" borderId="20" xfId="0" applyFont="1" applyBorder="1" applyProtection="1"/>
    <xf numFmtId="0" fontId="22" fillId="0" borderId="20" xfId="0" applyFont="1" applyBorder="1" applyAlignment="1" applyProtection="1">
      <alignment horizontal="center"/>
    </xf>
    <xf numFmtId="3" fontId="24" fillId="0" borderId="20" xfId="2" applyNumberFormat="1" applyFont="1" applyFill="1" applyBorder="1" applyAlignment="1" applyProtection="1">
      <alignment horizontal="center"/>
    </xf>
    <xf numFmtId="0" fontId="22" fillId="0" borderId="20" xfId="0" applyFont="1" applyFill="1" applyBorder="1" applyAlignment="1" applyProtection="1">
      <alignment horizontal="center"/>
    </xf>
    <xf numFmtId="9" fontId="24" fillId="0" borderId="20" xfId="2" applyNumberFormat="1" applyFont="1" applyFill="1" applyBorder="1" applyAlignment="1" applyProtection="1">
      <alignment horizontal="center"/>
    </xf>
    <xf numFmtId="0" fontId="22" fillId="0" borderId="21" xfId="0" applyFont="1" applyBorder="1" applyProtection="1"/>
    <xf numFmtId="0" fontId="23" fillId="0" borderId="2" xfId="0" applyFont="1" applyBorder="1" applyProtection="1"/>
    <xf numFmtId="0" fontId="22" fillId="0" borderId="22" xfId="0" applyFont="1" applyBorder="1" applyProtection="1"/>
    <xf numFmtId="0" fontId="22" fillId="0" borderId="22" xfId="0" applyFont="1" applyBorder="1" applyAlignment="1" applyProtection="1">
      <alignment horizontal="center"/>
    </xf>
    <xf numFmtId="3" fontId="24" fillId="0" borderId="22" xfId="2" applyNumberFormat="1" applyFont="1" applyFill="1" applyBorder="1" applyAlignment="1" applyProtection="1">
      <alignment horizontal="center"/>
    </xf>
    <xf numFmtId="0" fontId="22" fillId="0" borderId="22" xfId="0" applyFont="1" applyFill="1" applyBorder="1" applyAlignment="1" applyProtection="1">
      <alignment horizontal="center"/>
    </xf>
    <xf numFmtId="9" fontId="24" fillId="0" borderId="22" xfId="2" applyNumberFormat="1" applyFont="1" applyFill="1" applyBorder="1" applyAlignment="1" applyProtection="1">
      <alignment horizontal="center"/>
    </xf>
    <xf numFmtId="0" fontId="22" fillId="0" borderId="23" xfId="0" applyFont="1" applyBorder="1" applyProtection="1"/>
    <xf numFmtId="168" fontId="22" fillId="0" borderId="0" xfId="0" applyNumberFormat="1" applyFont="1" applyProtection="1"/>
    <xf numFmtId="3" fontId="22" fillId="0" borderId="0" xfId="1" applyNumberFormat="1" applyFont="1" applyProtection="1"/>
    <xf numFmtId="169" fontId="22" fillId="0" borderId="0" xfId="0" applyNumberFormat="1" applyFont="1" applyProtection="1"/>
    <xf numFmtId="43" fontId="3" fillId="3" borderId="16" xfId="3" applyNumberFormat="1" applyFont="1" applyBorder="1" applyProtection="1"/>
    <xf numFmtId="167" fontId="22" fillId="0" borderId="3" xfId="1" applyNumberFormat="1" applyFont="1" applyBorder="1" applyProtection="1"/>
    <xf numFmtId="0" fontId="22" fillId="0" borderId="10" xfId="0" applyFont="1" applyBorder="1" applyProtection="1"/>
    <xf numFmtId="167" fontId="3" fillId="3" borderId="17" xfId="3" applyNumberFormat="1" applyFont="1" applyBorder="1" applyProtection="1"/>
    <xf numFmtId="0" fontId="22" fillId="0" borderId="4" xfId="0" applyFont="1" applyBorder="1" applyProtection="1"/>
    <xf numFmtId="167" fontId="22" fillId="0" borderId="9" xfId="1" applyNumberFormat="1" applyFont="1" applyBorder="1" applyProtection="1"/>
    <xf numFmtId="167" fontId="3" fillId="3" borderId="18" xfId="3" applyNumberFormat="1" applyFont="1" applyBorder="1" applyProtection="1"/>
    <xf numFmtId="167" fontId="22" fillId="0" borderId="10" xfId="1" applyNumberFormat="1" applyFont="1" applyBorder="1" applyProtection="1"/>
    <xf numFmtId="0" fontId="22" fillId="0" borderId="11" xfId="0" applyFont="1" applyBorder="1" applyProtection="1"/>
    <xf numFmtId="0" fontId="22" fillId="0" borderId="2" xfId="0" applyFont="1" applyBorder="1" applyProtection="1"/>
    <xf numFmtId="167" fontId="22" fillId="0" borderId="11" xfId="1" applyNumberFormat="1" applyFont="1" applyBorder="1" applyProtection="1"/>
    <xf numFmtId="9" fontId="22" fillId="0" borderId="0" xfId="0" applyNumberFormat="1" applyFont="1" applyProtection="1"/>
    <xf numFmtId="0" fontId="20" fillId="17" borderId="12" xfId="0" applyFont="1" applyFill="1" applyBorder="1" applyAlignment="1" applyProtection="1">
      <alignment horizontal="center" vertical="center"/>
    </xf>
    <xf numFmtId="0" fontId="20" fillId="17" borderId="14" xfId="0" applyFont="1" applyFill="1" applyBorder="1" applyAlignment="1" applyProtection="1">
      <alignment horizontal="center" vertical="center"/>
    </xf>
    <xf numFmtId="0" fontId="20" fillId="17" borderId="15" xfId="0" applyFont="1" applyFill="1" applyBorder="1" applyAlignment="1" applyProtection="1">
      <alignment horizontal="center" vertical="center"/>
    </xf>
  </cellXfs>
  <cellStyles count="77">
    <cellStyle name="Accent1 - 20%" xfId="7"/>
    <cellStyle name="Accent1 - 40%" xfId="8"/>
    <cellStyle name="Accent1 - 60%" xfId="9"/>
    <cellStyle name="Accent2 - 20%" xfId="10"/>
    <cellStyle name="Accent2 - 40%" xfId="11"/>
    <cellStyle name="Accent2 - 60%" xfId="12"/>
    <cellStyle name="Accent3 - 20%" xfId="13"/>
    <cellStyle name="Accent3 - 40%" xfId="14"/>
    <cellStyle name="Accent3 - 60%" xfId="15"/>
    <cellStyle name="Accent4 - 20%" xfId="16"/>
    <cellStyle name="Accent4 - 40%" xfId="17"/>
    <cellStyle name="Accent4 - 60%" xfId="18"/>
    <cellStyle name="Accent5 - 20%" xfId="19"/>
    <cellStyle name="Accent5 - 40%" xfId="20"/>
    <cellStyle name="Accent5 - 60%" xfId="21"/>
    <cellStyle name="Accent6 - 20%" xfId="22"/>
    <cellStyle name="Accent6 - 40%" xfId="23"/>
    <cellStyle name="Accent6 - 60%" xfId="24"/>
    <cellStyle name="Calculation" xfId="3" builtinId="22"/>
    <cellStyle name="Column heading" xfId="25"/>
    <cellStyle name="Comma" xfId="1" builtinId="3"/>
    <cellStyle name="Comma 2" xfId="6"/>
    <cellStyle name="Corner heading" xfId="26"/>
    <cellStyle name="Currency 2" xfId="5"/>
    <cellStyle name="Currency 3" xfId="27"/>
    <cellStyle name="Currency 4" xfId="28"/>
    <cellStyle name="Data" xfId="29"/>
    <cellStyle name="Data no deci" xfId="30"/>
    <cellStyle name="Data Superscript" xfId="31"/>
    <cellStyle name="Data_1-1A-Regular" xfId="32"/>
    <cellStyle name="Emphasis 1" xfId="33"/>
    <cellStyle name="Emphasis 2" xfId="34"/>
    <cellStyle name="Emphasis 3" xfId="35"/>
    <cellStyle name="Hed Side" xfId="36"/>
    <cellStyle name="Hed Side bold" xfId="37"/>
    <cellStyle name="Hed Side Indent" xfId="38"/>
    <cellStyle name="Hed Side Regular" xfId="39"/>
    <cellStyle name="Hed Side_1-1A-Regular" xfId="40"/>
    <cellStyle name="Hed Top" xfId="41"/>
    <cellStyle name="Hed Top - SECTION" xfId="42"/>
    <cellStyle name="Hed Top_3-new4" xfId="43"/>
    <cellStyle name="Input" xfId="2" builtinId="20"/>
    <cellStyle name="Normal" xfId="0" builtinId="0"/>
    <cellStyle name="Normal 2" xfId="4"/>
    <cellStyle name="Normal 2 2" xfId="44"/>
    <cellStyle name="Normal 2 3" xfId="45"/>
    <cellStyle name="Normal 2_E-UniqueLists" xfId="46"/>
    <cellStyle name="Normal 3" xfId="47"/>
    <cellStyle name="Normal 3 2" xfId="48"/>
    <cellStyle name="Normal 4" xfId="49"/>
    <cellStyle name="Percent 2" xfId="50"/>
    <cellStyle name="Percent 2 2" xfId="51"/>
    <cellStyle name="Percent 3" xfId="52"/>
    <cellStyle name="Percent 3 2" xfId="53"/>
    <cellStyle name="Reference" xfId="54"/>
    <cellStyle name="Row heading" xfId="55"/>
    <cellStyle name="Sheet Title" xfId="56"/>
    <cellStyle name="Source Hed" xfId="57"/>
    <cellStyle name="Source Letter" xfId="58"/>
    <cellStyle name="Source Superscript" xfId="59"/>
    <cellStyle name="Source Text" xfId="60"/>
    <cellStyle name="State" xfId="61"/>
    <cellStyle name="Superscript" xfId="62"/>
    <cellStyle name="Table Data" xfId="63"/>
    <cellStyle name="Table Head Top" xfId="64"/>
    <cellStyle name="Table Hed Side" xfId="65"/>
    <cellStyle name="Table Title" xfId="66"/>
    <cellStyle name="Title Text" xfId="67"/>
    <cellStyle name="Title Text 1" xfId="68"/>
    <cellStyle name="Title Text 2" xfId="69"/>
    <cellStyle name="Title-1" xfId="70"/>
    <cellStyle name="Title-2" xfId="71"/>
    <cellStyle name="Title-3" xfId="72"/>
    <cellStyle name="Wrap" xfId="73"/>
    <cellStyle name="Wrap Bold" xfId="74"/>
    <cellStyle name="Wrap Title" xfId="75"/>
    <cellStyle name="Wrap_A-GraphsStarter" xfId="7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381000</xdr:colOff>
      <xdr:row>0</xdr:row>
      <xdr:rowOff>133350</xdr:rowOff>
    </xdr:from>
    <xdr:to>
      <xdr:col>13</xdr:col>
      <xdr:colOff>209550</xdr:colOff>
      <xdr:row>3</xdr:row>
      <xdr:rowOff>171450</xdr:rowOff>
    </xdr:to>
    <xdr:sp macro="" textlink="">
      <xdr:nvSpPr>
        <xdr:cNvPr id="2" name="Rounded Rectangle 1"/>
        <xdr:cNvSpPr/>
      </xdr:nvSpPr>
      <xdr:spPr>
        <a:xfrm>
          <a:off x="6381750" y="133350"/>
          <a:ext cx="2476500" cy="6286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Ctrl + Shift + M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erry/Desktop/MrExcel/VBA-Simulations/8-Extras-Don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eaCodeFinder"/>
      <sheetName val="MarkOverMean"/>
      <sheetName val="Outliers"/>
      <sheetName val="FalsePositives"/>
      <sheetName val="Beliefs"/>
      <sheetName val="SampleTechniques"/>
      <sheetName val="AutoNumber"/>
      <sheetName val="FiscalYear"/>
      <sheetName val="StockMarket"/>
      <sheetName val="WeatherForeca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">
          <cell r="A1" t="str">
            <v>Month</v>
          </cell>
          <cell r="B1" t="str">
            <v>Traditional</v>
          </cell>
          <cell r="C1" t="str">
            <v>S&amp;P 500</v>
          </cell>
          <cell r="E1" t="str">
            <v>Month</v>
          </cell>
          <cell r="F1" t="str">
            <v>Traditional</v>
          </cell>
          <cell r="G1" t="str">
            <v>Trad-3mo</v>
          </cell>
          <cell r="H1" t="str">
            <v>BenchMark</v>
          </cell>
          <cell r="I1" t="str">
            <v>S&amp;P500</v>
          </cell>
          <cell r="J1" t="str">
            <v>S&amp;P-3mo</v>
          </cell>
          <cell r="K1" t="str">
            <v>BenchMark</v>
          </cell>
        </row>
        <row r="2">
          <cell r="A2">
            <v>37987</v>
          </cell>
        </row>
        <row r="3">
          <cell r="A3">
            <v>38018</v>
          </cell>
        </row>
        <row r="4">
          <cell r="A4">
            <v>38047</v>
          </cell>
        </row>
        <row r="5">
          <cell r="A5">
            <v>38078</v>
          </cell>
        </row>
        <row r="6">
          <cell r="A6">
            <v>38108</v>
          </cell>
        </row>
        <row r="7">
          <cell r="A7">
            <v>38139</v>
          </cell>
        </row>
        <row r="8">
          <cell r="A8">
            <v>38169</v>
          </cell>
        </row>
        <row r="9">
          <cell r="A9">
            <v>38200</v>
          </cell>
        </row>
        <row r="10">
          <cell r="A10">
            <v>38231</v>
          </cell>
        </row>
        <row r="11">
          <cell r="A11">
            <v>38261</v>
          </cell>
        </row>
        <row r="12">
          <cell r="A12">
            <v>38292</v>
          </cell>
        </row>
        <row r="13">
          <cell r="A13">
            <v>38322</v>
          </cell>
        </row>
        <row r="14">
          <cell r="A14">
            <v>38353</v>
          </cell>
        </row>
        <row r="15">
          <cell r="A15">
            <v>38384</v>
          </cell>
        </row>
        <row r="16">
          <cell r="A16">
            <v>38412</v>
          </cell>
        </row>
        <row r="17">
          <cell r="A17">
            <v>38443</v>
          </cell>
        </row>
        <row r="18">
          <cell r="A18">
            <v>38473</v>
          </cell>
        </row>
        <row r="19">
          <cell r="A19">
            <v>38504</v>
          </cell>
        </row>
        <row r="20">
          <cell r="A20">
            <v>38534</v>
          </cell>
        </row>
        <row r="21">
          <cell r="A21">
            <v>38565</v>
          </cell>
        </row>
        <row r="22">
          <cell r="A22">
            <v>38596</v>
          </cell>
        </row>
        <row r="23">
          <cell r="A23">
            <v>38626</v>
          </cell>
        </row>
        <row r="24">
          <cell r="A24">
            <v>38657</v>
          </cell>
        </row>
        <row r="25">
          <cell r="A25">
            <v>38687</v>
          </cell>
        </row>
        <row r="26">
          <cell r="A26">
            <v>38718</v>
          </cell>
        </row>
        <row r="27">
          <cell r="A27">
            <v>38749</v>
          </cell>
        </row>
        <row r="28">
          <cell r="A28">
            <v>38777</v>
          </cell>
        </row>
        <row r="29">
          <cell r="A29">
            <v>38808</v>
          </cell>
        </row>
        <row r="30">
          <cell r="A30">
            <v>38838</v>
          </cell>
        </row>
        <row r="31">
          <cell r="A31">
            <v>38869</v>
          </cell>
        </row>
        <row r="32">
          <cell r="A32">
            <v>38899</v>
          </cell>
        </row>
        <row r="33">
          <cell r="A33">
            <v>38930</v>
          </cell>
        </row>
        <row r="34">
          <cell r="A34">
            <v>38961</v>
          </cell>
        </row>
        <row r="35">
          <cell r="A35">
            <v>38991</v>
          </cell>
        </row>
        <row r="36">
          <cell r="A36">
            <v>39022</v>
          </cell>
        </row>
        <row r="37">
          <cell r="A37">
            <v>39052</v>
          </cell>
        </row>
      </sheetData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006"/>
  <sheetViews>
    <sheetView tabSelected="1" zoomScale="110" zoomScaleNormal="110" workbookViewId="0">
      <selection activeCell="J6" sqref="J6:N6"/>
    </sheetView>
  </sheetViews>
  <sheetFormatPr defaultRowHeight="15" x14ac:dyDescent="0.25"/>
  <cols>
    <col min="1" max="1" width="9.140625" style="2"/>
    <col min="2" max="2" width="9" style="2" customWidth="1"/>
    <col min="3" max="3" width="10" style="2" customWidth="1"/>
    <col min="4" max="4" width="9.140625" style="2" customWidth="1"/>
    <col min="5" max="5" width="13.28515625" style="2" customWidth="1"/>
    <col min="6" max="6" width="8.42578125" style="2" customWidth="1"/>
    <col min="7" max="7" width="8.5703125" style="2" customWidth="1"/>
    <col min="8" max="8" width="14.85546875" style="2" customWidth="1"/>
    <col min="9" max="9" width="9.140625" style="2" customWidth="1"/>
    <col min="10" max="10" width="13.85546875" style="2" customWidth="1"/>
    <col min="11" max="11" width="12.28515625" style="8" bestFit="1" customWidth="1"/>
    <col min="12" max="12" width="9.140625" style="2"/>
    <col min="13" max="13" width="5.140625" style="2" bestFit="1" customWidth="1"/>
    <col min="14" max="14" width="11.5703125" style="2" bestFit="1" customWidth="1"/>
    <col min="15" max="16384" width="9.140625" style="2"/>
  </cols>
  <sheetData>
    <row r="1" spans="1:14" ht="15.75" thickBot="1" x14ac:dyDescent="0.3">
      <c r="B1" s="3"/>
      <c r="C1" s="4" t="s">
        <v>0</v>
      </c>
      <c r="D1" s="5">
        <v>4000000</v>
      </c>
      <c r="E1" s="6" t="s">
        <v>1</v>
      </c>
      <c r="F1" s="7">
        <v>0.4</v>
      </c>
    </row>
    <row r="2" spans="1:14" ht="15.75" thickBot="1" x14ac:dyDescent="0.3">
      <c r="B2" s="3"/>
      <c r="D2" s="9"/>
      <c r="E2" s="10"/>
      <c r="F2" s="11"/>
      <c r="G2" s="12"/>
    </row>
    <row r="3" spans="1:14" x14ac:dyDescent="0.25">
      <c r="A3" s="2" t="s">
        <v>12</v>
      </c>
      <c r="B3" s="13">
        <v>2</v>
      </c>
      <c r="C3" s="14">
        <v>1.5</v>
      </c>
      <c r="D3" s="15"/>
      <c r="E3" s="16"/>
      <c r="F3" s="17">
        <v>0.02</v>
      </c>
      <c r="G3" s="18"/>
      <c r="H3" s="19"/>
    </row>
    <row r="4" spans="1:14" ht="15.75" thickBot="1" x14ac:dyDescent="0.3">
      <c r="A4" s="2" t="s">
        <v>13</v>
      </c>
      <c r="B4" s="20">
        <v>1</v>
      </c>
      <c r="C4" s="21">
        <v>5</v>
      </c>
      <c r="D4" s="22"/>
      <c r="E4" s="23"/>
      <c r="F4" s="24">
        <v>0.02</v>
      </c>
      <c r="G4" s="25"/>
      <c r="H4" s="26"/>
    </row>
    <row r="5" spans="1:14" ht="15.75" thickBot="1" x14ac:dyDescent="0.3">
      <c r="B5" s="3"/>
      <c r="D5" s="9"/>
      <c r="E5" s="10"/>
      <c r="F5" s="11"/>
      <c r="G5" s="12"/>
    </row>
    <row r="6" spans="1:14" ht="48" thickBot="1" x14ac:dyDescent="0.3">
      <c r="B6" s="1" t="s">
        <v>2</v>
      </c>
      <c r="C6" s="1" t="s">
        <v>3</v>
      </c>
      <c r="D6" s="1" t="s">
        <v>11</v>
      </c>
      <c r="E6" s="1" t="s">
        <v>4</v>
      </c>
      <c r="F6" s="1" t="s">
        <v>5</v>
      </c>
      <c r="G6" s="1" t="s">
        <v>6</v>
      </c>
      <c r="H6" s="1" t="s">
        <v>7</v>
      </c>
      <c r="J6" s="42" t="s">
        <v>14</v>
      </c>
      <c r="K6" s="43"/>
      <c r="L6" s="43"/>
      <c r="M6" s="43"/>
      <c r="N6" s="44"/>
    </row>
    <row r="7" spans="1:14" ht="15.75" thickBot="1" x14ac:dyDescent="0.3">
      <c r="B7" s="27">
        <f t="shared" ref="B7:B38" ca="1" si="0">NORMINV(RAND(),$B$3,$B$4)</f>
        <v>2.2824192843588547</v>
      </c>
      <c r="C7" s="27">
        <f t="shared" ref="C7:C38" ca="1" si="1">NORMINV(RAND(),$C$3,$C$4)</f>
        <v>0.75434728407251106</v>
      </c>
      <c r="D7" s="27">
        <f t="shared" ref="D7:D38" ca="1" si="2">B7*C7</f>
        <v>1.7217367882708263</v>
      </c>
      <c r="E7" s="28">
        <f t="shared" ref="E7:E38" ca="1" si="3">$D$1*(D7+1)</f>
        <v>10886947.153083306</v>
      </c>
      <c r="F7" s="29">
        <f t="shared" ref="F7:F38" ca="1" si="4">NORMINV(RAND(),$F$3,$F$4)</f>
        <v>4.0984156856979426E-2</v>
      </c>
      <c r="G7" s="29">
        <f t="shared" ref="G7:G38" ca="1" si="5">$F$1+F7</f>
        <v>0.44098415685697945</v>
      </c>
      <c r="H7" s="28">
        <f t="shared" ref="H7:H38" ca="1" si="6">E7*G7</f>
        <v>4800971.2110489346</v>
      </c>
      <c r="J7" s="30">
        <f ca="1">AVERAGE($H$7:$H$106)</f>
        <v>6167707.3494105814</v>
      </c>
      <c r="K7" s="31">
        <f ca="1">AVERAGE($H$7:$H$106)</f>
        <v>6167707.3494105814</v>
      </c>
      <c r="M7" s="32" t="s">
        <v>8</v>
      </c>
      <c r="N7" s="33">
        <f ca="1">MIN($K$7:$K$106)</f>
        <v>2037141.9122433052</v>
      </c>
    </row>
    <row r="8" spans="1:14" x14ac:dyDescent="0.25">
      <c r="B8" s="27">
        <f t="shared" ca="1" si="0"/>
        <v>2.1861782789295225</v>
      </c>
      <c r="C8" s="27">
        <f t="shared" ca="1" si="1"/>
        <v>-7.2040216697013832</v>
      </c>
      <c r="D8" s="27">
        <f t="shared" ca="1" si="2"/>
        <v>-15.749275695238754</v>
      </c>
      <c r="E8" s="28">
        <f t="shared" ca="1" si="3"/>
        <v>-58997102.780955017</v>
      </c>
      <c r="F8" s="29">
        <f t="shared" ca="1" si="4"/>
        <v>1.7168202661116141E-2</v>
      </c>
      <c r="G8" s="29">
        <f t="shared" ca="1" si="5"/>
        <v>0.41716820266111615</v>
      </c>
      <c r="H8" s="28">
        <f t="shared" ca="1" si="6"/>
        <v>-24611715.329344142</v>
      </c>
      <c r="J8" s="34">
        <v>2</v>
      </c>
      <c r="K8" s="35">
        <f t="dataTable" ref="K8:K106" dt2D="0" dtr="0" r1="I6" ca="1"/>
        <v>12370481.119923249</v>
      </c>
      <c r="M8" s="32" t="s">
        <v>9</v>
      </c>
      <c r="N8" s="36">
        <f ca="1">MEDIAN($K$7:$K$106)</f>
        <v>6908599.3036083579</v>
      </c>
    </row>
    <row r="9" spans="1:14" ht="15.75" thickBot="1" x14ac:dyDescent="0.3">
      <c r="B9" s="27">
        <f t="shared" ca="1" si="0"/>
        <v>1.8599568515350049</v>
      </c>
      <c r="C9" s="27">
        <f t="shared" ca="1" si="1"/>
        <v>-5.5179743478664092</v>
      </c>
      <c r="D9" s="27">
        <f t="shared" ca="1" si="2"/>
        <v>-10.263194194908529</v>
      </c>
      <c r="E9" s="28">
        <f t="shared" ca="1" si="3"/>
        <v>-37052776.779634118</v>
      </c>
      <c r="F9" s="29">
        <f t="shared" ca="1" si="4"/>
        <v>5.3195640605279204E-2</v>
      </c>
      <c r="G9" s="29">
        <f t="shared" ca="1" si="5"/>
        <v>0.45319564060527923</v>
      </c>
      <c r="H9" s="28">
        <f t="shared" ca="1" si="6"/>
        <v>-16792156.9088507</v>
      </c>
      <c r="J9" s="34">
        <v>3</v>
      </c>
      <c r="K9" s="37">
        <v>7474165.1770527568</v>
      </c>
      <c r="M9" s="38" t="s">
        <v>10</v>
      </c>
      <c r="N9" s="36">
        <f ca="1">MAX($K$7:$K$106)</f>
        <v>12370481.119923249</v>
      </c>
    </row>
    <row r="10" spans="1:14" x14ac:dyDescent="0.25">
      <c r="B10" s="27">
        <f t="shared" ca="1" si="0"/>
        <v>1.485651885341523</v>
      </c>
      <c r="C10" s="27">
        <f t="shared" ca="1" si="1"/>
        <v>3.010984469404681</v>
      </c>
      <c r="D10" s="27">
        <f t="shared" ca="1" si="2"/>
        <v>4.4732747537051099</v>
      </c>
      <c r="E10" s="28">
        <f t="shared" ca="1" si="3"/>
        <v>21893099.014820438</v>
      </c>
      <c r="F10" s="29">
        <f t="shared" ca="1" si="4"/>
        <v>3.3312067680284281E-2</v>
      </c>
      <c r="G10" s="29">
        <f t="shared" ca="1" si="5"/>
        <v>0.4333120676802843</v>
      </c>
      <c r="H10" s="28">
        <f t="shared" ca="1" si="6"/>
        <v>9486544.0020410381</v>
      </c>
      <c r="J10" s="34">
        <v>4</v>
      </c>
      <c r="K10" s="37">
        <v>6558326.8085585507</v>
      </c>
    </row>
    <row r="11" spans="1:14" x14ac:dyDescent="0.25">
      <c r="B11" s="27">
        <f t="shared" ca="1" si="0"/>
        <v>2.702512408917094</v>
      </c>
      <c r="C11" s="27">
        <f t="shared" ca="1" si="1"/>
        <v>1.8461945136715363</v>
      </c>
      <c r="D11" s="27">
        <f t="shared" ca="1" si="2"/>
        <v>4.9893635824719862</v>
      </c>
      <c r="E11" s="28">
        <f t="shared" ca="1" si="3"/>
        <v>23957454.329887945</v>
      </c>
      <c r="F11" s="29">
        <f t="shared" ca="1" si="4"/>
        <v>4.9222560488008972E-2</v>
      </c>
      <c r="G11" s="29">
        <f t="shared" ca="1" si="5"/>
        <v>0.44922256048800902</v>
      </c>
      <c r="H11" s="28">
        <f t="shared" ca="1" si="6"/>
        <v>10762228.976846801</v>
      </c>
      <c r="J11" s="34">
        <v>5</v>
      </c>
      <c r="K11" s="37">
        <v>5686041.9757253993</v>
      </c>
    </row>
    <row r="12" spans="1:14" x14ac:dyDescent="0.25">
      <c r="B12" s="27">
        <f t="shared" ca="1" si="0"/>
        <v>4.4482618155084666</v>
      </c>
      <c r="C12" s="27">
        <f t="shared" ca="1" si="1"/>
        <v>-5.0617550993866161</v>
      </c>
      <c r="D12" s="27">
        <f t="shared" ca="1" si="2"/>
        <v>-22.516011928056749</v>
      </c>
      <c r="E12" s="28">
        <f t="shared" ca="1" si="3"/>
        <v>-86064047.712226987</v>
      </c>
      <c r="F12" s="29">
        <f t="shared" ca="1" si="4"/>
        <v>4.1714236413114662E-2</v>
      </c>
      <c r="G12" s="29">
        <f t="shared" ca="1" si="5"/>
        <v>0.44171423641311469</v>
      </c>
      <c r="H12" s="28">
        <f t="shared" ca="1" si="6"/>
        <v>-38015715.117828213</v>
      </c>
      <c r="J12" s="34">
        <v>6</v>
      </c>
      <c r="K12" s="37">
        <v>4011503.4764307719</v>
      </c>
    </row>
    <row r="13" spans="1:14" x14ac:dyDescent="0.25">
      <c r="B13" s="27">
        <f t="shared" ca="1" si="0"/>
        <v>1.2669596457396393</v>
      </c>
      <c r="C13" s="27">
        <f t="shared" ca="1" si="1"/>
        <v>5.410356081104184</v>
      </c>
      <c r="D13" s="27">
        <f t="shared" ca="1" si="2"/>
        <v>6.8547028238410599</v>
      </c>
      <c r="E13" s="28">
        <f t="shared" ca="1" si="3"/>
        <v>31418811.295364238</v>
      </c>
      <c r="F13" s="29">
        <f t="shared" ca="1" si="4"/>
        <v>4.9182475609699489E-2</v>
      </c>
      <c r="G13" s="29">
        <f t="shared" ca="1" si="5"/>
        <v>0.44918247560969948</v>
      </c>
      <c r="H13" s="28">
        <f t="shared" ca="1" si="6"/>
        <v>14112779.438365698</v>
      </c>
      <c r="J13" s="34">
        <v>7</v>
      </c>
      <c r="K13" s="37">
        <v>5166720.6685392</v>
      </c>
    </row>
    <row r="14" spans="1:14" x14ac:dyDescent="0.25">
      <c r="B14" s="27">
        <f t="shared" ca="1" si="0"/>
        <v>1.5527077719809281</v>
      </c>
      <c r="C14" s="27">
        <f t="shared" ca="1" si="1"/>
        <v>-4.9283323258081904</v>
      </c>
      <c r="D14" s="27">
        <f t="shared" ca="1" si="2"/>
        <v>-7.6522599051872211</v>
      </c>
      <c r="E14" s="28">
        <f t="shared" ca="1" si="3"/>
        <v>-26609039.620748885</v>
      </c>
      <c r="F14" s="29">
        <f t="shared" ca="1" si="4"/>
        <v>2.2938812947841281E-2</v>
      </c>
      <c r="G14" s="29">
        <f t="shared" ca="1" si="5"/>
        <v>0.4229388129478413</v>
      </c>
      <c r="H14" s="28">
        <f t="shared" ca="1" si="6"/>
        <v>-11253995.630881611</v>
      </c>
      <c r="J14" s="34">
        <v>8</v>
      </c>
      <c r="K14" s="37">
        <v>6930279.1309201876</v>
      </c>
    </row>
    <row r="15" spans="1:14" x14ac:dyDescent="0.25">
      <c r="B15" s="27">
        <f t="shared" ca="1" si="0"/>
        <v>3.034588115797745</v>
      </c>
      <c r="C15" s="27">
        <f t="shared" ca="1" si="1"/>
        <v>6.7943432091396216</v>
      </c>
      <c r="D15" s="27">
        <f t="shared" ca="1" si="2"/>
        <v>20.618033157106208</v>
      </c>
      <c r="E15" s="28">
        <f t="shared" ca="1" si="3"/>
        <v>86472132.628424823</v>
      </c>
      <c r="F15" s="29">
        <f t="shared" ca="1" si="4"/>
        <v>-1.026342770155949E-3</v>
      </c>
      <c r="G15" s="29">
        <f t="shared" ca="1" si="5"/>
        <v>0.39897365722984407</v>
      </c>
      <c r="H15" s="28">
        <f t="shared" ca="1" si="6"/>
        <v>34500103.003226779</v>
      </c>
      <c r="J15" s="34">
        <v>9</v>
      </c>
      <c r="K15" s="37">
        <v>4281658.0860104291</v>
      </c>
    </row>
    <row r="16" spans="1:14" x14ac:dyDescent="0.25">
      <c r="B16" s="27">
        <f t="shared" ca="1" si="0"/>
        <v>1.213378604406715</v>
      </c>
      <c r="C16" s="27">
        <f t="shared" ca="1" si="1"/>
        <v>-2.1360678868251095</v>
      </c>
      <c r="D16" s="27">
        <f t="shared" ca="1" si="2"/>
        <v>-2.5918590714338521</v>
      </c>
      <c r="E16" s="28">
        <f t="shared" ca="1" si="3"/>
        <v>-6367436.2857354088</v>
      </c>
      <c r="F16" s="29">
        <f t="shared" ca="1" si="4"/>
        <v>4.3245394429081742E-2</v>
      </c>
      <c r="G16" s="29">
        <f t="shared" ca="1" si="5"/>
        <v>0.44324539442908178</v>
      </c>
      <c r="H16" s="28">
        <f t="shared" ca="1" si="6"/>
        <v>-2822336.8079728386</v>
      </c>
      <c r="J16" s="34">
        <v>10</v>
      </c>
      <c r="K16" s="37">
        <v>7106865.3386762151</v>
      </c>
    </row>
    <row r="17" spans="2:11" x14ac:dyDescent="0.25">
      <c r="B17" s="27">
        <f t="shared" ca="1" si="0"/>
        <v>1.3390494640033954</v>
      </c>
      <c r="C17" s="27">
        <f t="shared" ca="1" si="1"/>
        <v>-5.4670220284099038</v>
      </c>
      <c r="D17" s="27">
        <f t="shared" ca="1" si="2"/>
        <v>-7.3206129168370371</v>
      </c>
      <c r="E17" s="28">
        <f t="shared" ca="1" si="3"/>
        <v>-25282451.66734815</v>
      </c>
      <c r="F17" s="29">
        <f t="shared" ca="1" si="4"/>
        <v>2.7374255282951118E-2</v>
      </c>
      <c r="G17" s="29">
        <f t="shared" ca="1" si="5"/>
        <v>0.42737425528295114</v>
      </c>
      <c r="H17" s="28">
        <f t="shared" ca="1" si="6"/>
        <v>-10805068.953060122</v>
      </c>
      <c r="J17" s="34">
        <v>11</v>
      </c>
      <c r="K17" s="37">
        <v>6866835.388498839</v>
      </c>
    </row>
    <row r="18" spans="2:11" x14ac:dyDescent="0.25">
      <c r="B18" s="27">
        <f t="shared" ca="1" si="0"/>
        <v>2.7460419552776729</v>
      </c>
      <c r="C18" s="27">
        <f t="shared" ca="1" si="1"/>
        <v>-2.5434456179236742</v>
      </c>
      <c r="D18" s="27">
        <f t="shared" ca="1" si="2"/>
        <v>-6.984408377785555</v>
      </c>
      <c r="E18" s="28">
        <f t="shared" ca="1" si="3"/>
        <v>-23937633.51114222</v>
      </c>
      <c r="F18" s="29">
        <f t="shared" ca="1" si="4"/>
        <v>-9.385942622519846E-3</v>
      </c>
      <c r="G18" s="29">
        <f t="shared" ca="1" si="5"/>
        <v>0.39061405737748017</v>
      </c>
      <c r="H18" s="28">
        <f t="shared" ca="1" si="6"/>
        <v>-9350376.1498023998</v>
      </c>
      <c r="J18" s="34">
        <v>12</v>
      </c>
      <c r="K18" s="37">
        <v>8832158.3396075461</v>
      </c>
    </row>
    <row r="19" spans="2:11" x14ac:dyDescent="0.25">
      <c r="B19" s="27">
        <f t="shared" ca="1" si="0"/>
        <v>0.89302659029819598</v>
      </c>
      <c r="C19" s="27">
        <f t="shared" ca="1" si="1"/>
        <v>-5.9624877738354876</v>
      </c>
      <c r="D19" s="27">
        <f t="shared" ca="1" si="2"/>
        <v>-5.3246601263629865</v>
      </c>
      <c r="E19" s="28">
        <f t="shared" ca="1" si="3"/>
        <v>-17298640.505451947</v>
      </c>
      <c r="F19" s="29">
        <f t="shared" ca="1" si="4"/>
        <v>1.8270490211811166E-3</v>
      </c>
      <c r="G19" s="29">
        <f t="shared" ca="1" si="5"/>
        <v>0.40182704902118116</v>
      </c>
      <c r="H19" s="28">
        <f t="shared" ca="1" si="6"/>
        <v>-6951061.6663840301</v>
      </c>
      <c r="J19" s="34">
        <v>13</v>
      </c>
      <c r="K19" s="37">
        <v>7047568.6027243529</v>
      </c>
    </row>
    <row r="20" spans="2:11" x14ac:dyDescent="0.25">
      <c r="B20" s="27">
        <f t="shared" ca="1" si="0"/>
        <v>1.3191748000459245</v>
      </c>
      <c r="C20" s="27">
        <f t="shared" ca="1" si="1"/>
        <v>9.3451968175311642</v>
      </c>
      <c r="D20" s="27">
        <f t="shared" ca="1" si="2"/>
        <v>12.327948143156483</v>
      </c>
      <c r="E20" s="28">
        <f t="shared" ca="1" si="3"/>
        <v>53311792.572625935</v>
      </c>
      <c r="F20" s="29">
        <f t="shared" ca="1" si="4"/>
        <v>1.3444787420874488E-2</v>
      </c>
      <c r="G20" s="29">
        <f t="shared" ca="1" si="5"/>
        <v>0.41344478742087454</v>
      </c>
      <c r="H20" s="28">
        <f t="shared" ca="1" si="6"/>
        <v>22041482.747215088</v>
      </c>
      <c r="J20" s="34">
        <v>14</v>
      </c>
      <c r="K20" s="37">
        <v>5099442.0947509268</v>
      </c>
    </row>
    <row r="21" spans="2:11" x14ac:dyDescent="0.25">
      <c r="B21" s="27">
        <f t="shared" ca="1" si="0"/>
        <v>3.11349050699594</v>
      </c>
      <c r="C21" s="27">
        <f t="shared" ca="1" si="1"/>
        <v>1.3877587254719241</v>
      </c>
      <c r="D21" s="27">
        <f t="shared" ca="1" si="2"/>
        <v>4.3207736177576201</v>
      </c>
      <c r="E21" s="28">
        <f t="shared" ca="1" si="3"/>
        <v>21283094.471030481</v>
      </c>
      <c r="F21" s="29">
        <f t="shared" ca="1" si="4"/>
        <v>5.8760396905730053E-2</v>
      </c>
      <c r="G21" s="29">
        <f t="shared" ca="1" si="5"/>
        <v>0.45876039690573006</v>
      </c>
      <c r="H21" s="28">
        <f t="shared" ca="1" si="6"/>
        <v>9763840.866912093</v>
      </c>
      <c r="J21" s="34">
        <v>15</v>
      </c>
      <c r="K21" s="37">
        <v>5802542.0097604124</v>
      </c>
    </row>
    <row r="22" spans="2:11" x14ac:dyDescent="0.25">
      <c r="B22" s="27">
        <f t="shared" ca="1" si="0"/>
        <v>3.0684238245345465</v>
      </c>
      <c r="C22" s="27">
        <f t="shared" ca="1" si="1"/>
        <v>6.5850961653297428</v>
      </c>
      <c r="D22" s="27">
        <f t="shared" ca="1" si="2"/>
        <v>20.205865960548866</v>
      </c>
      <c r="E22" s="28">
        <f t="shared" ca="1" si="3"/>
        <v>84823463.842195466</v>
      </c>
      <c r="F22" s="29">
        <f t="shared" ca="1" si="4"/>
        <v>3.5005638825382657E-2</v>
      </c>
      <c r="G22" s="29">
        <f t="shared" ca="1" si="5"/>
        <v>0.43500563882538268</v>
      </c>
      <c r="H22" s="28">
        <f t="shared" ca="1" si="6"/>
        <v>36898685.076055989</v>
      </c>
      <c r="J22" s="34">
        <v>16</v>
      </c>
      <c r="K22" s="37">
        <v>9091963.8234914895</v>
      </c>
    </row>
    <row r="23" spans="2:11" x14ac:dyDescent="0.25">
      <c r="B23" s="27">
        <f t="shared" ca="1" si="0"/>
        <v>0.35796614813096772</v>
      </c>
      <c r="C23" s="27">
        <f t="shared" ca="1" si="1"/>
        <v>1.517564057815638</v>
      </c>
      <c r="D23" s="27">
        <f t="shared" ca="1" si="2"/>
        <v>0.54323656031826517</v>
      </c>
      <c r="E23" s="28">
        <f t="shared" ca="1" si="3"/>
        <v>6172946.2412730604</v>
      </c>
      <c r="F23" s="29">
        <f t="shared" ca="1" si="4"/>
        <v>1.6177653074309517E-2</v>
      </c>
      <c r="G23" s="29">
        <f t="shared" ca="1" si="5"/>
        <v>0.41617765307430954</v>
      </c>
      <c r="H23" s="28">
        <f t="shared" ca="1" si="6"/>
        <v>2569042.279246903</v>
      </c>
      <c r="J23" s="34">
        <v>17</v>
      </c>
      <c r="K23" s="37">
        <v>9182207.1752079446</v>
      </c>
    </row>
    <row r="24" spans="2:11" x14ac:dyDescent="0.25">
      <c r="B24" s="27">
        <f t="shared" ca="1" si="0"/>
        <v>1.0112682004611324</v>
      </c>
      <c r="C24" s="27">
        <f t="shared" ca="1" si="1"/>
        <v>2.3361924697569325</v>
      </c>
      <c r="D24" s="27">
        <f t="shared" ca="1" si="2"/>
        <v>2.3625171548219415</v>
      </c>
      <c r="E24" s="28">
        <f t="shared" ca="1" si="3"/>
        <v>13450068.619287767</v>
      </c>
      <c r="F24" s="29">
        <f t="shared" ca="1" si="4"/>
        <v>-4.5831229179278364E-3</v>
      </c>
      <c r="G24" s="29">
        <f t="shared" ca="1" si="5"/>
        <v>0.39541687708207218</v>
      </c>
      <c r="H24" s="28">
        <f t="shared" ca="1" si="6"/>
        <v>5318384.1299783466</v>
      </c>
      <c r="J24" s="34">
        <v>18</v>
      </c>
      <c r="K24" s="37">
        <v>4592535.8100189939</v>
      </c>
    </row>
    <row r="25" spans="2:11" x14ac:dyDescent="0.25">
      <c r="B25" s="27">
        <f t="shared" ca="1" si="0"/>
        <v>2.8744927754845682</v>
      </c>
      <c r="C25" s="27">
        <f t="shared" ca="1" si="1"/>
        <v>0.19573656875578305</v>
      </c>
      <c r="D25" s="27">
        <f t="shared" ca="1" si="2"/>
        <v>0.5626433527866368</v>
      </c>
      <c r="E25" s="28">
        <f t="shared" ca="1" si="3"/>
        <v>6250573.4111465476</v>
      </c>
      <c r="F25" s="29">
        <f t="shared" ca="1" si="4"/>
        <v>3.4364506161377664E-2</v>
      </c>
      <c r="G25" s="29">
        <f t="shared" ca="1" si="5"/>
        <v>0.43436450616137767</v>
      </c>
      <c r="H25" s="28">
        <f t="shared" ca="1" si="6"/>
        <v>2715027.2329581082</v>
      </c>
      <c r="J25" s="34">
        <v>19</v>
      </c>
      <c r="K25" s="37">
        <v>3737067.7706907163</v>
      </c>
    </row>
    <row r="26" spans="2:11" x14ac:dyDescent="0.25">
      <c r="B26" s="27">
        <f t="shared" ca="1" si="0"/>
        <v>2.9451933179929481</v>
      </c>
      <c r="C26" s="27">
        <f t="shared" ca="1" si="1"/>
        <v>2.2628993738558294</v>
      </c>
      <c r="D26" s="27">
        <f t="shared" ca="1" si="2"/>
        <v>6.6646761151706153</v>
      </c>
      <c r="E26" s="28">
        <f t="shared" ca="1" si="3"/>
        <v>30658704.460682463</v>
      </c>
      <c r="F26" s="29">
        <f t="shared" ca="1" si="4"/>
        <v>-1.1410623156895092E-2</v>
      </c>
      <c r="G26" s="29">
        <f t="shared" ca="1" si="5"/>
        <v>0.38858937684310491</v>
      </c>
      <c r="H26" s="28">
        <f t="shared" ca="1" si="6"/>
        <v>11913646.861193519</v>
      </c>
      <c r="J26" s="34">
        <v>20</v>
      </c>
      <c r="K26" s="37">
        <v>2037141.9122433052</v>
      </c>
    </row>
    <row r="27" spans="2:11" x14ac:dyDescent="0.25">
      <c r="B27" s="27">
        <f t="shared" ca="1" si="0"/>
        <v>1.3119287779935975</v>
      </c>
      <c r="C27" s="27">
        <f t="shared" ca="1" si="1"/>
        <v>5.6516101136942147</v>
      </c>
      <c r="D27" s="27">
        <f t="shared" ca="1" si="2"/>
        <v>7.4145099501551082</v>
      </c>
      <c r="E27" s="28">
        <f t="shared" ca="1" si="3"/>
        <v>33658039.800620429</v>
      </c>
      <c r="F27" s="29">
        <f t="shared" ca="1" si="4"/>
        <v>2.0668775709039335E-2</v>
      </c>
      <c r="G27" s="29">
        <f t="shared" ca="1" si="5"/>
        <v>0.42066877570903938</v>
      </c>
      <c r="H27" s="28">
        <f t="shared" ca="1" si="6"/>
        <v>14158886.395693116</v>
      </c>
      <c r="J27" s="34">
        <v>21</v>
      </c>
      <c r="K27" s="37">
        <v>7286990.1567664063</v>
      </c>
    </row>
    <row r="28" spans="2:11" x14ac:dyDescent="0.25">
      <c r="B28" s="27">
        <f t="shared" ca="1" si="0"/>
        <v>1.8357078487672871</v>
      </c>
      <c r="C28" s="27">
        <f t="shared" ca="1" si="1"/>
        <v>1.1013129583338719</v>
      </c>
      <c r="D28" s="27">
        <f t="shared" ca="1" si="2"/>
        <v>2.0216888415626086</v>
      </c>
      <c r="E28" s="28">
        <f t="shared" ca="1" si="3"/>
        <v>12086755.366250435</v>
      </c>
      <c r="F28" s="29">
        <f t="shared" ca="1" si="4"/>
        <v>5.9926974984684758E-2</v>
      </c>
      <c r="G28" s="29">
        <f t="shared" ca="1" si="5"/>
        <v>0.45992697498468477</v>
      </c>
      <c r="H28" s="28">
        <f t="shared" ca="1" si="6"/>
        <v>5559024.8329794677</v>
      </c>
      <c r="J28" s="34">
        <v>22</v>
      </c>
      <c r="K28" s="37">
        <v>5681336.5286746146</v>
      </c>
    </row>
    <row r="29" spans="2:11" x14ac:dyDescent="0.25">
      <c r="B29" s="27">
        <f t="shared" ca="1" si="0"/>
        <v>1.9374280386060434</v>
      </c>
      <c r="C29" s="27">
        <f t="shared" ca="1" si="1"/>
        <v>1.6814782428618016</v>
      </c>
      <c r="D29" s="27">
        <f t="shared" ca="1" si="2"/>
        <v>3.2577430940264764</v>
      </c>
      <c r="E29" s="28">
        <f t="shared" ca="1" si="3"/>
        <v>17030972.376105908</v>
      </c>
      <c r="F29" s="29">
        <f t="shared" ca="1" si="4"/>
        <v>-9.8468938351195384E-3</v>
      </c>
      <c r="G29" s="29">
        <f t="shared" ca="1" si="5"/>
        <v>0.39015310616488047</v>
      </c>
      <c r="H29" s="28">
        <f t="shared" ca="1" si="6"/>
        <v>6644686.7735459954</v>
      </c>
      <c r="J29" s="34">
        <v>23</v>
      </c>
      <c r="K29" s="37">
        <v>7198060.1918480061</v>
      </c>
    </row>
    <row r="30" spans="2:11" x14ac:dyDescent="0.25">
      <c r="B30" s="27">
        <f t="shared" ca="1" si="0"/>
        <v>0.99988311461269364</v>
      </c>
      <c r="C30" s="27">
        <f t="shared" ca="1" si="1"/>
        <v>12.200134426906638</v>
      </c>
      <c r="D30" s="27">
        <f t="shared" ca="1" si="2"/>
        <v>12.19870840946896</v>
      </c>
      <c r="E30" s="28">
        <f t="shared" ca="1" si="3"/>
        <v>52794833.63787584</v>
      </c>
      <c r="F30" s="29">
        <f t="shared" ca="1" si="4"/>
        <v>1.5244983174369224E-2</v>
      </c>
      <c r="G30" s="29">
        <f t="shared" ca="1" si="5"/>
        <v>0.41524498317436925</v>
      </c>
      <c r="H30" s="28">
        <f t="shared" ca="1" si="6"/>
        <v>21922789.805653378</v>
      </c>
      <c r="J30" s="34">
        <v>24</v>
      </c>
      <c r="K30" s="37">
        <v>8306655.5427852282</v>
      </c>
    </row>
    <row r="31" spans="2:11" x14ac:dyDescent="0.25">
      <c r="B31" s="27">
        <f t="shared" ca="1" si="0"/>
        <v>2.0182243790729579</v>
      </c>
      <c r="C31" s="27">
        <f t="shared" ca="1" si="1"/>
        <v>10.368293154762689</v>
      </c>
      <c r="D31" s="27">
        <f t="shared" ca="1" si="2"/>
        <v>20.92554201431733</v>
      </c>
      <c r="E31" s="28">
        <f t="shared" ca="1" si="3"/>
        <v>87702168.05726932</v>
      </c>
      <c r="F31" s="29">
        <f t="shared" ca="1" si="4"/>
        <v>3.0706332837576351E-2</v>
      </c>
      <c r="G31" s="29">
        <f t="shared" ca="1" si="5"/>
        <v>0.43070633283757637</v>
      </c>
      <c r="H31" s="28">
        <f t="shared" ca="1" si="6"/>
        <v>37773879.185851298</v>
      </c>
      <c r="J31" s="34">
        <v>25</v>
      </c>
      <c r="K31" s="37">
        <v>7039268.995525361</v>
      </c>
    </row>
    <row r="32" spans="2:11" x14ac:dyDescent="0.25">
      <c r="B32" s="27">
        <f t="shared" ca="1" si="0"/>
        <v>1.0824719165057113</v>
      </c>
      <c r="C32" s="27">
        <f t="shared" ca="1" si="1"/>
        <v>-2.1689846829009873E-2</v>
      </c>
      <c r="D32" s="27">
        <f t="shared" ca="1" si="2"/>
        <v>-2.3478650065713643E-2</v>
      </c>
      <c r="E32" s="28">
        <f t="shared" ca="1" si="3"/>
        <v>3906085.3997371458</v>
      </c>
      <c r="F32" s="29">
        <f t="shared" ca="1" si="4"/>
        <v>3.5427511935134812E-2</v>
      </c>
      <c r="G32" s="29">
        <f t="shared" ca="1" si="5"/>
        <v>0.43542751193513485</v>
      </c>
      <c r="H32" s="28">
        <f t="shared" ca="1" si="6"/>
        <v>1700817.0470137021</v>
      </c>
      <c r="J32" s="34">
        <v>26</v>
      </c>
      <c r="K32" s="37">
        <v>8950925.7555965856</v>
      </c>
    </row>
    <row r="33" spans="2:11" x14ac:dyDescent="0.25">
      <c r="B33" s="27">
        <f t="shared" ca="1" si="0"/>
        <v>1.7042109468148179</v>
      </c>
      <c r="C33" s="27">
        <f t="shared" ca="1" si="1"/>
        <v>-1.9491052115184733</v>
      </c>
      <c r="D33" s="27">
        <f t="shared" ca="1" si="2"/>
        <v>-3.3216864379635931</v>
      </c>
      <c r="E33" s="28">
        <f t="shared" ca="1" si="3"/>
        <v>-9286745.7518543731</v>
      </c>
      <c r="F33" s="29">
        <f t="shared" ca="1" si="4"/>
        <v>1.5571673447113916E-2</v>
      </c>
      <c r="G33" s="29">
        <f t="shared" ca="1" si="5"/>
        <v>0.41557167344711393</v>
      </c>
      <c r="H33" s="28">
        <f t="shared" ca="1" si="6"/>
        <v>-3859308.4729759982</v>
      </c>
      <c r="J33" s="34">
        <v>27</v>
      </c>
      <c r="K33" s="37">
        <v>6096622.8373220153</v>
      </c>
    </row>
    <row r="34" spans="2:11" x14ac:dyDescent="0.25">
      <c r="B34" s="27">
        <f t="shared" ca="1" si="0"/>
        <v>1.0740231304391021</v>
      </c>
      <c r="C34" s="27">
        <f t="shared" ca="1" si="1"/>
        <v>1.9587236524240188</v>
      </c>
      <c r="D34" s="27">
        <f t="shared" ca="1" si="2"/>
        <v>2.1037145088415565</v>
      </c>
      <c r="E34" s="28">
        <f t="shared" ca="1" si="3"/>
        <v>12414858.035366226</v>
      </c>
      <c r="F34" s="29">
        <f t="shared" ca="1" si="4"/>
        <v>2.582042960996013E-2</v>
      </c>
      <c r="G34" s="29">
        <f t="shared" ca="1" si="5"/>
        <v>0.42582042960996014</v>
      </c>
      <c r="H34" s="28">
        <f t="shared" ca="1" si="6"/>
        <v>5286500.1821663119</v>
      </c>
      <c r="J34" s="34">
        <v>28</v>
      </c>
      <c r="K34" s="37">
        <v>6850745.5649802061</v>
      </c>
    </row>
    <row r="35" spans="2:11" x14ac:dyDescent="0.25">
      <c r="B35" s="27">
        <f t="shared" ca="1" si="0"/>
        <v>1.627800834591091</v>
      </c>
      <c r="C35" s="27">
        <f t="shared" ca="1" si="1"/>
        <v>6.9774887707250173</v>
      </c>
      <c r="D35" s="27">
        <f t="shared" ca="1" si="2"/>
        <v>11.35796204433615</v>
      </c>
      <c r="E35" s="28">
        <f t="shared" ca="1" si="3"/>
        <v>49431848.177344598</v>
      </c>
      <c r="F35" s="29">
        <f t="shared" ca="1" si="4"/>
        <v>2.2959579062341189E-2</v>
      </c>
      <c r="G35" s="29">
        <f t="shared" ca="1" si="5"/>
        <v>0.42295957906234122</v>
      </c>
      <c r="H35" s="28">
        <f t="shared" ca="1" si="6"/>
        <v>20907673.697363231</v>
      </c>
      <c r="J35" s="34">
        <v>29</v>
      </c>
      <c r="K35" s="37">
        <v>10486337.670947166</v>
      </c>
    </row>
    <row r="36" spans="2:11" x14ac:dyDescent="0.25">
      <c r="B36" s="27">
        <f t="shared" ca="1" si="0"/>
        <v>1.9169719392361999</v>
      </c>
      <c r="C36" s="27">
        <f t="shared" ca="1" si="1"/>
        <v>2.1287585225447545</v>
      </c>
      <c r="D36" s="27">
        <f t="shared" ca="1" si="2"/>
        <v>4.080770353128206</v>
      </c>
      <c r="E36" s="28">
        <f t="shared" ca="1" si="3"/>
        <v>20323081.412512824</v>
      </c>
      <c r="F36" s="29">
        <f t="shared" ca="1" si="4"/>
        <v>1.8634115691543079E-2</v>
      </c>
      <c r="G36" s="29">
        <f t="shared" ca="1" si="5"/>
        <v>0.41863411569154307</v>
      </c>
      <c r="H36" s="28">
        <f t="shared" ca="1" si="6"/>
        <v>8507935.2152545415</v>
      </c>
      <c r="J36" s="34">
        <v>30</v>
      </c>
      <c r="K36" s="37">
        <v>7020309.159403746</v>
      </c>
    </row>
    <row r="37" spans="2:11" x14ac:dyDescent="0.25">
      <c r="B37" s="27">
        <f t="shared" ca="1" si="0"/>
        <v>2.6999214768433464</v>
      </c>
      <c r="C37" s="27">
        <f t="shared" ca="1" si="1"/>
        <v>9.5045758565300638</v>
      </c>
      <c r="D37" s="27">
        <f t="shared" ca="1" si="2"/>
        <v>25.661608483332262</v>
      </c>
      <c r="E37" s="28">
        <f t="shared" ca="1" si="3"/>
        <v>106646433.93332905</v>
      </c>
      <c r="F37" s="29">
        <f t="shared" ca="1" si="4"/>
        <v>3.092892296171125E-2</v>
      </c>
      <c r="G37" s="29">
        <f t="shared" ca="1" si="5"/>
        <v>0.43092892296171126</v>
      </c>
      <c r="H37" s="28">
        <f t="shared" ca="1" si="6"/>
        <v>45957032.912596785</v>
      </c>
      <c r="J37" s="34">
        <v>31</v>
      </c>
      <c r="K37" s="37">
        <v>8438880.0435032919</v>
      </c>
    </row>
    <row r="38" spans="2:11" x14ac:dyDescent="0.25">
      <c r="B38" s="27">
        <f t="shared" ca="1" si="0"/>
        <v>1.6655951067714683</v>
      </c>
      <c r="C38" s="27">
        <f t="shared" ca="1" si="1"/>
        <v>2.1479188353734218</v>
      </c>
      <c r="D38" s="27">
        <f t="shared" ca="1" si="2"/>
        <v>3.5775631019402421</v>
      </c>
      <c r="E38" s="28">
        <f t="shared" ca="1" si="3"/>
        <v>18310252.40776097</v>
      </c>
      <c r="F38" s="29">
        <f t="shared" ca="1" si="4"/>
        <v>2.2808845572745758E-2</v>
      </c>
      <c r="G38" s="29">
        <f t="shared" ca="1" si="5"/>
        <v>0.42280884557274578</v>
      </c>
      <c r="H38" s="28">
        <f t="shared" ca="1" si="6"/>
        <v>7741736.6826710049</v>
      </c>
      <c r="J38" s="34">
        <v>32</v>
      </c>
      <c r="K38" s="37">
        <v>2664423.9168796521</v>
      </c>
    </row>
    <row r="39" spans="2:11" x14ac:dyDescent="0.25">
      <c r="B39" s="27">
        <f t="shared" ref="B39:B70" ca="1" si="7">NORMINV(RAND(),$B$3,$B$4)</f>
        <v>1.6584622040224852</v>
      </c>
      <c r="C39" s="27">
        <f t="shared" ref="C39:C70" ca="1" si="8">NORMINV(RAND(),$C$3,$C$4)</f>
        <v>3.9163188423902651</v>
      </c>
      <c r="D39" s="27">
        <f t="shared" ref="D39:D70" ca="1" si="9">B39*C39</f>
        <v>6.4950667790053469</v>
      </c>
      <c r="E39" s="28">
        <f t="shared" ref="E39:E70" ca="1" si="10">$D$1*(D39+1)</f>
        <v>29980267.116021387</v>
      </c>
      <c r="F39" s="29">
        <f t="shared" ref="F39:F70" ca="1" si="11">NORMINV(RAND(),$F$3,$F$4)</f>
        <v>3.131451431287624E-2</v>
      </c>
      <c r="G39" s="29">
        <f t="shared" ref="G39:G70" ca="1" si="12">$F$1+F39</f>
        <v>0.43131451431287626</v>
      </c>
      <c r="H39" s="28">
        <f t="shared" ref="H39:H70" ca="1" si="13">E39*G39</f>
        <v>12930924.350117059</v>
      </c>
      <c r="J39" s="34">
        <v>33</v>
      </c>
      <c r="K39" s="37">
        <v>11888719.585151615</v>
      </c>
    </row>
    <row r="40" spans="2:11" x14ac:dyDescent="0.25">
      <c r="B40" s="27">
        <f t="shared" ca="1" si="7"/>
        <v>3.0785408656312869</v>
      </c>
      <c r="C40" s="27">
        <f t="shared" ca="1" si="8"/>
        <v>-5.2541382093534299</v>
      </c>
      <c r="D40" s="27">
        <f t="shared" ca="1" si="9"/>
        <v>-16.175079191169328</v>
      </c>
      <c r="E40" s="28">
        <f t="shared" ca="1" si="10"/>
        <v>-60700316.764677308</v>
      </c>
      <c r="F40" s="29">
        <f t="shared" ca="1" si="11"/>
        <v>2.9649898370696384E-2</v>
      </c>
      <c r="G40" s="29">
        <f t="shared" ca="1" si="12"/>
        <v>0.42964989837069639</v>
      </c>
      <c r="H40" s="28">
        <f t="shared" ca="1" si="13"/>
        <v>-26079884.929012682</v>
      </c>
      <c r="J40" s="34">
        <v>34</v>
      </c>
      <c r="K40" s="37">
        <v>9205452.7810792476</v>
      </c>
    </row>
    <row r="41" spans="2:11" x14ac:dyDescent="0.25">
      <c r="B41" s="27">
        <f t="shared" ca="1" si="7"/>
        <v>-3.8274609578001773E-2</v>
      </c>
      <c r="C41" s="27">
        <f t="shared" ca="1" si="8"/>
        <v>9.9799502177874526</v>
      </c>
      <c r="D41" s="27">
        <f t="shared" ca="1" si="9"/>
        <v>-0.3819786981937085</v>
      </c>
      <c r="E41" s="28">
        <f t="shared" ca="1" si="10"/>
        <v>2472085.2072251658</v>
      </c>
      <c r="F41" s="29">
        <f t="shared" ca="1" si="11"/>
        <v>4.5598214958154498E-2</v>
      </c>
      <c r="G41" s="29">
        <f t="shared" ca="1" si="12"/>
        <v>0.44559821495815455</v>
      </c>
      <c r="H41" s="28">
        <f t="shared" ca="1" si="13"/>
        <v>1101556.7555639935</v>
      </c>
      <c r="J41" s="34">
        <v>35</v>
      </c>
      <c r="K41" s="37">
        <v>6895949.3133621132</v>
      </c>
    </row>
    <row r="42" spans="2:11" x14ac:dyDescent="0.25">
      <c r="B42" s="27">
        <f t="shared" ca="1" si="7"/>
        <v>4.1208122317667204</v>
      </c>
      <c r="C42" s="27">
        <f t="shared" ca="1" si="8"/>
        <v>2.8570127436807988</v>
      </c>
      <c r="D42" s="27">
        <f t="shared" ca="1" si="9"/>
        <v>11.773213060473234</v>
      </c>
      <c r="E42" s="28">
        <f t="shared" ca="1" si="10"/>
        <v>51092852.241892934</v>
      </c>
      <c r="F42" s="29">
        <f t="shared" ca="1" si="11"/>
        <v>6.3030071151856035E-3</v>
      </c>
      <c r="G42" s="29">
        <f t="shared" ca="1" si="12"/>
        <v>0.40630300711518563</v>
      </c>
      <c r="H42" s="28">
        <f t="shared" ca="1" si="13"/>
        <v>20759179.507972952</v>
      </c>
      <c r="J42" s="34">
        <v>36</v>
      </c>
      <c r="K42" s="37">
        <v>11012159.461486513</v>
      </c>
    </row>
    <row r="43" spans="2:11" x14ac:dyDescent="0.25">
      <c r="B43" s="27">
        <f t="shared" ca="1" si="7"/>
        <v>1.8804861455447868</v>
      </c>
      <c r="C43" s="27">
        <f t="shared" ca="1" si="8"/>
        <v>14.897741937802472</v>
      </c>
      <c r="D43" s="27">
        <f t="shared" ca="1" si="9"/>
        <v>28.014997313939094</v>
      </c>
      <c r="E43" s="28">
        <f t="shared" ca="1" si="10"/>
        <v>116059989.25575638</v>
      </c>
      <c r="F43" s="29">
        <f t="shared" ca="1" si="11"/>
        <v>1.4023001421388138E-2</v>
      </c>
      <c r="G43" s="29">
        <f t="shared" ca="1" si="12"/>
        <v>0.41402300142138815</v>
      </c>
      <c r="H43" s="28">
        <f t="shared" ca="1" si="13"/>
        <v>48051505.096602313</v>
      </c>
      <c r="J43" s="34">
        <v>37</v>
      </c>
      <c r="K43" s="37">
        <v>6785625.243173182</v>
      </c>
    </row>
    <row r="44" spans="2:11" x14ac:dyDescent="0.25">
      <c r="B44" s="27">
        <f t="shared" ca="1" si="7"/>
        <v>1.2659094666729993</v>
      </c>
      <c r="C44" s="27">
        <f t="shared" ca="1" si="8"/>
        <v>3.387342726537617</v>
      </c>
      <c r="D44" s="27">
        <f t="shared" ca="1" si="9"/>
        <v>4.2880692243898979</v>
      </c>
      <c r="E44" s="28">
        <f t="shared" ca="1" si="10"/>
        <v>21152276.897559591</v>
      </c>
      <c r="F44" s="29">
        <f t="shared" ca="1" si="11"/>
        <v>2.0684127204015728E-2</v>
      </c>
      <c r="G44" s="29">
        <f t="shared" ca="1" si="12"/>
        <v>0.42068412720401577</v>
      </c>
      <c r="H44" s="28">
        <f t="shared" ca="1" si="13"/>
        <v>8898427.145027522</v>
      </c>
      <c r="J44" s="34">
        <v>38</v>
      </c>
      <c r="K44" s="37">
        <v>6452215.7630510936</v>
      </c>
    </row>
    <row r="45" spans="2:11" x14ac:dyDescent="0.25">
      <c r="B45" s="27">
        <f t="shared" ca="1" si="7"/>
        <v>1.7631793127355879</v>
      </c>
      <c r="C45" s="27">
        <f t="shared" ca="1" si="8"/>
        <v>2.8198612475255485</v>
      </c>
      <c r="D45" s="27">
        <f t="shared" ca="1" si="9"/>
        <v>4.9719210164218142</v>
      </c>
      <c r="E45" s="28">
        <f t="shared" ca="1" si="10"/>
        <v>23887684.065687258</v>
      </c>
      <c r="F45" s="29">
        <f t="shared" ca="1" si="11"/>
        <v>2.3166951327298641E-2</v>
      </c>
      <c r="G45" s="29">
        <f t="shared" ca="1" si="12"/>
        <v>0.42316695132729865</v>
      </c>
      <c r="H45" s="28">
        <f t="shared" ca="1" si="13"/>
        <v>10108478.440346567</v>
      </c>
      <c r="J45" s="34">
        <v>39</v>
      </c>
      <c r="K45" s="37">
        <v>9034256.7922829185</v>
      </c>
    </row>
    <row r="46" spans="2:11" x14ac:dyDescent="0.25">
      <c r="B46" s="27">
        <f t="shared" ca="1" si="7"/>
        <v>1.1763412192637697</v>
      </c>
      <c r="C46" s="27">
        <f t="shared" ca="1" si="8"/>
        <v>-2.5123646552261008</v>
      </c>
      <c r="D46" s="27">
        <f t="shared" ca="1" si="9"/>
        <v>-2.9553981017638717</v>
      </c>
      <c r="E46" s="28">
        <f t="shared" ca="1" si="10"/>
        <v>-7821592.4070554869</v>
      </c>
      <c r="F46" s="29">
        <f t="shared" ca="1" si="11"/>
        <v>-9.7130002497724036E-4</v>
      </c>
      <c r="G46" s="29">
        <f t="shared" ca="1" si="12"/>
        <v>0.39902869997502277</v>
      </c>
      <c r="H46" s="28">
        <f t="shared" ca="1" si="13"/>
        <v>-3121039.8499218603</v>
      </c>
      <c r="J46" s="34">
        <v>40</v>
      </c>
      <c r="K46" s="37">
        <v>8973326.9070234429</v>
      </c>
    </row>
    <row r="47" spans="2:11" x14ac:dyDescent="0.25">
      <c r="B47" s="27">
        <f t="shared" ca="1" si="7"/>
        <v>0.88443118290913647</v>
      </c>
      <c r="C47" s="27">
        <f t="shared" ca="1" si="8"/>
        <v>2.650247374249612</v>
      </c>
      <c r="D47" s="27">
        <f t="shared" ca="1" si="9"/>
        <v>2.3439614202094172</v>
      </c>
      <c r="E47" s="28">
        <f t="shared" ca="1" si="10"/>
        <v>13375845.680837668</v>
      </c>
      <c r="F47" s="29">
        <f t="shared" ca="1" si="11"/>
        <v>2.8363318380531442E-2</v>
      </c>
      <c r="G47" s="29">
        <f t="shared" ca="1" si="12"/>
        <v>0.42836331838053149</v>
      </c>
      <c r="H47" s="28">
        <f t="shared" ca="1" si="13"/>
        <v>5729721.6419895235</v>
      </c>
      <c r="J47" s="34">
        <v>41</v>
      </c>
      <c r="K47" s="37">
        <v>7981240.5552593973</v>
      </c>
    </row>
    <row r="48" spans="2:11" x14ac:dyDescent="0.25">
      <c r="B48" s="27">
        <f t="shared" ca="1" si="7"/>
        <v>4.1026890634996036</v>
      </c>
      <c r="C48" s="27">
        <f t="shared" ca="1" si="8"/>
        <v>-2.92862330469843</v>
      </c>
      <c r="D48" s="27">
        <f t="shared" ca="1" si="9"/>
        <v>-12.015230803296316</v>
      </c>
      <c r="E48" s="28">
        <f t="shared" ca="1" si="10"/>
        <v>-44060923.213185266</v>
      </c>
      <c r="F48" s="29">
        <f t="shared" ca="1" si="11"/>
        <v>2.6801654438810548E-2</v>
      </c>
      <c r="G48" s="29">
        <f t="shared" ca="1" si="12"/>
        <v>0.42680165443881057</v>
      </c>
      <c r="H48" s="28">
        <f t="shared" ca="1" si="13"/>
        <v>-18805274.923488867</v>
      </c>
      <c r="J48" s="34">
        <v>42</v>
      </c>
      <c r="K48" s="37">
        <v>8383541.6035404075</v>
      </c>
    </row>
    <row r="49" spans="2:11" x14ac:dyDescent="0.25">
      <c r="B49" s="27">
        <f t="shared" ca="1" si="7"/>
        <v>3.7918782563092774</v>
      </c>
      <c r="C49" s="27">
        <f t="shared" ca="1" si="8"/>
        <v>-1.1219325694292643</v>
      </c>
      <c r="D49" s="27">
        <f t="shared" ca="1" si="9"/>
        <v>-4.2542317150640265</v>
      </c>
      <c r="E49" s="28">
        <f t="shared" ca="1" si="10"/>
        <v>-13016926.860256106</v>
      </c>
      <c r="F49" s="29">
        <f t="shared" ca="1" si="11"/>
        <v>3.5317397966771608E-3</v>
      </c>
      <c r="G49" s="29">
        <f t="shared" ca="1" si="12"/>
        <v>0.40353173979667717</v>
      </c>
      <c r="H49" s="28">
        <f t="shared" ca="1" si="13"/>
        <v>-5252743.1427252451</v>
      </c>
      <c r="J49" s="34">
        <v>43</v>
      </c>
      <c r="K49" s="37">
        <v>6921249.2938546017</v>
      </c>
    </row>
    <row r="50" spans="2:11" x14ac:dyDescent="0.25">
      <c r="B50" s="27">
        <f t="shared" ca="1" si="7"/>
        <v>3.3054965691175555</v>
      </c>
      <c r="C50" s="27">
        <f t="shared" ca="1" si="8"/>
        <v>0.68452360135503354</v>
      </c>
      <c r="D50" s="27">
        <f t="shared" ca="1" si="9"/>
        <v>2.2626904157590566</v>
      </c>
      <c r="E50" s="28">
        <f t="shared" ca="1" si="10"/>
        <v>13050761.663036227</v>
      </c>
      <c r="F50" s="29">
        <f t="shared" ca="1" si="11"/>
        <v>1.4664601899278186E-2</v>
      </c>
      <c r="G50" s="29">
        <f t="shared" ca="1" si="12"/>
        <v>0.41466460189927823</v>
      </c>
      <c r="H50" s="28">
        <f t="shared" ca="1" si="13"/>
        <v>5411688.8894852791</v>
      </c>
      <c r="J50" s="34">
        <v>44</v>
      </c>
      <c r="K50" s="37">
        <v>5557603.6869408842</v>
      </c>
    </row>
    <row r="51" spans="2:11" x14ac:dyDescent="0.25">
      <c r="B51" s="27">
        <f t="shared" ca="1" si="7"/>
        <v>1.3602383715285122</v>
      </c>
      <c r="C51" s="27">
        <f t="shared" ca="1" si="8"/>
        <v>-3.0467610629356887</v>
      </c>
      <c r="D51" s="27">
        <f t="shared" ca="1" si="9"/>
        <v>-4.1443213066841205</v>
      </c>
      <c r="E51" s="28">
        <f t="shared" ca="1" si="10"/>
        <v>-12577285.226736482</v>
      </c>
      <c r="F51" s="29">
        <f t="shared" ca="1" si="11"/>
        <v>2.0822352340145074E-2</v>
      </c>
      <c r="G51" s="29">
        <f t="shared" ca="1" si="12"/>
        <v>0.42082235234014509</v>
      </c>
      <c r="H51" s="28">
        <f t="shared" ca="1" si="13"/>
        <v>-5292802.7551682014</v>
      </c>
      <c r="J51" s="34">
        <v>45</v>
      </c>
      <c r="K51" s="37">
        <v>7198564.6507789874</v>
      </c>
    </row>
    <row r="52" spans="2:11" x14ac:dyDescent="0.25">
      <c r="B52" s="27">
        <f t="shared" ca="1" si="7"/>
        <v>1.2181679881130349</v>
      </c>
      <c r="C52" s="27">
        <f t="shared" ca="1" si="8"/>
        <v>8.8431721493319877</v>
      </c>
      <c r="D52" s="27">
        <f t="shared" ca="1" si="9"/>
        <v>10.772469225688971</v>
      </c>
      <c r="E52" s="28">
        <f t="shared" ca="1" si="10"/>
        <v>47089876.902755886</v>
      </c>
      <c r="F52" s="29">
        <f t="shared" ca="1" si="11"/>
        <v>8.3771131993422062E-3</v>
      </c>
      <c r="G52" s="29">
        <f t="shared" ca="1" si="12"/>
        <v>0.40837711319934222</v>
      </c>
      <c r="H52" s="28">
        <f t="shared" ca="1" si="13"/>
        <v>19230427.99045983</v>
      </c>
      <c r="J52" s="34">
        <v>46</v>
      </c>
      <c r="K52" s="37">
        <v>6455370.5575459143</v>
      </c>
    </row>
    <row r="53" spans="2:11" x14ac:dyDescent="0.25">
      <c r="B53" s="27">
        <f t="shared" ca="1" si="7"/>
        <v>1.2158136073194195</v>
      </c>
      <c r="C53" s="27">
        <f t="shared" ca="1" si="8"/>
        <v>1.7741464218863126</v>
      </c>
      <c r="D53" s="27">
        <f t="shared" ca="1" si="9"/>
        <v>2.1570313611064384</v>
      </c>
      <c r="E53" s="28">
        <f t="shared" ca="1" si="10"/>
        <v>12628125.444425754</v>
      </c>
      <c r="F53" s="29">
        <f t="shared" ca="1" si="11"/>
        <v>2.7119499088766517E-2</v>
      </c>
      <c r="G53" s="29">
        <f t="shared" ca="1" si="12"/>
        <v>0.42711949908876656</v>
      </c>
      <c r="H53" s="28">
        <f t="shared" ca="1" si="13"/>
        <v>5393718.614253236</v>
      </c>
      <c r="J53" s="34">
        <v>47</v>
      </c>
      <c r="K53" s="37">
        <v>8211717.0695622358</v>
      </c>
    </row>
    <row r="54" spans="2:11" x14ac:dyDescent="0.25">
      <c r="B54" s="27">
        <f t="shared" ca="1" si="7"/>
        <v>1.0458199734981388</v>
      </c>
      <c r="C54" s="27">
        <f t="shared" ca="1" si="8"/>
        <v>10.923574101892662</v>
      </c>
      <c r="D54" s="27">
        <f t="shared" ca="1" si="9"/>
        <v>11.42409197774634</v>
      </c>
      <c r="E54" s="28">
        <f t="shared" ca="1" si="10"/>
        <v>49696367.910985358</v>
      </c>
      <c r="F54" s="29">
        <f t="shared" ca="1" si="11"/>
        <v>1.7200412521861004E-2</v>
      </c>
      <c r="G54" s="29">
        <f t="shared" ca="1" si="12"/>
        <v>0.41720041252186102</v>
      </c>
      <c r="H54" s="28">
        <f t="shared" ca="1" si="13"/>
        <v>20733345.193301268</v>
      </c>
      <c r="J54" s="34">
        <v>48</v>
      </c>
      <c r="K54" s="37">
        <v>7769805.0241377344</v>
      </c>
    </row>
    <row r="55" spans="2:11" x14ac:dyDescent="0.25">
      <c r="B55" s="27">
        <f t="shared" ca="1" si="7"/>
        <v>0.21717575248067567</v>
      </c>
      <c r="C55" s="27">
        <f t="shared" ca="1" si="8"/>
        <v>3.6677385966510947</v>
      </c>
      <c r="D55" s="27">
        <f t="shared" ca="1" si="9"/>
        <v>0.79654388963011891</v>
      </c>
      <c r="E55" s="28">
        <f t="shared" ca="1" si="10"/>
        <v>7186175.5585204754</v>
      </c>
      <c r="F55" s="29">
        <f t="shared" ca="1" si="11"/>
        <v>6.0511365631172279E-2</v>
      </c>
      <c r="G55" s="29">
        <f t="shared" ca="1" si="12"/>
        <v>0.46051136563117229</v>
      </c>
      <c r="H55" s="28">
        <f t="shared" ca="1" si="13"/>
        <v>3309315.5201196163</v>
      </c>
      <c r="J55" s="34">
        <v>49</v>
      </c>
      <c r="K55" s="37">
        <v>10215412.741535852</v>
      </c>
    </row>
    <row r="56" spans="2:11" x14ac:dyDescent="0.25">
      <c r="B56" s="27">
        <f t="shared" ca="1" si="7"/>
        <v>2.4909721879630107</v>
      </c>
      <c r="C56" s="27">
        <f t="shared" ca="1" si="8"/>
        <v>-11.652794543021217</v>
      </c>
      <c r="D56" s="27">
        <f t="shared" ca="1" si="9"/>
        <v>-29.026787118712992</v>
      </c>
      <c r="E56" s="28">
        <f t="shared" ca="1" si="10"/>
        <v>-112107148.47485197</v>
      </c>
      <c r="F56" s="29">
        <f t="shared" ca="1" si="11"/>
        <v>-4.5309927256161377E-3</v>
      </c>
      <c r="G56" s="29">
        <f t="shared" ca="1" si="12"/>
        <v>0.39546900727438389</v>
      </c>
      <c r="H56" s="28">
        <f t="shared" ca="1" si="13"/>
        <v>-44334902.715711668</v>
      </c>
      <c r="J56" s="34">
        <v>50</v>
      </c>
      <c r="K56" s="37">
        <v>7566339.7299597589</v>
      </c>
    </row>
    <row r="57" spans="2:11" x14ac:dyDescent="0.25">
      <c r="B57" s="27">
        <f t="shared" ca="1" si="7"/>
        <v>3.2865059269595855</v>
      </c>
      <c r="C57" s="27">
        <f t="shared" ca="1" si="8"/>
        <v>8.1481906121458962</v>
      </c>
      <c r="D57" s="27">
        <f t="shared" ca="1" si="9"/>
        <v>26.779076740813942</v>
      </c>
      <c r="E57" s="28">
        <f t="shared" ca="1" si="10"/>
        <v>111116306.96325576</v>
      </c>
      <c r="F57" s="29">
        <f t="shared" ca="1" si="11"/>
        <v>1.6732276239152084E-2</v>
      </c>
      <c r="G57" s="29">
        <f t="shared" ca="1" si="12"/>
        <v>0.4167322762391521</v>
      </c>
      <c r="H57" s="28">
        <f t="shared" ca="1" si="13"/>
        <v>46305751.528085917</v>
      </c>
      <c r="J57" s="34">
        <v>51</v>
      </c>
      <c r="K57" s="37">
        <v>5117878.9855063651</v>
      </c>
    </row>
    <row r="58" spans="2:11" x14ac:dyDescent="0.25">
      <c r="B58" s="27">
        <f t="shared" ca="1" si="7"/>
        <v>1.1317246577794824</v>
      </c>
      <c r="C58" s="27">
        <f t="shared" ca="1" si="8"/>
        <v>1.720665126131729</v>
      </c>
      <c r="D58" s="27">
        <f t="shared" ca="1" si="9"/>
        <v>1.9473191510245209</v>
      </c>
      <c r="E58" s="28">
        <f t="shared" ca="1" si="10"/>
        <v>11789276.604098085</v>
      </c>
      <c r="F58" s="29">
        <f t="shared" ca="1" si="11"/>
        <v>3.6468404513167733E-2</v>
      </c>
      <c r="G58" s="29">
        <f t="shared" ca="1" si="12"/>
        <v>0.43646840451316776</v>
      </c>
      <c r="H58" s="28">
        <f t="shared" ca="1" si="13"/>
        <v>5145646.7497551078</v>
      </c>
      <c r="J58" s="34">
        <v>52</v>
      </c>
      <c r="K58" s="37">
        <v>6877693.2804048304</v>
      </c>
    </row>
    <row r="59" spans="2:11" x14ac:dyDescent="0.25">
      <c r="B59" s="27">
        <f t="shared" ca="1" si="7"/>
        <v>2.9717538112158515</v>
      </c>
      <c r="C59" s="27">
        <f t="shared" ca="1" si="8"/>
        <v>-0.86341260302898526</v>
      </c>
      <c r="D59" s="27">
        <f t="shared" ca="1" si="9"/>
        <v>-2.5658496937031861</v>
      </c>
      <c r="E59" s="28">
        <f t="shared" ca="1" si="10"/>
        <v>-6263398.774812744</v>
      </c>
      <c r="F59" s="29">
        <f t="shared" ca="1" si="11"/>
        <v>2.3858318937563655E-3</v>
      </c>
      <c r="G59" s="29">
        <f t="shared" ca="1" si="12"/>
        <v>0.40238583189375637</v>
      </c>
      <c r="H59" s="28">
        <f t="shared" ca="1" si="13"/>
        <v>-2520302.9264853606</v>
      </c>
      <c r="J59" s="34">
        <v>53</v>
      </c>
      <c r="K59" s="37">
        <v>9621672.4738868494</v>
      </c>
    </row>
    <row r="60" spans="2:11" x14ac:dyDescent="0.25">
      <c r="B60" s="27">
        <f t="shared" ca="1" si="7"/>
        <v>1.1227063200236926</v>
      </c>
      <c r="C60" s="27">
        <f t="shared" ca="1" si="8"/>
        <v>5.5883499781641266</v>
      </c>
      <c r="D60" s="27">
        <f t="shared" ca="1" si="9"/>
        <v>6.2740758389891296</v>
      </c>
      <c r="E60" s="28">
        <f t="shared" ca="1" si="10"/>
        <v>29096303.355956517</v>
      </c>
      <c r="F60" s="29">
        <f t="shared" ca="1" si="11"/>
        <v>1.5720362016999983E-2</v>
      </c>
      <c r="G60" s="29">
        <f t="shared" ca="1" si="12"/>
        <v>0.41572036201700002</v>
      </c>
      <c r="H60" s="28">
        <f t="shared" ca="1" si="13"/>
        <v>12095925.764494697</v>
      </c>
      <c r="J60" s="34">
        <v>54</v>
      </c>
      <c r="K60" s="37">
        <v>8854399.0529101323</v>
      </c>
    </row>
    <row r="61" spans="2:11" x14ac:dyDescent="0.25">
      <c r="B61" s="27">
        <f t="shared" ca="1" si="7"/>
        <v>4.313388284022416</v>
      </c>
      <c r="C61" s="27">
        <f t="shared" ca="1" si="8"/>
        <v>0.50004144054373212</v>
      </c>
      <c r="D61" s="27">
        <f t="shared" ca="1" si="9"/>
        <v>2.1568728911670259</v>
      </c>
      <c r="E61" s="28">
        <f t="shared" ca="1" si="10"/>
        <v>12627491.564668104</v>
      </c>
      <c r="F61" s="29">
        <f t="shared" ca="1" si="11"/>
        <v>2.6383145366052404E-2</v>
      </c>
      <c r="G61" s="29">
        <f t="shared" ca="1" si="12"/>
        <v>0.42638314536605243</v>
      </c>
      <c r="H61" s="28">
        <f t="shared" ca="1" si="13"/>
        <v>5384149.571426481</v>
      </c>
      <c r="J61" s="34">
        <v>55</v>
      </c>
      <c r="K61" s="37">
        <v>6799841.0120728686</v>
      </c>
    </row>
    <row r="62" spans="2:11" x14ac:dyDescent="0.25">
      <c r="B62" s="27">
        <f t="shared" ca="1" si="7"/>
        <v>1.6918902497933113</v>
      </c>
      <c r="C62" s="27">
        <f t="shared" ca="1" si="8"/>
        <v>-0.25079472909586276</v>
      </c>
      <c r="D62" s="27">
        <f t="shared" ca="1" si="9"/>
        <v>-0.42431715685684507</v>
      </c>
      <c r="E62" s="28">
        <f t="shared" ca="1" si="10"/>
        <v>2302731.3725726195</v>
      </c>
      <c r="F62" s="29">
        <f t="shared" ca="1" si="11"/>
        <v>1.2565319762567449E-2</v>
      </c>
      <c r="G62" s="29">
        <f t="shared" ca="1" si="12"/>
        <v>0.4125653197625675</v>
      </c>
      <c r="H62" s="28">
        <f t="shared" ca="1" si="13"/>
        <v>950027.10505271866</v>
      </c>
      <c r="J62" s="34">
        <v>56</v>
      </c>
      <c r="K62" s="37">
        <v>5241795.9678983428</v>
      </c>
    </row>
    <row r="63" spans="2:11" x14ac:dyDescent="0.25">
      <c r="B63" s="27">
        <f t="shared" ca="1" si="7"/>
        <v>1.2231228353727159</v>
      </c>
      <c r="C63" s="27">
        <f t="shared" ca="1" si="8"/>
        <v>2.0998657924387221</v>
      </c>
      <c r="D63" s="27">
        <f t="shared" ca="1" si="9"/>
        <v>2.5683938019498247</v>
      </c>
      <c r="E63" s="28">
        <f t="shared" ca="1" si="10"/>
        <v>14273575.207799299</v>
      </c>
      <c r="F63" s="29">
        <f t="shared" ca="1" si="11"/>
        <v>2.6154379709897129E-2</v>
      </c>
      <c r="G63" s="29">
        <f t="shared" ca="1" si="12"/>
        <v>0.42615437970989717</v>
      </c>
      <c r="H63" s="28">
        <f t="shared" ca="1" si="13"/>
        <v>6082746.5889222771</v>
      </c>
      <c r="J63" s="34">
        <v>57</v>
      </c>
      <c r="K63" s="37">
        <v>6652574.6491786018</v>
      </c>
    </row>
    <row r="64" spans="2:11" x14ac:dyDescent="0.25">
      <c r="B64" s="27">
        <f t="shared" ca="1" si="7"/>
        <v>0.6373062067099271</v>
      </c>
      <c r="C64" s="27">
        <f t="shared" ca="1" si="8"/>
        <v>10.506692910997744</v>
      </c>
      <c r="D64" s="27">
        <f t="shared" ca="1" si="9"/>
        <v>6.6959806041740544</v>
      </c>
      <c r="E64" s="28">
        <f t="shared" ca="1" si="10"/>
        <v>30783922.416696217</v>
      </c>
      <c r="F64" s="29">
        <f t="shared" ca="1" si="11"/>
        <v>2.9634898915063226E-2</v>
      </c>
      <c r="G64" s="29">
        <f t="shared" ca="1" si="12"/>
        <v>0.42963489891506323</v>
      </c>
      <c r="H64" s="28">
        <f t="shared" ca="1" si="13"/>
        <v>13225847.395706428</v>
      </c>
      <c r="J64" s="34">
        <v>58</v>
      </c>
      <c r="K64" s="37">
        <v>9890233.4769910257</v>
      </c>
    </row>
    <row r="65" spans="2:11" x14ac:dyDescent="0.25">
      <c r="B65" s="27">
        <f t="shared" ca="1" si="7"/>
        <v>2.6956263842178481</v>
      </c>
      <c r="C65" s="27">
        <f t="shared" ca="1" si="8"/>
        <v>8.2269501486935663</v>
      </c>
      <c r="D65" s="27">
        <f t="shared" ca="1" si="9"/>
        <v>22.176783882463326</v>
      </c>
      <c r="E65" s="28">
        <f t="shared" ca="1" si="10"/>
        <v>92707135.529853299</v>
      </c>
      <c r="F65" s="29">
        <f t="shared" ca="1" si="11"/>
        <v>2.4713629106974271E-2</v>
      </c>
      <c r="G65" s="29">
        <f t="shared" ca="1" si="12"/>
        <v>0.4247136291069743</v>
      </c>
      <c r="H65" s="28">
        <f t="shared" ca="1" si="13"/>
        <v>39373983.974996112</v>
      </c>
      <c r="J65" s="34">
        <v>59</v>
      </c>
      <c r="K65" s="37">
        <v>7085241.6163271554</v>
      </c>
    </row>
    <row r="66" spans="2:11" x14ac:dyDescent="0.25">
      <c r="B66" s="27">
        <f t="shared" ca="1" si="7"/>
        <v>1.3910699420808035</v>
      </c>
      <c r="C66" s="27">
        <f t="shared" ca="1" si="8"/>
        <v>2.7677762964775261</v>
      </c>
      <c r="D66" s="27">
        <f t="shared" ca="1" si="9"/>
        <v>3.8501704124336129</v>
      </c>
      <c r="E66" s="28">
        <f t="shared" ca="1" si="10"/>
        <v>19400681.649734452</v>
      </c>
      <c r="F66" s="29">
        <f t="shared" ca="1" si="11"/>
        <v>4.3012543791367833E-2</v>
      </c>
      <c r="G66" s="29">
        <f t="shared" ca="1" si="12"/>
        <v>0.44301254379136784</v>
      </c>
      <c r="H66" s="28">
        <f t="shared" ca="1" si="13"/>
        <v>8594745.3289353698</v>
      </c>
      <c r="J66" s="34">
        <v>60</v>
      </c>
      <c r="K66" s="37">
        <v>5756335.2470447663</v>
      </c>
    </row>
    <row r="67" spans="2:11" x14ac:dyDescent="0.25">
      <c r="B67" s="27">
        <f t="shared" ca="1" si="7"/>
        <v>3.6029232610101549</v>
      </c>
      <c r="C67" s="27">
        <f t="shared" ca="1" si="8"/>
        <v>2.3923722079854537</v>
      </c>
      <c r="D67" s="27">
        <f t="shared" ca="1" si="9"/>
        <v>8.6195334771450156</v>
      </c>
      <c r="E67" s="28">
        <f t="shared" ca="1" si="10"/>
        <v>38478133.908580065</v>
      </c>
      <c r="F67" s="29">
        <f t="shared" ca="1" si="11"/>
        <v>1.7210253644080603E-3</v>
      </c>
      <c r="G67" s="29">
        <f t="shared" ca="1" si="12"/>
        <v>0.40172102536440807</v>
      </c>
      <c r="H67" s="28">
        <f t="shared" ca="1" si="13"/>
        <v>15457475.407863783</v>
      </c>
      <c r="J67" s="34">
        <v>61</v>
      </c>
      <c r="K67" s="37">
        <v>7057307.3460303042</v>
      </c>
    </row>
    <row r="68" spans="2:11" x14ac:dyDescent="0.25">
      <c r="B68" s="27">
        <f t="shared" ca="1" si="7"/>
        <v>2.4315103797771349</v>
      </c>
      <c r="C68" s="27">
        <f t="shared" ca="1" si="8"/>
        <v>3.6820954924387923</v>
      </c>
      <c r="D68" s="27">
        <f t="shared" ca="1" si="9"/>
        <v>8.9530534091955243</v>
      </c>
      <c r="E68" s="28">
        <f t="shared" ca="1" si="10"/>
        <v>39812213.636782095</v>
      </c>
      <c r="F68" s="29">
        <f t="shared" ca="1" si="11"/>
        <v>2.7206857064316532E-2</v>
      </c>
      <c r="G68" s="29">
        <f t="shared" ca="1" si="12"/>
        <v>0.42720685706431655</v>
      </c>
      <c r="H68" s="28">
        <f t="shared" ca="1" si="13"/>
        <v>17008050.660542801</v>
      </c>
      <c r="J68" s="34">
        <v>62</v>
      </c>
      <c r="K68" s="37">
        <v>6141753.9706000397</v>
      </c>
    </row>
    <row r="69" spans="2:11" x14ac:dyDescent="0.25">
      <c r="B69" s="27">
        <f t="shared" ca="1" si="7"/>
        <v>2.8538438116712332</v>
      </c>
      <c r="C69" s="27">
        <f t="shared" ca="1" si="8"/>
        <v>4.9807106100999929</v>
      </c>
      <c r="D69" s="27">
        <f t="shared" ca="1" si="9"/>
        <v>14.214170152359117</v>
      </c>
      <c r="E69" s="28">
        <f t="shared" ca="1" si="10"/>
        <v>60856680.609436467</v>
      </c>
      <c r="F69" s="29">
        <f t="shared" ca="1" si="11"/>
        <v>1.0285627835171337E-2</v>
      </c>
      <c r="G69" s="29">
        <f t="shared" ca="1" si="12"/>
        <v>0.41028562783517136</v>
      </c>
      <c r="H69" s="28">
        <f t="shared" ca="1" si="13"/>
        <v>24968621.411807138</v>
      </c>
      <c r="J69" s="34">
        <v>63</v>
      </c>
      <c r="K69" s="37">
        <v>7637979.4960558768</v>
      </c>
    </row>
    <row r="70" spans="2:11" x14ac:dyDescent="0.25">
      <c r="B70" s="27">
        <f t="shared" ca="1" si="7"/>
        <v>2.2762519581306053</v>
      </c>
      <c r="C70" s="27">
        <f t="shared" ca="1" si="8"/>
        <v>6.8928320655867736E-3</v>
      </c>
      <c r="D70" s="27">
        <f t="shared" ca="1" si="9"/>
        <v>1.5689822486357318E-2</v>
      </c>
      <c r="E70" s="28">
        <f t="shared" ca="1" si="10"/>
        <v>4062759.2899454292</v>
      </c>
      <c r="F70" s="29">
        <f t="shared" ca="1" si="11"/>
        <v>2.1183714790814073E-3</v>
      </c>
      <c r="G70" s="29">
        <f t="shared" ca="1" si="12"/>
        <v>0.40211837147908142</v>
      </c>
      <c r="H70" s="28">
        <f t="shared" ca="1" si="13"/>
        <v>1633710.1493843652</v>
      </c>
      <c r="J70" s="34">
        <v>64</v>
      </c>
      <c r="K70" s="37">
        <v>5327408.8954824898</v>
      </c>
    </row>
    <row r="71" spans="2:11" x14ac:dyDescent="0.25">
      <c r="B71" s="27">
        <f t="shared" ref="B71:B106" ca="1" si="14">NORMINV(RAND(),$B$3,$B$4)</f>
        <v>2.1929760510412741</v>
      </c>
      <c r="C71" s="27">
        <f t="shared" ref="C71:C106" ca="1" si="15">NORMINV(RAND(),$C$3,$C$4)</f>
        <v>3.733798649592396</v>
      </c>
      <c r="D71" s="27">
        <f t="shared" ref="D71:D102" ca="1" si="16">B71*C71</f>
        <v>8.1881310179663753</v>
      </c>
      <c r="E71" s="28">
        <f t="shared" ref="E71:E102" ca="1" si="17">$D$1*(D71+1)</f>
        <v>36752524.071865499</v>
      </c>
      <c r="F71" s="29">
        <f t="shared" ref="F71:F106" ca="1" si="18">NORMINV(RAND(),$F$3,$F$4)</f>
        <v>9.2436340070908354E-3</v>
      </c>
      <c r="G71" s="29">
        <f t="shared" ref="G71:G102" ca="1" si="19">$F$1+F71</f>
        <v>0.40924363400709085</v>
      </c>
      <c r="H71" s="28">
        <f t="shared" ref="H71:H102" ca="1" si="20">E71*G71</f>
        <v>15040736.510103321</v>
      </c>
      <c r="J71" s="34">
        <v>65</v>
      </c>
      <c r="K71" s="37">
        <v>8364121.4168989062</v>
      </c>
    </row>
    <row r="72" spans="2:11" x14ac:dyDescent="0.25">
      <c r="B72" s="27">
        <f t="shared" ca="1" si="14"/>
        <v>1.3513223765350804</v>
      </c>
      <c r="C72" s="27">
        <f t="shared" ca="1" si="15"/>
        <v>-0.14082744277427173</v>
      </c>
      <c r="D72" s="27">
        <f t="shared" ca="1" si="16"/>
        <v>-0.1903032746510869</v>
      </c>
      <c r="E72" s="28">
        <f t="shared" ca="1" si="17"/>
        <v>3238786.9013956524</v>
      </c>
      <c r="F72" s="29">
        <f t="shared" ca="1" si="18"/>
        <v>1.954068395570242E-2</v>
      </c>
      <c r="G72" s="29">
        <f t="shared" ca="1" si="19"/>
        <v>0.41954068395570243</v>
      </c>
      <c r="H72" s="28">
        <f t="shared" ca="1" si="20"/>
        <v>1358802.8717983023</v>
      </c>
      <c r="J72" s="34">
        <v>66</v>
      </c>
      <c r="K72" s="37">
        <v>6708887.8248032089</v>
      </c>
    </row>
    <row r="73" spans="2:11" x14ac:dyDescent="0.25">
      <c r="B73" s="27">
        <f t="shared" ca="1" si="14"/>
        <v>0.60118901664225644</v>
      </c>
      <c r="C73" s="27">
        <f t="shared" ca="1" si="15"/>
        <v>3.876111206239127</v>
      </c>
      <c r="D73" s="27">
        <f t="shared" ca="1" si="16"/>
        <v>2.3302754844749312</v>
      </c>
      <c r="E73" s="28">
        <f t="shared" ca="1" si="17"/>
        <v>13321101.937899726</v>
      </c>
      <c r="F73" s="29">
        <f t="shared" ca="1" si="18"/>
        <v>-4.1415575034140679E-3</v>
      </c>
      <c r="G73" s="29">
        <f t="shared" ca="1" si="19"/>
        <v>0.39585844249658597</v>
      </c>
      <c r="H73" s="28">
        <f t="shared" ca="1" si="20"/>
        <v>5273270.6654752381</v>
      </c>
      <c r="J73" s="34">
        <v>67</v>
      </c>
      <c r="K73" s="37">
        <v>5137542.2381331185</v>
      </c>
    </row>
    <row r="74" spans="2:11" x14ac:dyDescent="0.25">
      <c r="B74" s="27">
        <f t="shared" ca="1" si="14"/>
        <v>1.3494471985853571</v>
      </c>
      <c r="C74" s="27">
        <f t="shared" ca="1" si="15"/>
        <v>-0.99919463553680865</v>
      </c>
      <c r="D74" s="27">
        <f t="shared" ca="1" si="16"/>
        <v>-1.3483604017666633</v>
      </c>
      <c r="E74" s="28">
        <f t="shared" ca="1" si="17"/>
        <v>-1393441.6070666532</v>
      </c>
      <c r="F74" s="29">
        <f t="shared" ca="1" si="18"/>
        <v>-7.8402825804927308E-3</v>
      </c>
      <c r="G74" s="29">
        <f t="shared" ca="1" si="19"/>
        <v>0.39215971741950728</v>
      </c>
      <c r="H74" s="28">
        <f t="shared" ca="1" si="20"/>
        <v>-546451.66686784278</v>
      </c>
      <c r="J74" s="34">
        <v>68</v>
      </c>
      <c r="K74" s="37">
        <v>3354439.4319013669</v>
      </c>
    </row>
    <row r="75" spans="2:11" x14ac:dyDescent="0.25">
      <c r="B75" s="27">
        <f t="shared" ca="1" si="14"/>
        <v>1.0731342653993443</v>
      </c>
      <c r="C75" s="27">
        <f t="shared" ca="1" si="15"/>
        <v>-1.4567456668448404</v>
      </c>
      <c r="D75" s="27">
        <f t="shared" ca="1" si="16"/>
        <v>-1.5632836910632157</v>
      </c>
      <c r="E75" s="28">
        <f t="shared" ca="1" si="17"/>
        <v>-2253134.7642528629</v>
      </c>
      <c r="F75" s="29">
        <f t="shared" ca="1" si="18"/>
        <v>3.4165914532305275E-2</v>
      </c>
      <c r="G75" s="29">
        <f t="shared" ca="1" si="19"/>
        <v>0.4341659145323053</v>
      </c>
      <c r="H75" s="28">
        <f t="shared" ca="1" si="20"/>
        <v>-978234.31548637431</v>
      </c>
      <c r="J75" s="34">
        <v>69</v>
      </c>
      <c r="K75" s="37">
        <v>10301731.764945442</v>
      </c>
    </row>
    <row r="76" spans="2:11" x14ac:dyDescent="0.25">
      <c r="B76" s="27">
        <f t="shared" ca="1" si="14"/>
        <v>1.4162749397890568</v>
      </c>
      <c r="C76" s="27">
        <f t="shared" ca="1" si="15"/>
        <v>-6.2061673896408598</v>
      </c>
      <c r="D76" s="27">
        <f t="shared" ca="1" si="16"/>
        <v>-8.7896393460844173</v>
      </c>
      <c r="E76" s="28">
        <f t="shared" ca="1" si="17"/>
        <v>-31158557.384337671</v>
      </c>
      <c r="F76" s="29">
        <f t="shared" ca="1" si="18"/>
        <v>1.2139738077668051E-2</v>
      </c>
      <c r="G76" s="29">
        <f t="shared" ca="1" si="19"/>
        <v>0.41213973807766807</v>
      </c>
      <c r="H76" s="28">
        <f t="shared" ca="1" si="20"/>
        <v>-12841679.679258918</v>
      </c>
      <c r="J76" s="34">
        <v>70</v>
      </c>
      <c r="K76" s="37">
        <v>5826206.0587262996</v>
      </c>
    </row>
    <row r="77" spans="2:11" x14ac:dyDescent="0.25">
      <c r="B77" s="27">
        <f t="shared" ca="1" si="14"/>
        <v>0.88973228107980629</v>
      </c>
      <c r="C77" s="27">
        <f t="shared" ca="1" si="15"/>
        <v>2.9026244680948463</v>
      </c>
      <c r="D77" s="27">
        <f t="shared" ca="1" si="16"/>
        <v>2.582558689116087</v>
      </c>
      <c r="E77" s="28">
        <f t="shared" ca="1" si="17"/>
        <v>14330234.756464347</v>
      </c>
      <c r="F77" s="29">
        <f t="shared" ca="1" si="18"/>
        <v>4.5072467848396636E-2</v>
      </c>
      <c r="G77" s="29">
        <f t="shared" ca="1" si="19"/>
        <v>0.44507246784839666</v>
      </c>
      <c r="H77" s="28">
        <f t="shared" ca="1" si="20"/>
        <v>6377992.9479064541</v>
      </c>
      <c r="J77" s="34">
        <v>71</v>
      </c>
      <c r="K77" s="37">
        <v>9238981.3828736003</v>
      </c>
    </row>
    <row r="78" spans="2:11" x14ac:dyDescent="0.25">
      <c r="B78" s="27">
        <f t="shared" ca="1" si="14"/>
        <v>0.70232311556241012</v>
      </c>
      <c r="C78" s="27">
        <f t="shared" ca="1" si="15"/>
        <v>-1.5731173500078555</v>
      </c>
      <c r="D78" s="27">
        <f t="shared" ca="1" si="16"/>
        <v>-1.1048366784027994</v>
      </c>
      <c r="E78" s="28">
        <f t="shared" ca="1" si="17"/>
        <v>-419346.71361119766</v>
      </c>
      <c r="F78" s="29">
        <f t="shared" ca="1" si="18"/>
        <v>4.8068060817286776E-2</v>
      </c>
      <c r="G78" s="29">
        <f t="shared" ca="1" si="19"/>
        <v>0.44806806081728678</v>
      </c>
      <c r="H78" s="28">
        <f t="shared" ca="1" si="20"/>
        <v>-187895.86877787145</v>
      </c>
      <c r="J78" s="34">
        <v>72</v>
      </c>
      <c r="K78" s="37">
        <v>11038393.770013377</v>
      </c>
    </row>
    <row r="79" spans="2:11" x14ac:dyDescent="0.25">
      <c r="B79" s="27">
        <f t="shared" ca="1" si="14"/>
        <v>2.4843358610661572</v>
      </c>
      <c r="C79" s="27">
        <f t="shared" ca="1" si="15"/>
        <v>-0.52591879815485232</v>
      </c>
      <c r="D79" s="27">
        <f t="shared" ca="1" si="16"/>
        <v>-1.3065589302649137</v>
      </c>
      <c r="E79" s="28">
        <f t="shared" ca="1" si="17"/>
        <v>-1226235.7210596546</v>
      </c>
      <c r="F79" s="29">
        <f t="shared" ca="1" si="18"/>
        <v>2.4810576173402054E-2</v>
      </c>
      <c r="G79" s="29">
        <f t="shared" ca="1" si="19"/>
        <v>0.42481057617340207</v>
      </c>
      <c r="H79" s="28">
        <f t="shared" ca="1" si="20"/>
        <v>-520917.90318775899</v>
      </c>
      <c r="J79" s="34">
        <v>73</v>
      </c>
      <c r="K79" s="37">
        <v>7799446.0314233257</v>
      </c>
    </row>
    <row r="80" spans="2:11" x14ac:dyDescent="0.25">
      <c r="B80" s="27">
        <f t="shared" ca="1" si="14"/>
        <v>1.3379385760417324</v>
      </c>
      <c r="C80" s="27">
        <f t="shared" ca="1" si="15"/>
        <v>8.5865522928947762</v>
      </c>
      <c r="D80" s="27">
        <f t="shared" ca="1" si="16"/>
        <v>11.48827954786351</v>
      </c>
      <c r="E80" s="28">
        <f t="shared" ca="1" si="17"/>
        <v>49953118.191454038</v>
      </c>
      <c r="F80" s="29">
        <f t="shared" ca="1" si="18"/>
        <v>-4.5987771630518967E-4</v>
      </c>
      <c r="G80" s="29">
        <f t="shared" ca="1" si="19"/>
        <v>0.39954012228369484</v>
      </c>
      <c r="H80" s="28">
        <f t="shared" ca="1" si="20"/>
        <v>19958274.950665407</v>
      </c>
      <c r="J80" s="34">
        <v>74</v>
      </c>
      <c r="K80" s="37">
        <v>4844826.5734220482</v>
      </c>
    </row>
    <row r="81" spans="2:11" x14ac:dyDescent="0.25">
      <c r="B81" s="27">
        <f t="shared" ca="1" si="14"/>
        <v>3.4841762913383043</v>
      </c>
      <c r="C81" s="27">
        <f t="shared" ca="1" si="15"/>
        <v>2.2397175321972367</v>
      </c>
      <c r="D81" s="27">
        <f t="shared" ca="1" si="16"/>
        <v>7.8035707249763471</v>
      </c>
      <c r="E81" s="28">
        <f t="shared" ca="1" si="17"/>
        <v>35214282.899905384</v>
      </c>
      <c r="F81" s="29">
        <f t="shared" ca="1" si="18"/>
        <v>3.2126976193932788E-2</v>
      </c>
      <c r="G81" s="29">
        <f t="shared" ca="1" si="19"/>
        <v>0.43212697619393281</v>
      </c>
      <c r="H81" s="28">
        <f t="shared" ca="1" si="20"/>
        <v>15217041.588373829</v>
      </c>
      <c r="J81" s="34">
        <v>75</v>
      </c>
      <c r="K81" s="37">
        <v>4960542.367029733</v>
      </c>
    </row>
    <row r="82" spans="2:11" x14ac:dyDescent="0.25">
      <c r="B82" s="27">
        <f t="shared" ca="1" si="14"/>
        <v>1.2720613647378829</v>
      </c>
      <c r="C82" s="27">
        <f t="shared" ca="1" si="15"/>
        <v>5.4726137581920842</v>
      </c>
      <c r="D82" s="27">
        <f t="shared" ca="1" si="16"/>
        <v>6.9615005259291367</v>
      </c>
      <c r="E82" s="28">
        <f t="shared" ca="1" si="17"/>
        <v>31846002.103716549</v>
      </c>
      <c r="F82" s="29">
        <f t="shared" ca="1" si="18"/>
        <v>2.2995391439712649E-2</v>
      </c>
      <c r="G82" s="29">
        <f t="shared" ca="1" si="19"/>
        <v>0.42299539143971265</v>
      </c>
      <c r="H82" s="28">
        <f t="shared" ca="1" si="20"/>
        <v>13470712.125651494</v>
      </c>
      <c r="J82" s="34">
        <v>76</v>
      </c>
      <c r="K82" s="37">
        <v>7251720.3740917621</v>
      </c>
    </row>
    <row r="83" spans="2:11" x14ac:dyDescent="0.25">
      <c r="B83" s="27">
        <f t="shared" ca="1" si="14"/>
        <v>1.6876360285177574</v>
      </c>
      <c r="C83" s="27">
        <f t="shared" ca="1" si="15"/>
        <v>-7.6082497919691559</v>
      </c>
      <c r="D83" s="27">
        <f t="shared" ca="1" si="16"/>
        <v>-12.83995646288988</v>
      </c>
      <c r="E83" s="28">
        <f t="shared" ca="1" si="17"/>
        <v>-47359825.85155952</v>
      </c>
      <c r="F83" s="29">
        <f t="shared" ca="1" si="18"/>
        <v>2.060639739781181E-2</v>
      </c>
      <c r="G83" s="29">
        <f t="shared" ca="1" si="19"/>
        <v>0.4206063973978118</v>
      </c>
      <c r="H83" s="28">
        <f t="shared" ca="1" si="20"/>
        <v>-19919845.732812203</v>
      </c>
      <c r="J83" s="34">
        <v>77</v>
      </c>
      <c r="K83" s="37">
        <v>7417971.0800502254</v>
      </c>
    </row>
    <row r="84" spans="2:11" x14ac:dyDescent="0.25">
      <c r="B84" s="27">
        <f t="shared" ca="1" si="14"/>
        <v>0.14910205173858948</v>
      </c>
      <c r="C84" s="27">
        <f t="shared" ca="1" si="15"/>
        <v>6.3224762612427128</v>
      </c>
      <c r="D84" s="27">
        <f t="shared" ca="1" si="16"/>
        <v>0.94269418261981475</v>
      </c>
      <c r="E84" s="28">
        <f t="shared" ca="1" si="17"/>
        <v>7770776.730479259</v>
      </c>
      <c r="F84" s="29">
        <f t="shared" ca="1" si="18"/>
        <v>-1.7254597190468474E-2</v>
      </c>
      <c r="G84" s="29">
        <f t="shared" ca="1" si="19"/>
        <v>0.38274540280953157</v>
      </c>
      <c r="H84" s="28">
        <f t="shared" ca="1" si="20"/>
        <v>2974229.0698502185</v>
      </c>
      <c r="J84" s="34">
        <v>78</v>
      </c>
      <c r="K84" s="37">
        <v>5182724.4789196244</v>
      </c>
    </row>
    <row r="85" spans="2:11" x14ac:dyDescent="0.25">
      <c r="B85" s="27">
        <f t="shared" ca="1" si="14"/>
        <v>2.4594763204316887</v>
      </c>
      <c r="C85" s="27">
        <f t="shared" ca="1" si="15"/>
        <v>-3.8322798192331131</v>
      </c>
      <c r="D85" s="27">
        <f t="shared" ca="1" si="16"/>
        <v>-9.4254014686720744</v>
      </c>
      <c r="E85" s="28">
        <f t="shared" ca="1" si="17"/>
        <v>-33701605.874688298</v>
      </c>
      <c r="F85" s="29">
        <f t="shared" ca="1" si="18"/>
        <v>1.3122265175787753E-2</v>
      </c>
      <c r="G85" s="29">
        <f t="shared" ca="1" si="19"/>
        <v>0.41312226517578776</v>
      </c>
      <c r="H85" s="28">
        <f t="shared" ca="1" si="20"/>
        <v>-13922883.759012865</v>
      </c>
      <c r="J85" s="34">
        <v>79</v>
      </c>
      <c r="K85" s="37">
        <v>6034531.256489248</v>
      </c>
    </row>
    <row r="86" spans="2:11" x14ac:dyDescent="0.25">
      <c r="B86" s="27">
        <f t="shared" ca="1" si="14"/>
        <v>3.0023881870596374</v>
      </c>
      <c r="C86" s="27">
        <f t="shared" ca="1" si="15"/>
        <v>-0.95292429041523752</v>
      </c>
      <c r="D86" s="27">
        <f t="shared" ca="1" si="16"/>
        <v>-2.8610486327048963</v>
      </c>
      <c r="E86" s="28">
        <f t="shared" ca="1" si="17"/>
        <v>-7444194.5308195855</v>
      </c>
      <c r="F86" s="29">
        <f t="shared" ca="1" si="18"/>
        <v>3.1318465616416942E-2</v>
      </c>
      <c r="G86" s="29">
        <f t="shared" ca="1" si="19"/>
        <v>0.43131846561641696</v>
      </c>
      <c r="H86" s="28">
        <f t="shared" ca="1" si="20"/>
        <v>-3210818.5627832264</v>
      </c>
      <c r="J86" s="34">
        <v>80</v>
      </c>
      <c r="K86" s="37">
        <v>11643892.444045655</v>
      </c>
    </row>
    <row r="87" spans="2:11" x14ac:dyDescent="0.25">
      <c r="B87" s="27">
        <f t="shared" ca="1" si="14"/>
        <v>1.25310308029698</v>
      </c>
      <c r="C87" s="27">
        <f t="shared" ca="1" si="15"/>
        <v>3.5499495939005459</v>
      </c>
      <c r="D87" s="27">
        <f t="shared" ca="1" si="16"/>
        <v>4.4484527710157877</v>
      </c>
      <c r="E87" s="28">
        <f t="shared" ca="1" si="17"/>
        <v>21793811.08406315</v>
      </c>
      <c r="F87" s="29">
        <f t="shared" ca="1" si="18"/>
        <v>1.3874040919302189E-2</v>
      </c>
      <c r="G87" s="29">
        <f t="shared" ca="1" si="19"/>
        <v>0.41387404091930219</v>
      </c>
      <c r="H87" s="28">
        <f t="shared" ca="1" si="20"/>
        <v>9019892.6603930946</v>
      </c>
      <c r="J87" s="34">
        <v>81</v>
      </c>
      <c r="K87" s="37">
        <v>6810358.5103817293</v>
      </c>
    </row>
    <row r="88" spans="2:11" x14ac:dyDescent="0.25">
      <c r="B88" s="27">
        <f t="shared" ca="1" si="14"/>
        <v>2.751162834102479</v>
      </c>
      <c r="C88" s="27">
        <f t="shared" ca="1" si="15"/>
        <v>-1.6787336268481092</v>
      </c>
      <c r="D88" s="27">
        <f t="shared" ca="1" si="16"/>
        <v>-4.618469562542578</v>
      </c>
      <c r="E88" s="28">
        <f t="shared" ca="1" si="17"/>
        <v>-14473878.250170313</v>
      </c>
      <c r="F88" s="29">
        <f t="shared" ca="1" si="18"/>
        <v>2.8244452142300459E-2</v>
      </c>
      <c r="G88" s="29">
        <f t="shared" ca="1" si="19"/>
        <v>0.4282444521423005</v>
      </c>
      <c r="H88" s="28">
        <f t="shared" ca="1" si="20"/>
        <v>-6198358.0616185451</v>
      </c>
      <c r="J88" s="34">
        <v>82</v>
      </c>
      <c r="K88" s="37">
        <v>7104383.0365025345</v>
      </c>
    </row>
    <row r="89" spans="2:11" x14ac:dyDescent="0.25">
      <c r="B89" s="27">
        <f t="shared" ca="1" si="14"/>
        <v>4.0580107520384345</v>
      </c>
      <c r="C89" s="27">
        <f t="shared" ca="1" si="15"/>
        <v>-5.1830234384860709</v>
      </c>
      <c r="D89" s="27">
        <f t="shared" ca="1" si="16"/>
        <v>-21.032764841443694</v>
      </c>
      <c r="E89" s="28">
        <f t="shared" ca="1" si="17"/>
        <v>-80131059.365774781</v>
      </c>
      <c r="F89" s="29">
        <f t="shared" ca="1" si="18"/>
        <v>3.6313339714221529E-2</v>
      </c>
      <c r="G89" s="29">
        <f t="shared" ca="1" si="19"/>
        <v>0.43631333971422154</v>
      </c>
      <c r="H89" s="28">
        <f t="shared" ca="1" si="20"/>
        <v>-34962250.126719743</v>
      </c>
      <c r="J89" s="34">
        <v>83</v>
      </c>
      <c r="K89" s="37">
        <v>6147637.0283217011</v>
      </c>
    </row>
    <row r="90" spans="2:11" x14ac:dyDescent="0.25">
      <c r="B90" s="27">
        <f t="shared" ca="1" si="14"/>
        <v>3.1406408328208579</v>
      </c>
      <c r="C90" s="27">
        <f t="shared" ca="1" si="15"/>
        <v>6.4171378186033374</v>
      </c>
      <c r="D90" s="27">
        <f t="shared" ca="1" si="16"/>
        <v>20.153925062944609</v>
      </c>
      <c r="E90" s="28">
        <f t="shared" ca="1" si="17"/>
        <v>84615700.251778439</v>
      </c>
      <c r="F90" s="29">
        <f t="shared" ca="1" si="18"/>
        <v>1.2468828702086376E-2</v>
      </c>
      <c r="G90" s="29">
        <f t="shared" ca="1" si="19"/>
        <v>0.4124688287020864</v>
      </c>
      <c r="H90" s="28">
        <f t="shared" ca="1" si="20"/>
        <v>34901338.772657886</v>
      </c>
      <c r="J90" s="34">
        <v>84</v>
      </c>
      <c r="K90" s="37">
        <v>8348907.450734606</v>
      </c>
    </row>
    <row r="91" spans="2:11" x14ac:dyDescent="0.25">
      <c r="B91" s="27">
        <f t="shared" ca="1" si="14"/>
        <v>1.4069440554909127</v>
      </c>
      <c r="C91" s="27">
        <f t="shared" ca="1" si="15"/>
        <v>1.7011867155310028</v>
      </c>
      <c r="D91" s="27">
        <f t="shared" ca="1" si="16"/>
        <v>2.3934745366964547</v>
      </c>
      <c r="E91" s="28">
        <f t="shared" ca="1" si="17"/>
        <v>13573898.146785818</v>
      </c>
      <c r="F91" s="29">
        <f t="shared" ca="1" si="18"/>
        <v>-1.5903195323667251E-2</v>
      </c>
      <c r="G91" s="29">
        <f t="shared" ca="1" si="19"/>
        <v>0.38409680467633278</v>
      </c>
      <c r="H91" s="28">
        <f t="shared" ca="1" si="20"/>
        <v>5213690.9051824277</v>
      </c>
      <c r="J91" s="34">
        <v>85</v>
      </c>
      <c r="K91" s="37">
        <v>4095840.0033617821</v>
      </c>
    </row>
    <row r="92" spans="2:11" x14ac:dyDescent="0.25">
      <c r="B92" s="27">
        <f t="shared" ca="1" si="14"/>
        <v>1.6087175306068795</v>
      </c>
      <c r="C92" s="27">
        <f t="shared" ca="1" si="15"/>
        <v>9.3899507926340871</v>
      </c>
      <c r="D92" s="27">
        <f t="shared" ca="1" si="16"/>
        <v>15.105778451646419</v>
      </c>
      <c r="E92" s="28">
        <f t="shared" ca="1" si="17"/>
        <v>64423113.806585677</v>
      </c>
      <c r="F92" s="29">
        <f t="shared" ca="1" si="18"/>
        <v>-3.3641980397100188E-3</v>
      </c>
      <c r="G92" s="29">
        <f t="shared" ca="1" si="19"/>
        <v>0.39663580196029002</v>
      </c>
      <c r="H92" s="28">
        <f t="shared" ca="1" si="20"/>
        <v>25552513.409454141</v>
      </c>
      <c r="J92" s="34">
        <v>86</v>
      </c>
      <c r="K92" s="37">
        <v>4593984.1746825995</v>
      </c>
    </row>
    <row r="93" spans="2:11" x14ac:dyDescent="0.25">
      <c r="B93" s="27">
        <f t="shared" ca="1" si="14"/>
        <v>2.9355922513887922</v>
      </c>
      <c r="C93" s="27">
        <f t="shared" ca="1" si="15"/>
        <v>-1.1080087836132555</v>
      </c>
      <c r="D93" s="27">
        <f t="shared" ca="1" si="16"/>
        <v>-3.2526619996457939</v>
      </c>
      <c r="E93" s="28">
        <f t="shared" ca="1" si="17"/>
        <v>-9010647.9985831752</v>
      </c>
      <c r="F93" s="29">
        <f t="shared" ca="1" si="18"/>
        <v>4.2966879015875807E-2</v>
      </c>
      <c r="G93" s="29">
        <f t="shared" ca="1" si="19"/>
        <v>0.44296687901587584</v>
      </c>
      <c r="H93" s="28">
        <f t="shared" ca="1" si="20"/>
        <v>-3991418.6218430372</v>
      </c>
      <c r="J93" s="34">
        <v>87</v>
      </c>
      <c r="K93" s="37">
        <v>10475050.063856022</v>
      </c>
    </row>
    <row r="94" spans="2:11" x14ac:dyDescent="0.25">
      <c r="B94" s="27">
        <f t="shared" ca="1" si="14"/>
        <v>1.8920753575493801</v>
      </c>
      <c r="C94" s="27">
        <f t="shared" ca="1" si="15"/>
        <v>-4.5465156901625416</v>
      </c>
      <c r="D94" s="27">
        <f t="shared" ca="1" si="16"/>
        <v>-8.6023503000681583</v>
      </c>
      <c r="E94" s="28">
        <f t="shared" ca="1" si="17"/>
        <v>-30409401.200272635</v>
      </c>
      <c r="F94" s="29">
        <f t="shared" ca="1" si="18"/>
        <v>6.0298888788700419E-2</v>
      </c>
      <c r="G94" s="29">
        <f t="shared" ca="1" si="19"/>
        <v>0.46029888878870046</v>
      </c>
      <c r="H94" s="28">
        <f t="shared" ca="1" si="20"/>
        <v>-13997413.581215268</v>
      </c>
      <c r="J94" s="34">
        <v>88</v>
      </c>
      <c r="K94" s="37">
        <v>4326124.8693886101</v>
      </c>
    </row>
    <row r="95" spans="2:11" x14ac:dyDescent="0.25">
      <c r="B95" s="27">
        <f t="shared" ca="1" si="14"/>
        <v>1.9812256401217743</v>
      </c>
      <c r="C95" s="27">
        <f t="shared" ca="1" si="15"/>
        <v>8.3640567013234666</v>
      </c>
      <c r="D95" s="27">
        <f t="shared" ca="1" si="16"/>
        <v>16.5710835920944</v>
      </c>
      <c r="E95" s="28">
        <f t="shared" ca="1" si="17"/>
        <v>70284334.368377596</v>
      </c>
      <c r="F95" s="29">
        <f t="shared" ca="1" si="18"/>
        <v>-7.0185484332157475E-3</v>
      </c>
      <c r="G95" s="29">
        <f t="shared" ca="1" si="19"/>
        <v>0.39298145156678427</v>
      </c>
      <c r="H95" s="28">
        <f t="shared" ca="1" si="20"/>
        <v>27620439.742490251</v>
      </c>
      <c r="J95" s="34">
        <v>89</v>
      </c>
      <c r="K95" s="37">
        <v>6020040.0087790219</v>
      </c>
    </row>
    <row r="96" spans="2:11" x14ac:dyDescent="0.25">
      <c r="B96" s="27">
        <f t="shared" ca="1" si="14"/>
        <v>1.9874576207459147</v>
      </c>
      <c r="C96" s="27">
        <f t="shared" ca="1" si="15"/>
        <v>-4.0065284762037088</v>
      </c>
      <c r="D96" s="27">
        <f t="shared" ca="1" si="16"/>
        <v>-7.9628055527665778</v>
      </c>
      <c r="E96" s="28">
        <f t="shared" ca="1" si="17"/>
        <v>-27851222.211066309</v>
      </c>
      <c r="F96" s="29">
        <f t="shared" ca="1" si="18"/>
        <v>1.5916864809460571E-2</v>
      </c>
      <c r="G96" s="29">
        <f t="shared" ca="1" si="19"/>
        <v>0.41591686480946061</v>
      </c>
      <c r="H96" s="28">
        <f t="shared" ca="1" si="20"/>
        <v>-11583793.023138313</v>
      </c>
      <c r="J96" s="34">
        <v>90</v>
      </c>
      <c r="K96" s="37">
        <v>8275667.7947410382</v>
      </c>
    </row>
    <row r="97" spans="2:11" x14ac:dyDescent="0.25">
      <c r="B97" s="27">
        <f t="shared" ca="1" si="14"/>
        <v>2.8465022828287618</v>
      </c>
      <c r="C97" s="27">
        <f t="shared" ca="1" si="15"/>
        <v>-4.9127011644148011</v>
      </c>
      <c r="D97" s="27">
        <f t="shared" ca="1" si="16"/>
        <v>-13.984015079362248</v>
      </c>
      <c r="E97" s="28">
        <f t="shared" ca="1" si="17"/>
        <v>-51936060.317448989</v>
      </c>
      <c r="F97" s="29">
        <f t="shared" ca="1" si="18"/>
        <v>2.2504143384031627E-2</v>
      </c>
      <c r="G97" s="29">
        <f t="shared" ca="1" si="19"/>
        <v>0.42250414338403164</v>
      </c>
      <c r="H97" s="28">
        <f t="shared" ca="1" si="20"/>
        <v>-21943200.675165184</v>
      </c>
      <c r="J97" s="34">
        <v>91</v>
      </c>
      <c r="K97" s="37">
        <v>7468772.8612246467</v>
      </c>
    </row>
    <row r="98" spans="2:11" x14ac:dyDescent="0.25">
      <c r="B98" s="27">
        <f t="shared" ca="1" si="14"/>
        <v>1.7340965015335947</v>
      </c>
      <c r="C98" s="27">
        <f t="shared" ca="1" si="15"/>
        <v>-1.2633503636940442</v>
      </c>
      <c r="D98" s="27">
        <f t="shared" ca="1" si="16"/>
        <v>-2.1907714458930365</v>
      </c>
      <c r="E98" s="28">
        <f t="shared" ca="1" si="17"/>
        <v>-4763085.7835721457</v>
      </c>
      <c r="F98" s="29">
        <f t="shared" ca="1" si="18"/>
        <v>2.6856888286301027E-2</v>
      </c>
      <c r="G98" s="29">
        <f t="shared" ca="1" si="19"/>
        <v>0.42685688828630103</v>
      </c>
      <c r="H98" s="28">
        <f t="shared" ca="1" si="20"/>
        <v>-2033155.9762163239</v>
      </c>
      <c r="J98" s="34">
        <v>92</v>
      </c>
      <c r="K98" s="37">
        <v>5390431.4452855811</v>
      </c>
    </row>
    <row r="99" spans="2:11" x14ac:dyDescent="0.25">
      <c r="B99" s="27">
        <f t="shared" ca="1" si="14"/>
        <v>2.075162231043516</v>
      </c>
      <c r="C99" s="27">
        <f t="shared" ca="1" si="15"/>
        <v>1.0922822458287058</v>
      </c>
      <c r="D99" s="27">
        <f t="shared" ca="1" si="16"/>
        <v>2.2666628621831193</v>
      </c>
      <c r="E99" s="28">
        <f t="shared" ca="1" si="17"/>
        <v>13066651.448732477</v>
      </c>
      <c r="F99" s="29">
        <f t="shared" ca="1" si="18"/>
        <v>1.6711840601007187E-2</v>
      </c>
      <c r="G99" s="29">
        <f t="shared" ca="1" si="19"/>
        <v>0.41671184060100719</v>
      </c>
      <c r="H99" s="28">
        <f t="shared" ca="1" si="20"/>
        <v>5445028.3756931275</v>
      </c>
      <c r="J99" s="34">
        <v>93</v>
      </c>
      <c r="K99" s="37">
        <v>8323986.9021764556</v>
      </c>
    </row>
    <row r="100" spans="2:11" x14ac:dyDescent="0.25">
      <c r="B100" s="27">
        <f t="shared" ca="1" si="14"/>
        <v>1.323881817931821</v>
      </c>
      <c r="C100" s="27">
        <f t="shared" ca="1" si="15"/>
        <v>-6.7645133450867796</v>
      </c>
      <c r="D100" s="27">
        <f t="shared" ca="1" si="16"/>
        <v>-8.9554162247175491</v>
      </c>
      <c r="E100" s="28">
        <f t="shared" ca="1" si="17"/>
        <v>-31821664.898870196</v>
      </c>
      <c r="F100" s="29">
        <f t="shared" ca="1" si="18"/>
        <v>2.9730260759191537E-2</v>
      </c>
      <c r="G100" s="29">
        <f t="shared" ca="1" si="19"/>
        <v>0.42973026075919157</v>
      </c>
      <c r="H100" s="28">
        <f t="shared" ca="1" si="20"/>
        <v>-13674732.354783103</v>
      </c>
      <c r="J100" s="34">
        <v>94</v>
      </c>
      <c r="K100" s="37">
        <v>5546750.8016771041</v>
      </c>
    </row>
    <row r="101" spans="2:11" x14ac:dyDescent="0.25">
      <c r="B101" s="27">
        <f t="shared" ca="1" si="14"/>
        <v>1.5880388775173577</v>
      </c>
      <c r="C101" s="27">
        <f t="shared" ca="1" si="15"/>
        <v>0.508992802010657</v>
      </c>
      <c r="D101" s="27">
        <f t="shared" ca="1" si="16"/>
        <v>0.80830035796941846</v>
      </c>
      <c r="E101" s="28">
        <f t="shared" ca="1" si="17"/>
        <v>7233201.4318776745</v>
      </c>
      <c r="F101" s="29">
        <f t="shared" ca="1" si="18"/>
        <v>3.7641184276466982E-2</v>
      </c>
      <c r="G101" s="29">
        <f t="shared" ca="1" si="19"/>
        <v>0.43764118427646703</v>
      </c>
      <c r="H101" s="28">
        <f t="shared" ca="1" si="20"/>
        <v>3165546.8407571823</v>
      </c>
      <c r="J101" s="34">
        <v>95</v>
      </c>
      <c r="K101" s="37">
        <v>7260820.7247152803</v>
      </c>
    </row>
    <row r="102" spans="2:11" x14ac:dyDescent="0.25">
      <c r="B102" s="27">
        <f t="shared" ca="1" si="14"/>
        <v>3.0290034891546211</v>
      </c>
      <c r="C102" s="27">
        <f t="shared" ca="1" si="15"/>
        <v>2.9907052721284391</v>
      </c>
      <c r="D102" s="27">
        <f t="shared" ca="1" si="16"/>
        <v>9.0588567043101627</v>
      </c>
      <c r="E102" s="28">
        <f t="shared" ca="1" si="17"/>
        <v>40235426.817240648</v>
      </c>
      <c r="F102" s="29">
        <f t="shared" ca="1" si="18"/>
        <v>3.5155138304446693E-2</v>
      </c>
      <c r="G102" s="29">
        <f t="shared" ca="1" si="19"/>
        <v>0.43515513830444674</v>
      </c>
      <c r="H102" s="28">
        <f t="shared" ca="1" si="20"/>
        <v>17508652.7213948</v>
      </c>
      <c r="J102" s="34">
        <v>96</v>
      </c>
      <c r="K102" s="37">
        <v>5794344.1090107532</v>
      </c>
    </row>
    <row r="103" spans="2:11" x14ac:dyDescent="0.25">
      <c r="B103" s="27">
        <f t="shared" ca="1" si="14"/>
        <v>2.0601497443799368</v>
      </c>
      <c r="C103" s="27">
        <f t="shared" ca="1" si="15"/>
        <v>10.431772566906318</v>
      </c>
      <c r="D103" s="27">
        <f t="shared" ref="D103:D134" ca="1" si="21">B103*C103</f>
        <v>21.491013587141687</v>
      </c>
      <c r="E103" s="28">
        <f t="shared" ref="E103:E134" ca="1" si="22">$D$1*(D103+1)</f>
        <v>89964054.348566741</v>
      </c>
      <c r="F103" s="29">
        <f t="shared" ca="1" si="18"/>
        <v>2.1285313787378819E-2</v>
      </c>
      <c r="G103" s="29">
        <f t="shared" ref="G103:G134" ca="1" si="23">$F$1+F103</f>
        <v>0.42128531378737882</v>
      </c>
      <c r="H103" s="28">
        <f t="shared" ref="H103:H134" ca="1" si="24">E103*G103</f>
        <v>37900534.865820743</v>
      </c>
      <c r="J103" s="34">
        <v>97</v>
      </c>
      <c r="K103" s="37">
        <v>6605853.5725829182</v>
      </c>
    </row>
    <row r="104" spans="2:11" x14ac:dyDescent="0.25">
      <c r="B104" s="27">
        <f t="shared" ca="1" si="14"/>
        <v>2.7983862816369505</v>
      </c>
      <c r="C104" s="27">
        <f t="shared" ca="1" si="15"/>
        <v>4.8964287684109937</v>
      </c>
      <c r="D104" s="27">
        <f t="shared" ca="1" si="21"/>
        <v>13.702099094533834</v>
      </c>
      <c r="E104" s="28">
        <f t="shared" ca="1" si="22"/>
        <v>58808396.378135338</v>
      </c>
      <c r="F104" s="29">
        <f t="shared" ca="1" si="18"/>
        <v>2.8034051477147798E-2</v>
      </c>
      <c r="G104" s="29">
        <f t="shared" ca="1" si="23"/>
        <v>0.42803405147714779</v>
      </c>
      <c r="H104" s="28">
        <f t="shared" ca="1" si="24"/>
        <v>25171996.162607294</v>
      </c>
      <c r="J104" s="34">
        <v>98</v>
      </c>
      <c r="K104" s="37">
        <v>5767406.5243445905</v>
      </c>
    </row>
    <row r="105" spans="2:11" x14ac:dyDescent="0.25">
      <c r="B105" s="27">
        <f t="shared" ca="1" si="14"/>
        <v>2.068887662057258</v>
      </c>
      <c r="C105" s="27">
        <f t="shared" ca="1" si="15"/>
        <v>0.99154061123412041</v>
      </c>
      <c r="D105" s="27">
        <f t="shared" ca="1" si="21"/>
        <v>2.0513861370109838</v>
      </c>
      <c r="E105" s="28">
        <f t="shared" ca="1" si="22"/>
        <v>12205544.548043935</v>
      </c>
      <c r="F105" s="29">
        <f t="shared" ca="1" si="18"/>
        <v>2.987237089823979E-2</v>
      </c>
      <c r="G105" s="29">
        <f t="shared" ca="1" si="23"/>
        <v>0.42987237089823982</v>
      </c>
      <c r="H105" s="28">
        <f t="shared" ca="1" si="24"/>
        <v>5246826.3729717312</v>
      </c>
      <c r="J105" s="34">
        <v>99</v>
      </c>
      <c r="K105" s="37">
        <v>6647810.502525988</v>
      </c>
    </row>
    <row r="106" spans="2:11" ht="15.75" thickBot="1" x14ac:dyDescent="0.3">
      <c r="B106" s="27">
        <f t="shared" ca="1" si="14"/>
        <v>1.2392152097399185</v>
      </c>
      <c r="C106" s="27">
        <f t="shared" ca="1" si="15"/>
        <v>13.450015550207061</v>
      </c>
      <c r="D106" s="27">
        <f t="shared" ca="1" si="21"/>
        <v>16.667463841055007</v>
      </c>
      <c r="E106" s="28">
        <f t="shared" ca="1" si="22"/>
        <v>70669855.364220023</v>
      </c>
      <c r="F106" s="29">
        <f t="shared" ca="1" si="18"/>
        <v>5.0068562731554196E-2</v>
      </c>
      <c r="G106" s="29">
        <f t="shared" ca="1" si="23"/>
        <v>0.45006856273155421</v>
      </c>
      <c r="H106" s="28">
        <f t="shared" ca="1" si="24"/>
        <v>31806280.232221324</v>
      </c>
      <c r="J106" s="39">
        <v>100</v>
      </c>
      <c r="K106" s="40">
        <v>6590347.2485776162</v>
      </c>
    </row>
    <row r="107" spans="2:11" x14ac:dyDescent="0.25">
      <c r="G107" s="41"/>
    </row>
    <row r="108" spans="2:11" x14ac:dyDescent="0.25">
      <c r="G108" s="41"/>
    </row>
    <row r="109" spans="2:11" x14ac:dyDescent="0.25">
      <c r="G109" s="41"/>
    </row>
    <row r="110" spans="2:11" x14ac:dyDescent="0.25">
      <c r="G110" s="41"/>
    </row>
    <row r="111" spans="2:11" x14ac:dyDescent="0.25">
      <c r="G111" s="41"/>
    </row>
    <row r="112" spans="2:11" x14ac:dyDescent="0.25">
      <c r="G112" s="41"/>
    </row>
    <row r="113" spans="7:7" x14ac:dyDescent="0.25">
      <c r="G113" s="41"/>
    </row>
    <row r="114" spans="7:7" x14ac:dyDescent="0.25">
      <c r="G114" s="41"/>
    </row>
    <row r="115" spans="7:7" x14ac:dyDescent="0.25">
      <c r="G115" s="41"/>
    </row>
    <row r="116" spans="7:7" x14ac:dyDescent="0.25">
      <c r="G116" s="41"/>
    </row>
    <row r="117" spans="7:7" x14ac:dyDescent="0.25">
      <c r="G117" s="41"/>
    </row>
    <row r="118" spans="7:7" x14ac:dyDescent="0.25">
      <c r="G118" s="41"/>
    </row>
    <row r="119" spans="7:7" x14ac:dyDescent="0.25">
      <c r="G119" s="41"/>
    </row>
    <row r="120" spans="7:7" x14ac:dyDescent="0.25">
      <c r="G120" s="41"/>
    </row>
    <row r="121" spans="7:7" x14ac:dyDescent="0.25">
      <c r="G121" s="41"/>
    </row>
    <row r="122" spans="7:7" x14ac:dyDescent="0.25">
      <c r="G122" s="41"/>
    </row>
    <row r="123" spans="7:7" x14ac:dyDescent="0.25">
      <c r="G123" s="41"/>
    </row>
    <row r="124" spans="7:7" x14ac:dyDescent="0.25">
      <c r="G124" s="41"/>
    </row>
    <row r="125" spans="7:7" x14ac:dyDescent="0.25">
      <c r="G125" s="41"/>
    </row>
    <row r="126" spans="7:7" x14ac:dyDescent="0.25">
      <c r="G126" s="41"/>
    </row>
    <row r="127" spans="7:7" x14ac:dyDescent="0.25">
      <c r="G127" s="41"/>
    </row>
    <row r="128" spans="7:7" x14ac:dyDescent="0.25">
      <c r="G128" s="41"/>
    </row>
    <row r="129" spans="7:7" x14ac:dyDescent="0.25">
      <c r="G129" s="41"/>
    </row>
    <row r="130" spans="7:7" x14ac:dyDescent="0.25">
      <c r="G130" s="41"/>
    </row>
    <row r="131" spans="7:7" x14ac:dyDescent="0.25">
      <c r="G131" s="41"/>
    </row>
    <row r="132" spans="7:7" x14ac:dyDescent="0.25">
      <c r="G132" s="41"/>
    </row>
    <row r="133" spans="7:7" x14ac:dyDescent="0.25">
      <c r="G133" s="41"/>
    </row>
    <row r="134" spans="7:7" x14ac:dyDescent="0.25">
      <c r="G134" s="41"/>
    </row>
    <row r="135" spans="7:7" x14ac:dyDescent="0.25">
      <c r="G135" s="41"/>
    </row>
    <row r="136" spans="7:7" x14ac:dyDescent="0.25">
      <c r="G136" s="41"/>
    </row>
    <row r="137" spans="7:7" x14ac:dyDescent="0.25">
      <c r="G137" s="41"/>
    </row>
    <row r="138" spans="7:7" x14ac:dyDescent="0.25">
      <c r="G138" s="41"/>
    </row>
    <row r="139" spans="7:7" x14ac:dyDescent="0.25">
      <c r="G139" s="41"/>
    </row>
    <row r="140" spans="7:7" x14ac:dyDescent="0.25">
      <c r="G140" s="41"/>
    </row>
    <row r="141" spans="7:7" x14ac:dyDescent="0.25">
      <c r="G141" s="41"/>
    </row>
    <row r="142" spans="7:7" x14ac:dyDescent="0.25">
      <c r="G142" s="41"/>
    </row>
    <row r="143" spans="7:7" x14ac:dyDescent="0.25">
      <c r="G143" s="41"/>
    </row>
    <row r="144" spans="7:7" x14ac:dyDescent="0.25">
      <c r="G144" s="41"/>
    </row>
    <row r="145" spans="7:7" x14ac:dyDescent="0.25">
      <c r="G145" s="41"/>
    </row>
    <row r="146" spans="7:7" x14ac:dyDescent="0.25">
      <c r="G146" s="41"/>
    </row>
    <row r="147" spans="7:7" x14ac:dyDescent="0.25">
      <c r="G147" s="41"/>
    </row>
    <row r="148" spans="7:7" x14ac:dyDescent="0.25">
      <c r="G148" s="41"/>
    </row>
    <row r="149" spans="7:7" x14ac:dyDescent="0.25">
      <c r="G149" s="41"/>
    </row>
    <row r="150" spans="7:7" x14ac:dyDescent="0.25">
      <c r="G150" s="41"/>
    </row>
    <row r="151" spans="7:7" x14ac:dyDescent="0.25">
      <c r="G151" s="41"/>
    </row>
    <row r="152" spans="7:7" x14ac:dyDescent="0.25">
      <c r="G152" s="41"/>
    </row>
    <row r="153" spans="7:7" x14ac:dyDescent="0.25">
      <c r="G153" s="41"/>
    </row>
    <row r="154" spans="7:7" x14ac:dyDescent="0.25">
      <c r="G154" s="41"/>
    </row>
    <row r="155" spans="7:7" x14ac:dyDescent="0.25">
      <c r="G155" s="41"/>
    </row>
    <row r="156" spans="7:7" x14ac:dyDescent="0.25">
      <c r="G156" s="41"/>
    </row>
    <row r="157" spans="7:7" x14ac:dyDescent="0.25">
      <c r="G157" s="41"/>
    </row>
    <row r="158" spans="7:7" x14ac:dyDescent="0.25">
      <c r="G158" s="41"/>
    </row>
    <row r="159" spans="7:7" x14ac:dyDescent="0.25">
      <c r="G159" s="41"/>
    </row>
    <row r="160" spans="7:7" x14ac:dyDescent="0.25">
      <c r="G160" s="41"/>
    </row>
    <row r="161" spans="7:7" x14ac:dyDescent="0.25">
      <c r="G161" s="41"/>
    </row>
    <row r="162" spans="7:7" x14ac:dyDescent="0.25">
      <c r="G162" s="41"/>
    </row>
    <row r="163" spans="7:7" x14ac:dyDescent="0.25">
      <c r="G163" s="41"/>
    </row>
    <row r="164" spans="7:7" x14ac:dyDescent="0.25">
      <c r="G164" s="41"/>
    </row>
    <row r="165" spans="7:7" x14ac:dyDescent="0.25">
      <c r="G165" s="41"/>
    </row>
    <row r="166" spans="7:7" x14ac:dyDescent="0.25">
      <c r="G166" s="41"/>
    </row>
    <row r="167" spans="7:7" x14ac:dyDescent="0.25">
      <c r="G167" s="41"/>
    </row>
    <row r="168" spans="7:7" x14ac:dyDescent="0.25">
      <c r="G168" s="41"/>
    </row>
    <row r="169" spans="7:7" x14ac:dyDescent="0.25">
      <c r="G169" s="41"/>
    </row>
    <row r="170" spans="7:7" x14ac:dyDescent="0.25">
      <c r="G170" s="41"/>
    </row>
    <row r="171" spans="7:7" x14ac:dyDescent="0.25">
      <c r="G171" s="41"/>
    </row>
    <row r="172" spans="7:7" x14ac:dyDescent="0.25">
      <c r="G172" s="41"/>
    </row>
    <row r="173" spans="7:7" x14ac:dyDescent="0.25">
      <c r="G173" s="41"/>
    </row>
    <row r="174" spans="7:7" x14ac:dyDescent="0.25">
      <c r="G174" s="41"/>
    </row>
    <row r="175" spans="7:7" x14ac:dyDescent="0.25">
      <c r="G175" s="41"/>
    </row>
    <row r="176" spans="7:7" x14ac:dyDescent="0.25">
      <c r="G176" s="41"/>
    </row>
    <row r="177" spans="7:7" x14ac:dyDescent="0.25">
      <c r="G177" s="41"/>
    </row>
    <row r="178" spans="7:7" x14ac:dyDescent="0.25">
      <c r="G178" s="41"/>
    </row>
    <row r="179" spans="7:7" x14ac:dyDescent="0.25">
      <c r="G179" s="41"/>
    </row>
    <row r="180" spans="7:7" x14ac:dyDescent="0.25">
      <c r="G180" s="41"/>
    </row>
    <row r="181" spans="7:7" x14ac:dyDescent="0.25">
      <c r="G181" s="41"/>
    </row>
    <row r="182" spans="7:7" x14ac:dyDescent="0.25">
      <c r="G182" s="41"/>
    </row>
    <row r="183" spans="7:7" x14ac:dyDescent="0.25">
      <c r="G183" s="41"/>
    </row>
    <row r="184" spans="7:7" x14ac:dyDescent="0.25">
      <c r="G184" s="41"/>
    </row>
    <row r="185" spans="7:7" x14ac:dyDescent="0.25">
      <c r="G185" s="41"/>
    </row>
    <row r="186" spans="7:7" x14ac:dyDescent="0.25">
      <c r="G186" s="41"/>
    </row>
    <row r="187" spans="7:7" x14ac:dyDescent="0.25">
      <c r="G187" s="41"/>
    </row>
    <row r="188" spans="7:7" x14ac:dyDescent="0.25">
      <c r="G188" s="41"/>
    </row>
    <row r="189" spans="7:7" x14ac:dyDescent="0.25">
      <c r="G189" s="41"/>
    </row>
    <row r="190" spans="7:7" x14ac:dyDescent="0.25">
      <c r="G190" s="41"/>
    </row>
    <row r="191" spans="7:7" x14ac:dyDescent="0.25">
      <c r="G191" s="41"/>
    </row>
    <row r="192" spans="7:7" x14ac:dyDescent="0.25">
      <c r="G192" s="41"/>
    </row>
    <row r="193" spans="7:7" x14ac:dyDescent="0.25">
      <c r="G193" s="41"/>
    </row>
    <row r="194" spans="7:7" x14ac:dyDescent="0.25">
      <c r="G194" s="41"/>
    </row>
    <row r="195" spans="7:7" x14ac:dyDescent="0.25">
      <c r="G195" s="41"/>
    </row>
    <row r="196" spans="7:7" x14ac:dyDescent="0.25">
      <c r="G196" s="41"/>
    </row>
    <row r="197" spans="7:7" x14ac:dyDescent="0.25">
      <c r="G197" s="41"/>
    </row>
    <row r="198" spans="7:7" x14ac:dyDescent="0.25">
      <c r="G198" s="41"/>
    </row>
    <row r="199" spans="7:7" x14ac:dyDescent="0.25">
      <c r="G199" s="41"/>
    </row>
    <row r="200" spans="7:7" x14ac:dyDescent="0.25">
      <c r="G200" s="41"/>
    </row>
    <row r="201" spans="7:7" x14ac:dyDescent="0.25">
      <c r="G201" s="41"/>
    </row>
    <row r="202" spans="7:7" x14ac:dyDescent="0.25">
      <c r="G202" s="41"/>
    </row>
    <row r="203" spans="7:7" x14ac:dyDescent="0.25">
      <c r="G203" s="41"/>
    </row>
    <row r="204" spans="7:7" x14ac:dyDescent="0.25">
      <c r="G204" s="41"/>
    </row>
    <row r="205" spans="7:7" x14ac:dyDescent="0.25">
      <c r="G205" s="41"/>
    </row>
    <row r="206" spans="7:7" x14ac:dyDescent="0.25">
      <c r="G206" s="41"/>
    </row>
    <row r="207" spans="7:7" x14ac:dyDescent="0.25">
      <c r="G207" s="41"/>
    </row>
    <row r="208" spans="7:7" x14ac:dyDescent="0.25">
      <c r="G208" s="41"/>
    </row>
    <row r="209" spans="7:7" x14ac:dyDescent="0.25">
      <c r="G209" s="41"/>
    </row>
    <row r="210" spans="7:7" x14ac:dyDescent="0.25">
      <c r="G210" s="41"/>
    </row>
    <row r="211" spans="7:7" x14ac:dyDescent="0.25">
      <c r="G211" s="41"/>
    </row>
    <row r="212" spans="7:7" x14ac:dyDescent="0.25">
      <c r="G212" s="41"/>
    </row>
    <row r="213" spans="7:7" x14ac:dyDescent="0.25">
      <c r="G213" s="41"/>
    </row>
    <row r="214" spans="7:7" x14ac:dyDescent="0.25">
      <c r="G214" s="41"/>
    </row>
    <row r="215" spans="7:7" x14ac:dyDescent="0.25">
      <c r="G215" s="41"/>
    </row>
    <row r="216" spans="7:7" x14ac:dyDescent="0.25">
      <c r="G216" s="41"/>
    </row>
    <row r="217" spans="7:7" x14ac:dyDescent="0.25">
      <c r="G217" s="41"/>
    </row>
    <row r="218" spans="7:7" x14ac:dyDescent="0.25">
      <c r="G218" s="41"/>
    </row>
    <row r="219" spans="7:7" x14ac:dyDescent="0.25">
      <c r="G219" s="41"/>
    </row>
    <row r="220" spans="7:7" x14ac:dyDescent="0.25">
      <c r="G220" s="41"/>
    </row>
    <row r="221" spans="7:7" x14ac:dyDescent="0.25">
      <c r="G221" s="41"/>
    </row>
    <row r="222" spans="7:7" x14ac:dyDescent="0.25">
      <c r="G222" s="41"/>
    </row>
    <row r="223" spans="7:7" x14ac:dyDescent="0.25">
      <c r="G223" s="41"/>
    </row>
    <row r="224" spans="7:7" x14ac:dyDescent="0.25">
      <c r="G224" s="41"/>
    </row>
    <row r="225" spans="7:7" x14ac:dyDescent="0.25">
      <c r="G225" s="41"/>
    </row>
    <row r="226" spans="7:7" x14ac:dyDescent="0.25">
      <c r="G226" s="41"/>
    </row>
    <row r="227" spans="7:7" x14ac:dyDescent="0.25">
      <c r="G227" s="41"/>
    </row>
    <row r="228" spans="7:7" x14ac:dyDescent="0.25">
      <c r="G228" s="41"/>
    </row>
    <row r="229" spans="7:7" x14ac:dyDescent="0.25">
      <c r="G229" s="41"/>
    </row>
    <row r="230" spans="7:7" x14ac:dyDescent="0.25">
      <c r="G230" s="41"/>
    </row>
    <row r="231" spans="7:7" x14ac:dyDescent="0.25">
      <c r="G231" s="41"/>
    </row>
    <row r="232" spans="7:7" x14ac:dyDescent="0.25">
      <c r="G232" s="41"/>
    </row>
    <row r="233" spans="7:7" x14ac:dyDescent="0.25">
      <c r="G233" s="41"/>
    </row>
    <row r="234" spans="7:7" x14ac:dyDescent="0.25">
      <c r="G234" s="41"/>
    </row>
    <row r="235" spans="7:7" x14ac:dyDescent="0.25">
      <c r="G235" s="41"/>
    </row>
    <row r="236" spans="7:7" x14ac:dyDescent="0.25">
      <c r="G236" s="41"/>
    </row>
    <row r="237" spans="7:7" x14ac:dyDescent="0.25">
      <c r="G237" s="41"/>
    </row>
    <row r="238" spans="7:7" x14ac:dyDescent="0.25">
      <c r="G238" s="41"/>
    </row>
    <row r="239" spans="7:7" x14ac:dyDescent="0.25">
      <c r="G239" s="41"/>
    </row>
    <row r="240" spans="7:7" x14ac:dyDescent="0.25">
      <c r="G240" s="41"/>
    </row>
    <row r="241" spans="7:7" x14ac:dyDescent="0.25">
      <c r="G241" s="41"/>
    </row>
    <row r="242" spans="7:7" x14ac:dyDescent="0.25">
      <c r="G242" s="41"/>
    </row>
    <row r="243" spans="7:7" x14ac:dyDescent="0.25">
      <c r="G243" s="41"/>
    </row>
    <row r="244" spans="7:7" x14ac:dyDescent="0.25">
      <c r="G244" s="41"/>
    </row>
    <row r="245" spans="7:7" x14ac:dyDescent="0.25">
      <c r="G245" s="41"/>
    </row>
    <row r="246" spans="7:7" x14ac:dyDescent="0.25">
      <c r="G246" s="41"/>
    </row>
    <row r="247" spans="7:7" x14ac:dyDescent="0.25">
      <c r="G247" s="41"/>
    </row>
    <row r="248" spans="7:7" x14ac:dyDescent="0.25">
      <c r="G248" s="41"/>
    </row>
    <row r="249" spans="7:7" x14ac:dyDescent="0.25">
      <c r="G249" s="41"/>
    </row>
    <row r="250" spans="7:7" x14ac:dyDescent="0.25">
      <c r="G250" s="41"/>
    </row>
    <row r="251" spans="7:7" x14ac:dyDescent="0.25">
      <c r="G251" s="41"/>
    </row>
    <row r="252" spans="7:7" x14ac:dyDescent="0.25">
      <c r="G252" s="41"/>
    </row>
    <row r="253" spans="7:7" x14ac:dyDescent="0.25">
      <c r="G253" s="41"/>
    </row>
    <row r="254" spans="7:7" x14ac:dyDescent="0.25">
      <c r="G254" s="41"/>
    </row>
    <row r="255" spans="7:7" x14ac:dyDescent="0.25">
      <c r="G255" s="41"/>
    </row>
    <row r="256" spans="7:7" x14ac:dyDescent="0.25">
      <c r="G256" s="41"/>
    </row>
    <row r="257" spans="7:7" x14ac:dyDescent="0.25">
      <c r="G257" s="41"/>
    </row>
    <row r="258" spans="7:7" x14ac:dyDescent="0.25">
      <c r="G258" s="41"/>
    </row>
    <row r="259" spans="7:7" x14ac:dyDescent="0.25">
      <c r="G259" s="41"/>
    </row>
    <row r="260" spans="7:7" x14ac:dyDescent="0.25">
      <c r="G260" s="41"/>
    </row>
    <row r="261" spans="7:7" x14ac:dyDescent="0.25">
      <c r="G261" s="41"/>
    </row>
    <row r="262" spans="7:7" x14ac:dyDescent="0.25">
      <c r="G262" s="41"/>
    </row>
    <row r="263" spans="7:7" x14ac:dyDescent="0.25">
      <c r="G263" s="41"/>
    </row>
    <row r="264" spans="7:7" x14ac:dyDescent="0.25">
      <c r="G264" s="41"/>
    </row>
    <row r="265" spans="7:7" x14ac:dyDescent="0.25">
      <c r="G265" s="41"/>
    </row>
    <row r="266" spans="7:7" x14ac:dyDescent="0.25">
      <c r="G266" s="41"/>
    </row>
    <row r="267" spans="7:7" x14ac:dyDescent="0.25">
      <c r="G267" s="41"/>
    </row>
    <row r="268" spans="7:7" x14ac:dyDescent="0.25">
      <c r="G268" s="41"/>
    </row>
    <row r="269" spans="7:7" x14ac:dyDescent="0.25">
      <c r="G269" s="41"/>
    </row>
    <row r="270" spans="7:7" x14ac:dyDescent="0.25">
      <c r="G270" s="41"/>
    </row>
    <row r="271" spans="7:7" x14ac:dyDescent="0.25">
      <c r="G271" s="41"/>
    </row>
    <row r="272" spans="7:7" x14ac:dyDescent="0.25">
      <c r="G272" s="41"/>
    </row>
    <row r="273" spans="7:7" x14ac:dyDescent="0.25">
      <c r="G273" s="41"/>
    </row>
    <row r="274" spans="7:7" x14ac:dyDescent="0.25">
      <c r="G274" s="41"/>
    </row>
    <row r="275" spans="7:7" x14ac:dyDescent="0.25">
      <c r="G275" s="41"/>
    </row>
    <row r="276" spans="7:7" x14ac:dyDescent="0.25">
      <c r="G276" s="41"/>
    </row>
    <row r="277" spans="7:7" x14ac:dyDescent="0.25">
      <c r="G277" s="41"/>
    </row>
    <row r="278" spans="7:7" x14ac:dyDescent="0.25">
      <c r="G278" s="41"/>
    </row>
    <row r="279" spans="7:7" x14ac:dyDescent="0.25">
      <c r="G279" s="41"/>
    </row>
    <row r="280" spans="7:7" x14ac:dyDescent="0.25">
      <c r="G280" s="41"/>
    </row>
    <row r="281" spans="7:7" x14ac:dyDescent="0.25">
      <c r="G281" s="41"/>
    </row>
    <row r="282" spans="7:7" x14ac:dyDescent="0.25">
      <c r="G282" s="41"/>
    </row>
    <row r="283" spans="7:7" x14ac:dyDescent="0.25">
      <c r="G283" s="41"/>
    </row>
    <row r="284" spans="7:7" x14ac:dyDescent="0.25">
      <c r="G284" s="41"/>
    </row>
    <row r="285" spans="7:7" x14ac:dyDescent="0.25">
      <c r="G285" s="41"/>
    </row>
    <row r="286" spans="7:7" x14ac:dyDescent="0.25">
      <c r="G286" s="41"/>
    </row>
    <row r="287" spans="7:7" x14ac:dyDescent="0.25">
      <c r="G287" s="41"/>
    </row>
    <row r="288" spans="7:7" x14ac:dyDescent="0.25">
      <c r="G288" s="41"/>
    </row>
    <row r="289" spans="7:7" x14ac:dyDescent="0.25">
      <c r="G289" s="41"/>
    </row>
    <row r="290" spans="7:7" x14ac:dyDescent="0.25">
      <c r="G290" s="41"/>
    </row>
    <row r="291" spans="7:7" x14ac:dyDescent="0.25">
      <c r="G291" s="41"/>
    </row>
    <row r="292" spans="7:7" x14ac:dyDescent="0.25">
      <c r="G292" s="41"/>
    </row>
    <row r="293" spans="7:7" x14ac:dyDescent="0.25">
      <c r="G293" s="41"/>
    </row>
    <row r="294" spans="7:7" x14ac:dyDescent="0.25">
      <c r="G294" s="41"/>
    </row>
    <row r="295" spans="7:7" x14ac:dyDescent="0.25">
      <c r="G295" s="41"/>
    </row>
    <row r="296" spans="7:7" x14ac:dyDescent="0.25">
      <c r="G296" s="41"/>
    </row>
    <row r="297" spans="7:7" x14ac:dyDescent="0.25">
      <c r="G297" s="41"/>
    </row>
    <row r="298" spans="7:7" x14ac:dyDescent="0.25">
      <c r="G298" s="41"/>
    </row>
    <row r="299" spans="7:7" x14ac:dyDescent="0.25">
      <c r="G299" s="41"/>
    </row>
    <row r="300" spans="7:7" x14ac:dyDescent="0.25">
      <c r="G300" s="41"/>
    </row>
    <row r="301" spans="7:7" x14ac:dyDescent="0.25">
      <c r="G301" s="41"/>
    </row>
    <row r="302" spans="7:7" x14ac:dyDescent="0.25">
      <c r="G302" s="41"/>
    </row>
    <row r="303" spans="7:7" x14ac:dyDescent="0.25">
      <c r="G303" s="41"/>
    </row>
    <row r="304" spans="7:7" x14ac:dyDescent="0.25">
      <c r="G304" s="41"/>
    </row>
    <row r="305" spans="7:7" x14ac:dyDescent="0.25">
      <c r="G305" s="41"/>
    </row>
    <row r="306" spans="7:7" x14ac:dyDescent="0.25">
      <c r="G306" s="41"/>
    </row>
    <row r="307" spans="7:7" x14ac:dyDescent="0.25">
      <c r="G307" s="41"/>
    </row>
    <row r="308" spans="7:7" x14ac:dyDescent="0.25">
      <c r="G308" s="41"/>
    </row>
    <row r="309" spans="7:7" x14ac:dyDescent="0.25">
      <c r="G309" s="41"/>
    </row>
    <row r="310" spans="7:7" x14ac:dyDescent="0.25">
      <c r="G310" s="41"/>
    </row>
    <row r="311" spans="7:7" x14ac:dyDescent="0.25">
      <c r="G311" s="41"/>
    </row>
    <row r="312" spans="7:7" x14ac:dyDescent="0.25">
      <c r="G312" s="41"/>
    </row>
    <row r="313" spans="7:7" x14ac:dyDescent="0.25">
      <c r="G313" s="41"/>
    </row>
    <row r="314" spans="7:7" x14ac:dyDescent="0.25">
      <c r="G314" s="41"/>
    </row>
    <row r="315" spans="7:7" x14ac:dyDescent="0.25">
      <c r="G315" s="41"/>
    </row>
    <row r="316" spans="7:7" x14ac:dyDescent="0.25">
      <c r="G316" s="41"/>
    </row>
    <row r="317" spans="7:7" x14ac:dyDescent="0.25">
      <c r="G317" s="41"/>
    </row>
    <row r="318" spans="7:7" x14ac:dyDescent="0.25">
      <c r="G318" s="41"/>
    </row>
    <row r="319" spans="7:7" x14ac:dyDescent="0.25">
      <c r="G319" s="41"/>
    </row>
    <row r="320" spans="7:7" x14ac:dyDescent="0.25">
      <c r="G320" s="41"/>
    </row>
    <row r="321" spans="7:7" x14ac:dyDescent="0.25">
      <c r="G321" s="41"/>
    </row>
    <row r="322" spans="7:7" x14ac:dyDescent="0.25">
      <c r="G322" s="41"/>
    </row>
    <row r="323" spans="7:7" x14ac:dyDescent="0.25">
      <c r="G323" s="41"/>
    </row>
    <row r="324" spans="7:7" x14ac:dyDescent="0.25">
      <c r="G324" s="41"/>
    </row>
    <row r="325" spans="7:7" x14ac:dyDescent="0.25">
      <c r="G325" s="41"/>
    </row>
    <row r="326" spans="7:7" x14ac:dyDescent="0.25">
      <c r="G326" s="41"/>
    </row>
    <row r="327" spans="7:7" x14ac:dyDescent="0.25">
      <c r="G327" s="41"/>
    </row>
    <row r="328" spans="7:7" x14ac:dyDescent="0.25">
      <c r="G328" s="41"/>
    </row>
    <row r="329" spans="7:7" x14ac:dyDescent="0.25">
      <c r="G329" s="41"/>
    </row>
    <row r="330" spans="7:7" x14ac:dyDescent="0.25">
      <c r="G330" s="41"/>
    </row>
    <row r="331" spans="7:7" x14ac:dyDescent="0.25">
      <c r="G331" s="41"/>
    </row>
    <row r="332" spans="7:7" x14ac:dyDescent="0.25">
      <c r="G332" s="41"/>
    </row>
    <row r="333" spans="7:7" x14ac:dyDescent="0.25">
      <c r="G333" s="41"/>
    </row>
    <row r="334" spans="7:7" x14ac:dyDescent="0.25">
      <c r="G334" s="41"/>
    </row>
    <row r="335" spans="7:7" x14ac:dyDescent="0.25">
      <c r="G335" s="41"/>
    </row>
    <row r="336" spans="7:7" x14ac:dyDescent="0.25">
      <c r="G336" s="41"/>
    </row>
    <row r="337" spans="7:7" x14ac:dyDescent="0.25">
      <c r="G337" s="41"/>
    </row>
    <row r="338" spans="7:7" x14ac:dyDescent="0.25">
      <c r="G338" s="41"/>
    </row>
    <row r="339" spans="7:7" x14ac:dyDescent="0.25">
      <c r="G339" s="41"/>
    </row>
    <row r="340" spans="7:7" x14ac:dyDescent="0.25">
      <c r="G340" s="41"/>
    </row>
    <row r="341" spans="7:7" x14ac:dyDescent="0.25">
      <c r="G341" s="41"/>
    </row>
    <row r="342" spans="7:7" x14ac:dyDescent="0.25">
      <c r="G342" s="41"/>
    </row>
    <row r="343" spans="7:7" x14ac:dyDescent="0.25">
      <c r="G343" s="41"/>
    </row>
    <row r="344" spans="7:7" x14ac:dyDescent="0.25">
      <c r="G344" s="41"/>
    </row>
    <row r="345" spans="7:7" x14ac:dyDescent="0.25">
      <c r="G345" s="41"/>
    </row>
    <row r="346" spans="7:7" x14ac:dyDescent="0.25">
      <c r="G346" s="41"/>
    </row>
    <row r="347" spans="7:7" x14ac:dyDescent="0.25">
      <c r="G347" s="41"/>
    </row>
    <row r="348" spans="7:7" x14ac:dyDescent="0.25">
      <c r="G348" s="41"/>
    </row>
    <row r="349" spans="7:7" x14ac:dyDescent="0.25">
      <c r="G349" s="41"/>
    </row>
    <row r="350" spans="7:7" x14ac:dyDescent="0.25">
      <c r="G350" s="41"/>
    </row>
    <row r="351" spans="7:7" x14ac:dyDescent="0.25">
      <c r="G351" s="41"/>
    </row>
    <row r="352" spans="7:7" x14ac:dyDescent="0.25">
      <c r="G352" s="41"/>
    </row>
    <row r="353" spans="7:7" x14ac:dyDescent="0.25">
      <c r="G353" s="41"/>
    </row>
    <row r="354" spans="7:7" x14ac:dyDescent="0.25">
      <c r="G354" s="41"/>
    </row>
    <row r="355" spans="7:7" x14ac:dyDescent="0.25">
      <c r="G355" s="41"/>
    </row>
    <row r="356" spans="7:7" x14ac:dyDescent="0.25">
      <c r="G356" s="41"/>
    </row>
    <row r="357" spans="7:7" x14ac:dyDescent="0.25">
      <c r="G357" s="41"/>
    </row>
    <row r="358" spans="7:7" x14ac:dyDescent="0.25">
      <c r="G358" s="41"/>
    </row>
    <row r="359" spans="7:7" x14ac:dyDescent="0.25">
      <c r="G359" s="41"/>
    </row>
    <row r="360" spans="7:7" x14ac:dyDescent="0.25">
      <c r="G360" s="41"/>
    </row>
    <row r="361" spans="7:7" x14ac:dyDescent="0.25">
      <c r="G361" s="41"/>
    </row>
    <row r="362" spans="7:7" x14ac:dyDescent="0.25">
      <c r="G362" s="41"/>
    </row>
    <row r="363" spans="7:7" x14ac:dyDescent="0.25">
      <c r="G363" s="41"/>
    </row>
    <row r="364" spans="7:7" x14ac:dyDescent="0.25">
      <c r="G364" s="41"/>
    </row>
    <row r="365" spans="7:7" x14ac:dyDescent="0.25">
      <c r="G365" s="41"/>
    </row>
    <row r="366" spans="7:7" x14ac:dyDescent="0.25">
      <c r="G366" s="41"/>
    </row>
    <row r="367" spans="7:7" x14ac:dyDescent="0.25">
      <c r="G367" s="41"/>
    </row>
    <row r="368" spans="7:7" x14ac:dyDescent="0.25">
      <c r="G368" s="41"/>
    </row>
    <row r="369" spans="7:7" x14ac:dyDescent="0.25">
      <c r="G369" s="41"/>
    </row>
    <row r="370" spans="7:7" x14ac:dyDescent="0.25">
      <c r="G370" s="41"/>
    </row>
    <row r="371" spans="7:7" x14ac:dyDescent="0.25">
      <c r="G371" s="41"/>
    </row>
    <row r="372" spans="7:7" x14ac:dyDescent="0.25">
      <c r="G372" s="41"/>
    </row>
    <row r="373" spans="7:7" x14ac:dyDescent="0.25">
      <c r="G373" s="41"/>
    </row>
    <row r="374" spans="7:7" x14ac:dyDescent="0.25">
      <c r="G374" s="41"/>
    </row>
    <row r="375" spans="7:7" x14ac:dyDescent="0.25">
      <c r="G375" s="41"/>
    </row>
    <row r="376" spans="7:7" x14ac:dyDescent="0.25">
      <c r="G376" s="41"/>
    </row>
    <row r="377" spans="7:7" x14ac:dyDescent="0.25">
      <c r="G377" s="41"/>
    </row>
    <row r="378" spans="7:7" x14ac:dyDescent="0.25">
      <c r="G378" s="41"/>
    </row>
    <row r="379" spans="7:7" x14ac:dyDescent="0.25">
      <c r="G379" s="41"/>
    </row>
    <row r="380" spans="7:7" x14ac:dyDescent="0.25">
      <c r="G380" s="41"/>
    </row>
    <row r="381" spans="7:7" x14ac:dyDescent="0.25">
      <c r="G381" s="41"/>
    </row>
    <row r="382" spans="7:7" x14ac:dyDescent="0.25">
      <c r="G382" s="41"/>
    </row>
    <row r="383" spans="7:7" x14ac:dyDescent="0.25">
      <c r="G383" s="41"/>
    </row>
    <row r="384" spans="7:7" x14ac:dyDescent="0.25">
      <c r="G384" s="41"/>
    </row>
    <row r="385" spans="7:7" x14ac:dyDescent="0.25">
      <c r="G385" s="41"/>
    </row>
    <row r="386" spans="7:7" x14ac:dyDescent="0.25">
      <c r="G386" s="41"/>
    </row>
    <row r="387" spans="7:7" x14ac:dyDescent="0.25">
      <c r="G387" s="41"/>
    </row>
    <row r="388" spans="7:7" x14ac:dyDescent="0.25">
      <c r="G388" s="41"/>
    </row>
    <row r="389" spans="7:7" x14ac:dyDescent="0.25">
      <c r="G389" s="41"/>
    </row>
    <row r="390" spans="7:7" x14ac:dyDescent="0.25">
      <c r="G390" s="41"/>
    </row>
    <row r="391" spans="7:7" x14ac:dyDescent="0.25">
      <c r="G391" s="41"/>
    </row>
    <row r="392" spans="7:7" x14ac:dyDescent="0.25">
      <c r="G392" s="41"/>
    </row>
    <row r="393" spans="7:7" x14ac:dyDescent="0.25">
      <c r="G393" s="41"/>
    </row>
    <row r="394" spans="7:7" x14ac:dyDescent="0.25">
      <c r="G394" s="41"/>
    </row>
    <row r="395" spans="7:7" x14ac:dyDescent="0.25">
      <c r="G395" s="41"/>
    </row>
    <row r="396" spans="7:7" x14ac:dyDescent="0.25">
      <c r="G396" s="41"/>
    </row>
    <row r="397" spans="7:7" x14ac:dyDescent="0.25">
      <c r="G397" s="41"/>
    </row>
    <row r="398" spans="7:7" x14ac:dyDescent="0.25">
      <c r="G398" s="41"/>
    </row>
    <row r="399" spans="7:7" x14ac:dyDescent="0.25">
      <c r="G399" s="41"/>
    </row>
    <row r="400" spans="7:7" x14ac:dyDescent="0.25">
      <c r="G400" s="41"/>
    </row>
    <row r="401" spans="7:7" x14ac:dyDescent="0.25">
      <c r="G401" s="41"/>
    </row>
    <row r="402" spans="7:7" x14ac:dyDescent="0.25">
      <c r="G402" s="41"/>
    </row>
    <row r="403" spans="7:7" x14ac:dyDescent="0.25">
      <c r="G403" s="41"/>
    </row>
    <row r="404" spans="7:7" x14ac:dyDescent="0.25">
      <c r="G404" s="41"/>
    </row>
    <row r="405" spans="7:7" x14ac:dyDescent="0.25">
      <c r="G405" s="41"/>
    </row>
    <row r="406" spans="7:7" x14ac:dyDescent="0.25">
      <c r="G406" s="41"/>
    </row>
    <row r="407" spans="7:7" x14ac:dyDescent="0.25">
      <c r="G407" s="41"/>
    </row>
    <row r="408" spans="7:7" x14ac:dyDescent="0.25">
      <c r="G408" s="41"/>
    </row>
    <row r="409" spans="7:7" x14ac:dyDescent="0.25">
      <c r="G409" s="41"/>
    </row>
    <row r="410" spans="7:7" x14ac:dyDescent="0.25">
      <c r="G410" s="41"/>
    </row>
    <row r="411" spans="7:7" x14ac:dyDescent="0.25">
      <c r="G411" s="41"/>
    </row>
    <row r="412" spans="7:7" x14ac:dyDescent="0.25">
      <c r="G412" s="41"/>
    </row>
    <row r="413" spans="7:7" x14ac:dyDescent="0.25">
      <c r="G413" s="41"/>
    </row>
    <row r="414" spans="7:7" x14ac:dyDescent="0.25">
      <c r="G414" s="41"/>
    </row>
    <row r="415" spans="7:7" x14ac:dyDescent="0.25">
      <c r="G415" s="41"/>
    </row>
    <row r="416" spans="7:7" x14ac:dyDescent="0.25">
      <c r="G416" s="41"/>
    </row>
    <row r="417" spans="7:7" x14ac:dyDescent="0.25">
      <c r="G417" s="41"/>
    </row>
    <row r="418" spans="7:7" x14ac:dyDescent="0.25">
      <c r="G418" s="41"/>
    </row>
    <row r="419" spans="7:7" x14ac:dyDescent="0.25">
      <c r="G419" s="41"/>
    </row>
    <row r="420" spans="7:7" x14ac:dyDescent="0.25">
      <c r="G420" s="41"/>
    </row>
    <row r="421" spans="7:7" x14ac:dyDescent="0.25">
      <c r="G421" s="41"/>
    </row>
    <row r="422" spans="7:7" x14ac:dyDescent="0.25">
      <c r="G422" s="41"/>
    </row>
    <row r="423" spans="7:7" x14ac:dyDescent="0.25">
      <c r="G423" s="41"/>
    </row>
    <row r="424" spans="7:7" x14ac:dyDescent="0.25">
      <c r="G424" s="41"/>
    </row>
    <row r="425" spans="7:7" x14ac:dyDescent="0.25">
      <c r="G425" s="41"/>
    </row>
    <row r="426" spans="7:7" x14ac:dyDescent="0.25">
      <c r="G426" s="41"/>
    </row>
    <row r="427" spans="7:7" x14ac:dyDescent="0.25">
      <c r="G427" s="41"/>
    </row>
    <row r="428" spans="7:7" x14ac:dyDescent="0.25">
      <c r="G428" s="41"/>
    </row>
    <row r="429" spans="7:7" x14ac:dyDescent="0.25">
      <c r="G429" s="41"/>
    </row>
    <row r="430" spans="7:7" x14ac:dyDescent="0.25">
      <c r="G430" s="41"/>
    </row>
    <row r="431" spans="7:7" x14ac:dyDescent="0.25">
      <c r="G431" s="41"/>
    </row>
    <row r="432" spans="7:7" x14ac:dyDescent="0.25">
      <c r="G432" s="41"/>
    </row>
    <row r="433" spans="7:7" x14ac:dyDescent="0.25">
      <c r="G433" s="41"/>
    </row>
    <row r="434" spans="7:7" x14ac:dyDescent="0.25">
      <c r="G434" s="41"/>
    </row>
    <row r="435" spans="7:7" x14ac:dyDescent="0.25">
      <c r="G435" s="41"/>
    </row>
    <row r="436" spans="7:7" x14ac:dyDescent="0.25">
      <c r="G436" s="41"/>
    </row>
    <row r="437" spans="7:7" x14ac:dyDescent="0.25">
      <c r="G437" s="41"/>
    </row>
    <row r="438" spans="7:7" x14ac:dyDescent="0.25">
      <c r="G438" s="41"/>
    </row>
    <row r="439" spans="7:7" x14ac:dyDescent="0.25">
      <c r="G439" s="41"/>
    </row>
    <row r="440" spans="7:7" x14ac:dyDescent="0.25">
      <c r="G440" s="41"/>
    </row>
    <row r="441" spans="7:7" x14ac:dyDescent="0.25">
      <c r="G441" s="41"/>
    </row>
    <row r="442" spans="7:7" x14ac:dyDescent="0.25">
      <c r="G442" s="41"/>
    </row>
    <row r="443" spans="7:7" x14ac:dyDescent="0.25">
      <c r="G443" s="41"/>
    </row>
    <row r="444" spans="7:7" x14ac:dyDescent="0.25">
      <c r="G444" s="41"/>
    </row>
    <row r="445" spans="7:7" x14ac:dyDescent="0.25">
      <c r="G445" s="41"/>
    </row>
    <row r="446" spans="7:7" x14ac:dyDescent="0.25">
      <c r="G446" s="41"/>
    </row>
    <row r="447" spans="7:7" x14ac:dyDescent="0.25">
      <c r="G447" s="41"/>
    </row>
    <row r="448" spans="7:7" x14ac:dyDescent="0.25">
      <c r="G448" s="41"/>
    </row>
    <row r="449" spans="7:7" x14ac:dyDescent="0.25">
      <c r="G449" s="41"/>
    </row>
    <row r="450" spans="7:7" x14ac:dyDescent="0.25">
      <c r="G450" s="41"/>
    </row>
    <row r="451" spans="7:7" x14ac:dyDescent="0.25">
      <c r="G451" s="41"/>
    </row>
    <row r="452" spans="7:7" x14ac:dyDescent="0.25">
      <c r="G452" s="41"/>
    </row>
    <row r="453" spans="7:7" x14ac:dyDescent="0.25">
      <c r="G453" s="41"/>
    </row>
    <row r="454" spans="7:7" x14ac:dyDescent="0.25">
      <c r="G454" s="41"/>
    </row>
    <row r="455" spans="7:7" x14ac:dyDescent="0.25">
      <c r="G455" s="41"/>
    </row>
    <row r="456" spans="7:7" x14ac:dyDescent="0.25">
      <c r="G456" s="41"/>
    </row>
    <row r="457" spans="7:7" x14ac:dyDescent="0.25">
      <c r="G457" s="41"/>
    </row>
    <row r="458" spans="7:7" x14ac:dyDescent="0.25">
      <c r="G458" s="41"/>
    </row>
    <row r="459" spans="7:7" x14ac:dyDescent="0.25">
      <c r="G459" s="41"/>
    </row>
    <row r="460" spans="7:7" x14ac:dyDescent="0.25">
      <c r="G460" s="41"/>
    </row>
    <row r="461" spans="7:7" x14ac:dyDescent="0.25">
      <c r="G461" s="41"/>
    </row>
    <row r="462" spans="7:7" x14ac:dyDescent="0.25">
      <c r="G462" s="41"/>
    </row>
    <row r="463" spans="7:7" x14ac:dyDescent="0.25">
      <c r="G463" s="41"/>
    </row>
    <row r="464" spans="7:7" x14ac:dyDescent="0.25">
      <c r="G464" s="41"/>
    </row>
    <row r="465" spans="7:7" x14ac:dyDescent="0.25">
      <c r="G465" s="41"/>
    </row>
    <row r="466" spans="7:7" x14ac:dyDescent="0.25">
      <c r="G466" s="41"/>
    </row>
    <row r="467" spans="7:7" x14ac:dyDescent="0.25">
      <c r="G467" s="41"/>
    </row>
    <row r="468" spans="7:7" x14ac:dyDescent="0.25">
      <c r="G468" s="41"/>
    </row>
    <row r="469" spans="7:7" x14ac:dyDescent="0.25">
      <c r="G469" s="41"/>
    </row>
    <row r="470" spans="7:7" x14ac:dyDescent="0.25">
      <c r="G470" s="41"/>
    </row>
    <row r="471" spans="7:7" x14ac:dyDescent="0.25">
      <c r="G471" s="41"/>
    </row>
    <row r="472" spans="7:7" x14ac:dyDescent="0.25">
      <c r="G472" s="41"/>
    </row>
    <row r="473" spans="7:7" x14ac:dyDescent="0.25">
      <c r="G473" s="41"/>
    </row>
    <row r="474" spans="7:7" x14ac:dyDescent="0.25">
      <c r="G474" s="41"/>
    </row>
    <row r="475" spans="7:7" x14ac:dyDescent="0.25">
      <c r="G475" s="41"/>
    </row>
    <row r="476" spans="7:7" x14ac:dyDescent="0.25">
      <c r="G476" s="41"/>
    </row>
    <row r="477" spans="7:7" x14ac:dyDescent="0.25">
      <c r="G477" s="41"/>
    </row>
    <row r="478" spans="7:7" x14ac:dyDescent="0.25">
      <c r="G478" s="41"/>
    </row>
    <row r="479" spans="7:7" x14ac:dyDescent="0.25">
      <c r="G479" s="41"/>
    </row>
    <row r="480" spans="7:7" x14ac:dyDescent="0.25">
      <c r="G480" s="41"/>
    </row>
    <row r="481" spans="7:7" x14ac:dyDescent="0.25">
      <c r="G481" s="41"/>
    </row>
    <row r="482" spans="7:7" x14ac:dyDescent="0.25">
      <c r="G482" s="41"/>
    </row>
    <row r="483" spans="7:7" x14ac:dyDescent="0.25">
      <c r="G483" s="41"/>
    </row>
    <row r="484" spans="7:7" x14ac:dyDescent="0.25">
      <c r="G484" s="41"/>
    </row>
    <row r="485" spans="7:7" x14ac:dyDescent="0.25">
      <c r="G485" s="41"/>
    </row>
    <row r="486" spans="7:7" x14ac:dyDescent="0.25">
      <c r="G486" s="41"/>
    </row>
    <row r="487" spans="7:7" x14ac:dyDescent="0.25">
      <c r="G487" s="41"/>
    </row>
    <row r="488" spans="7:7" x14ac:dyDescent="0.25">
      <c r="G488" s="41"/>
    </row>
    <row r="489" spans="7:7" x14ac:dyDescent="0.25">
      <c r="G489" s="41"/>
    </row>
    <row r="490" spans="7:7" x14ac:dyDescent="0.25">
      <c r="G490" s="41"/>
    </row>
    <row r="491" spans="7:7" x14ac:dyDescent="0.25">
      <c r="G491" s="41"/>
    </row>
    <row r="492" spans="7:7" x14ac:dyDescent="0.25">
      <c r="G492" s="41"/>
    </row>
    <row r="493" spans="7:7" x14ac:dyDescent="0.25">
      <c r="G493" s="41"/>
    </row>
    <row r="494" spans="7:7" x14ac:dyDescent="0.25">
      <c r="G494" s="41"/>
    </row>
    <row r="495" spans="7:7" x14ac:dyDescent="0.25">
      <c r="G495" s="41"/>
    </row>
    <row r="496" spans="7:7" x14ac:dyDescent="0.25">
      <c r="G496" s="41"/>
    </row>
    <row r="497" spans="7:7" x14ac:dyDescent="0.25">
      <c r="G497" s="41"/>
    </row>
    <row r="498" spans="7:7" x14ac:dyDescent="0.25">
      <c r="G498" s="41"/>
    </row>
    <row r="499" spans="7:7" x14ac:dyDescent="0.25">
      <c r="G499" s="41"/>
    </row>
    <row r="500" spans="7:7" x14ac:dyDescent="0.25">
      <c r="G500" s="41"/>
    </row>
    <row r="501" spans="7:7" x14ac:dyDescent="0.25">
      <c r="G501" s="41"/>
    </row>
    <row r="502" spans="7:7" x14ac:dyDescent="0.25">
      <c r="G502" s="41"/>
    </row>
    <row r="503" spans="7:7" x14ac:dyDescent="0.25">
      <c r="G503" s="41"/>
    </row>
    <row r="504" spans="7:7" x14ac:dyDescent="0.25">
      <c r="G504" s="41"/>
    </row>
    <row r="505" spans="7:7" x14ac:dyDescent="0.25">
      <c r="G505" s="41"/>
    </row>
    <row r="506" spans="7:7" x14ac:dyDescent="0.25">
      <c r="G506" s="41"/>
    </row>
    <row r="507" spans="7:7" x14ac:dyDescent="0.25">
      <c r="G507" s="41"/>
    </row>
    <row r="508" spans="7:7" x14ac:dyDescent="0.25">
      <c r="G508" s="41"/>
    </row>
    <row r="509" spans="7:7" x14ac:dyDescent="0.25">
      <c r="G509" s="41"/>
    </row>
    <row r="510" spans="7:7" x14ac:dyDescent="0.25">
      <c r="G510" s="41"/>
    </row>
    <row r="511" spans="7:7" x14ac:dyDescent="0.25">
      <c r="G511" s="41"/>
    </row>
    <row r="512" spans="7:7" x14ac:dyDescent="0.25">
      <c r="G512" s="41"/>
    </row>
    <row r="513" spans="7:7" x14ac:dyDescent="0.25">
      <c r="G513" s="41"/>
    </row>
    <row r="514" spans="7:7" x14ac:dyDescent="0.25">
      <c r="G514" s="41"/>
    </row>
    <row r="515" spans="7:7" x14ac:dyDescent="0.25">
      <c r="G515" s="41"/>
    </row>
    <row r="516" spans="7:7" x14ac:dyDescent="0.25">
      <c r="G516" s="41"/>
    </row>
    <row r="517" spans="7:7" x14ac:dyDescent="0.25">
      <c r="G517" s="41"/>
    </row>
    <row r="518" spans="7:7" x14ac:dyDescent="0.25">
      <c r="G518" s="41"/>
    </row>
    <row r="519" spans="7:7" x14ac:dyDescent="0.25">
      <c r="G519" s="41"/>
    </row>
    <row r="520" spans="7:7" x14ac:dyDescent="0.25">
      <c r="G520" s="41"/>
    </row>
    <row r="521" spans="7:7" x14ac:dyDescent="0.25">
      <c r="G521" s="41"/>
    </row>
    <row r="522" spans="7:7" x14ac:dyDescent="0.25">
      <c r="G522" s="41"/>
    </row>
    <row r="523" spans="7:7" x14ac:dyDescent="0.25">
      <c r="G523" s="41"/>
    </row>
    <row r="524" spans="7:7" x14ac:dyDescent="0.25">
      <c r="G524" s="41"/>
    </row>
    <row r="525" spans="7:7" x14ac:dyDescent="0.25">
      <c r="G525" s="41"/>
    </row>
    <row r="526" spans="7:7" x14ac:dyDescent="0.25">
      <c r="G526" s="41"/>
    </row>
    <row r="527" spans="7:7" x14ac:dyDescent="0.25">
      <c r="G527" s="41"/>
    </row>
    <row r="528" spans="7:7" x14ac:dyDescent="0.25">
      <c r="G528" s="41"/>
    </row>
    <row r="529" spans="7:7" x14ac:dyDescent="0.25">
      <c r="G529" s="41"/>
    </row>
    <row r="530" spans="7:7" x14ac:dyDescent="0.25">
      <c r="G530" s="41"/>
    </row>
    <row r="531" spans="7:7" x14ac:dyDescent="0.25">
      <c r="G531" s="41"/>
    </row>
    <row r="532" spans="7:7" x14ac:dyDescent="0.25">
      <c r="G532" s="41"/>
    </row>
    <row r="533" spans="7:7" x14ac:dyDescent="0.25">
      <c r="G533" s="41"/>
    </row>
    <row r="534" spans="7:7" x14ac:dyDescent="0.25">
      <c r="G534" s="41"/>
    </row>
    <row r="535" spans="7:7" x14ac:dyDescent="0.25">
      <c r="G535" s="41"/>
    </row>
    <row r="536" spans="7:7" x14ac:dyDescent="0.25">
      <c r="G536" s="41"/>
    </row>
    <row r="537" spans="7:7" x14ac:dyDescent="0.25">
      <c r="G537" s="41"/>
    </row>
    <row r="538" spans="7:7" x14ac:dyDescent="0.25">
      <c r="G538" s="41"/>
    </row>
    <row r="539" spans="7:7" x14ac:dyDescent="0.25">
      <c r="G539" s="41"/>
    </row>
    <row r="540" spans="7:7" x14ac:dyDescent="0.25">
      <c r="G540" s="41"/>
    </row>
    <row r="541" spans="7:7" x14ac:dyDescent="0.25">
      <c r="G541" s="41"/>
    </row>
    <row r="542" spans="7:7" x14ac:dyDescent="0.25">
      <c r="G542" s="41"/>
    </row>
    <row r="543" spans="7:7" x14ac:dyDescent="0.25">
      <c r="G543" s="41"/>
    </row>
    <row r="544" spans="7:7" x14ac:dyDescent="0.25">
      <c r="G544" s="41"/>
    </row>
    <row r="545" spans="7:7" x14ac:dyDescent="0.25">
      <c r="G545" s="41"/>
    </row>
    <row r="546" spans="7:7" x14ac:dyDescent="0.25">
      <c r="G546" s="41"/>
    </row>
    <row r="547" spans="7:7" x14ac:dyDescent="0.25">
      <c r="G547" s="41"/>
    </row>
    <row r="548" spans="7:7" x14ac:dyDescent="0.25">
      <c r="G548" s="41"/>
    </row>
    <row r="549" spans="7:7" x14ac:dyDescent="0.25">
      <c r="G549" s="41"/>
    </row>
    <row r="550" spans="7:7" x14ac:dyDescent="0.25">
      <c r="G550" s="41"/>
    </row>
    <row r="551" spans="7:7" x14ac:dyDescent="0.25">
      <c r="G551" s="41"/>
    </row>
    <row r="552" spans="7:7" x14ac:dyDescent="0.25">
      <c r="G552" s="41"/>
    </row>
    <row r="553" spans="7:7" x14ac:dyDescent="0.25">
      <c r="G553" s="41"/>
    </row>
    <row r="554" spans="7:7" x14ac:dyDescent="0.25">
      <c r="G554" s="41"/>
    </row>
    <row r="555" spans="7:7" x14ac:dyDescent="0.25">
      <c r="G555" s="41"/>
    </row>
    <row r="556" spans="7:7" x14ac:dyDescent="0.25">
      <c r="G556" s="41"/>
    </row>
    <row r="557" spans="7:7" x14ac:dyDescent="0.25">
      <c r="G557" s="41"/>
    </row>
    <row r="558" spans="7:7" x14ac:dyDescent="0.25">
      <c r="G558" s="41"/>
    </row>
    <row r="559" spans="7:7" x14ac:dyDescent="0.25">
      <c r="G559" s="41"/>
    </row>
    <row r="560" spans="7:7" x14ac:dyDescent="0.25">
      <c r="G560" s="41"/>
    </row>
    <row r="561" spans="7:7" x14ac:dyDescent="0.25">
      <c r="G561" s="41"/>
    </row>
    <row r="562" spans="7:7" x14ac:dyDescent="0.25">
      <c r="G562" s="41"/>
    </row>
    <row r="563" spans="7:7" x14ac:dyDescent="0.25">
      <c r="G563" s="41"/>
    </row>
    <row r="564" spans="7:7" x14ac:dyDescent="0.25">
      <c r="G564" s="41"/>
    </row>
    <row r="565" spans="7:7" x14ac:dyDescent="0.25">
      <c r="G565" s="41"/>
    </row>
    <row r="566" spans="7:7" x14ac:dyDescent="0.25">
      <c r="G566" s="41"/>
    </row>
    <row r="567" spans="7:7" x14ac:dyDescent="0.25">
      <c r="G567" s="41"/>
    </row>
    <row r="568" spans="7:7" x14ac:dyDescent="0.25">
      <c r="G568" s="41"/>
    </row>
    <row r="569" spans="7:7" x14ac:dyDescent="0.25">
      <c r="G569" s="41"/>
    </row>
    <row r="570" spans="7:7" x14ac:dyDescent="0.25">
      <c r="G570" s="41"/>
    </row>
    <row r="571" spans="7:7" x14ac:dyDescent="0.25">
      <c r="G571" s="41"/>
    </row>
    <row r="572" spans="7:7" x14ac:dyDescent="0.25">
      <c r="G572" s="41"/>
    </row>
    <row r="573" spans="7:7" x14ac:dyDescent="0.25">
      <c r="G573" s="41"/>
    </row>
    <row r="574" spans="7:7" x14ac:dyDescent="0.25">
      <c r="G574" s="41"/>
    </row>
    <row r="575" spans="7:7" x14ac:dyDescent="0.25">
      <c r="G575" s="41"/>
    </row>
    <row r="576" spans="7:7" x14ac:dyDescent="0.25">
      <c r="G576" s="41"/>
    </row>
    <row r="577" spans="7:7" x14ac:dyDescent="0.25">
      <c r="G577" s="41"/>
    </row>
    <row r="578" spans="7:7" x14ac:dyDescent="0.25">
      <c r="G578" s="41"/>
    </row>
    <row r="579" spans="7:7" x14ac:dyDescent="0.25">
      <c r="G579" s="41"/>
    </row>
    <row r="580" spans="7:7" x14ac:dyDescent="0.25">
      <c r="G580" s="41"/>
    </row>
    <row r="581" spans="7:7" x14ac:dyDescent="0.25">
      <c r="G581" s="41"/>
    </row>
    <row r="582" spans="7:7" x14ac:dyDescent="0.25">
      <c r="G582" s="41"/>
    </row>
    <row r="583" spans="7:7" x14ac:dyDescent="0.25">
      <c r="G583" s="41"/>
    </row>
    <row r="584" spans="7:7" x14ac:dyDescent="0.25">
      <c r="G584" s="41"/>
    </row>
    <row r="585" spans="7:7" x14ac:dyDescent="0.25">
      <c r="G585" s="41"/>
    </row>
    <row r="586" spans="7:7" x14ac:dyDescent="0.25">
      <c r="G586" s="41"/>
    </row>
    <row r="587" spans="7:7" x14ac:dyDescent="0.25">
      <c r="G587" s="41"/>
    </row>
    <row r="588" spans="7:7" x14ac:dyDescent="0.25">
      <c r="G588" s="41"/>
    </row>
    <row r="589" spans="7:7" x14ac:dyDescent="0.25">
      <c r="G589" s="41"/>
    </row>
    <row r="590" spans="7:7" x14ac:dyDescent="0.25">
      <c r="G590" s="41"/>
    </row>
    <row r="591" spans="7:7" x14ac:dyDescent="0.25">
      <c r="G591" s="41"/>
    </row>
    <row r="592" spans="7:7" x14ac:dyDescent="0.25">
      <c r="G592" s="41"/>
    </row>
    <row r="593" spans="7:7" x14ac:dyDescent="0.25">
      <c r="G593" s="41"/>
    </row>
    <row r="594" spans="7:7" x14ac:dyDescent="0.25">
      <c r="G594" s="41"/>
    </row>
    <row r="595" spans="7:7" x14ac:dyDescent="0.25">
      <c r="G595" s="41"/>
    </row>
    <row r="596" spans="7:7" x14ac:dyDescent="0.25">
      <c r="G596" s="41"/>
    </row>
    <row r="597" spans="7:7" x14ac:dyDescent="0.25">
      <c r="G597" s="41"/>
    </row>
    <row r="598" spans="7:7" x14ac:dyDescent="0.25">
      <c r="G598" s="41"/>
    </row>
    <row r="599" spans="7:7" x14ac:dyDescent="0.25">
      <c r="G599" s="41"/>
    </row>
    <row r="600" spans="7:7" x14ac:dyDescent="0.25">
      <c r="G600" s="41"/>
    </row>
    <row r="601" spans="7:7" x14ac:dyDescent="0.25">
      <c r="G601" s="41"/>
    </row>
    <row r="602" spans="7:7" x14ac:dyDescent="0.25">
      <c r="G602" s="41"/>
    </row>
    <row r="603" spans="7:7" x14ac:dyDescent="0.25">
      <c r="G603" s="41"/>
    </row>
    <row r="604" spans="7:7" x14ac:dyDescent="0.25">
      <c r="G604" s="41"/>
    </row>
    <row r="605" spans="7:7" x14ac:dyDescent="0.25">
      <c r="G605" s="41"/>
    </row>
    <row r="606" spans="7:7" x14ac:dyDescent="0.25">
      <c r="G606" s="41"/>
    </row>
    <row r="607" spans="7:7" x14ac:dyDescent="0.25">
      <c r="G607" s="41"/>
    </row>
    <row r="608" spans="7:7" x14ac:dyDescent="0.25">
      <c r="G608" s="41"/>
    </row>
    <row r="609" spans="7:7" x14ac:dyDescent="0.25">
      <c r="G609" s="41"/>
    </row>
    <row r="610" spans="7:7" x14ac:dyDescent="0.25">
      <c r="G610" s="41"/>
    </row>
    <row r="611" spans="7:7" x14ac:dyDescent="0.25">
      <c r="G611" s="41"/>
    </row>
    <row r="612" spans="7:7" x14ac:dyDescent="0.25">
      <c r="G612" s="41"/>
    </row>
    <row r="613" spans="7:7" x14ac:dyDescent="0.25">
      <c r="G613" s="41"/>
    </row>
    <row r="614" spans="7:7" x14ac:dyDescent="0.25">
      <c r="G614" s="41"/>
    </row>
    <row r="615" spans="7:7" x14ac:dyDescent="0.25">
      <c r="G615" s="41"/>
    </row>
    <row r="616" spans="7:7" x14ac:dyDescent="0.25">
      <c r="G616" s="41"/>
    </row>
    <row r="617" spans="7:7" x14ac:dyDescent="0.25">
      <c r="G617" s="41"/>
    </row>
    <row r="618" spans="7:7" x14ac:dyDescent="0.25">
      <c r="G618" s="41"/>
    </row>
    <row r="619" spans="7:7" x14ac:dyDescent="0.25">
      <c r="G619" s="41"/>
    </row>
    <row r="620" spans="7:7" x14ac:dyDescent="0.25">
      <c r="G620" s="41"/>
    </row>
    <row r="621" spans="7:7" x14ac:dyDescent="0.25">
      <c r="G621" s="41"/>
    </row>
    <row r="622" spans="7:7" x14ac:dyDescent="0.25">
      <c r="G622" s="41"/>
    </row>
    <row r="623" spans="7:7" x14ac:dyDescent="0.25">
      <c r="G623" s="41"/>
    </row>
    <row r="624" spans="7:7" x14ac:dyDescent="0.25">
      <c r="G624" s="41"/>
    </row>
    <row r="625" spans="7:7" x14ac:dyDescent="0.25">
      <c r="G625" s="41"/>
    </row>
    <row r="626" spans="7:7" x14ac:dyDescent="0.25">
      <c r="G626" s="41"/>
    </row>
    <row r="627" spans="7:7" x14ac:dyDescent="0.25">
      <c r="G627" s="41"/>
    </row>
    <row r="628" spans="7:7" x14ac:dyDescent="0.25">
      <c r="G628" s="41"/>
    </row>
    <row r="629" spans="7:7" x14ac:dyDescent="0.25">
      <c r="G629" s="41"/>
    </row>
    <row r="630" spans="7:7" x14ac:dyDescent="0.25">
      <c r="G630" s="41"/>
    </row>
    <row r="631" spans="7:7" x14ac:dyDescent="0.25">
      <c r="G631" s="41"/>
    </row>
    <row r="632" spans="7:7" x14ac:dyDescent="0.25">
      <c r="G632" s="41"/>
    </row>
    <row r="633" spans="7:7" x14ac:dyDescent="0.25">
      <c r="G633" s="41"/>
    </row>
    <row r="634" spans="7:7" x14ac:dyDescent="0.25">
      <c r="G634" s="41"/>
    </row>
    <row r="635" spans="7:7" x14ac:dyDescent="0.25">
      <c r="G635" s="41"/>
    </row>
    <row r="636" spans="7:7" x14ac:dyDescent="0.25">
      <c r="G636" s="41"/>
    </row>
    <row r="637" spans="7:7" x14ac:dyDescent="0.25">
      <c r="G637" s="41"/>
    </row>
    <row r="638" spans="7:7" x14ac:dyDescent="0.25">
      <c r="G638" s="41"/>
    </row>
    <row r="639" spans="7:7" x14ac:dyDescent="0.25">
      <c r="G639" s="41"/>
    </row>
    <row r="640" spans="7:7" x14ac:dyDescent="0.25">
      <c r="G640" s="41"/>
    </row>
    <row r="641" spans="7:7" x14ac:dyDescent="0.25">
      <c r="G641" s="41"/>
    </row>
    <row r="642" spans="7:7" x14ac:dyDescent="0.25">
      <c r="G642" s="41"/>
    </row>
    <row r="643" spans="7:7" x14ac:dyDescent="0.25">
      <c r="G643" s="41"/>
    </row>
    <row r="644" spans="7:7" x14ac:dyDescent="0.25">
      <c r="G644" s="41"/>
    </row>
    <row r="645" spans="7:7" x14ac:dyDescent="0.25">
      <c r="G645" s="41"/>
    </row>
    <row r="646" spans="7:7" x14ac:dyDescent="0.25">
      <c r="G646" s="41"/>
    </row>
    <row r="647" spans="7:7" x14ac:dyDescent="0.25">
      <c r="G647" s="41"/>
    </row>
    <row r="648" spans="7:7" x14ac:dyDescent="0.25">
      <c r="G648" s="41"/>
    </row>
    <row r="649" spans="7:7" x14ac:dyDescent="0.25">
      <c r="G649" s="41"/>
    </row>
    <row r="650" spans="7:7" x14ac:dyDescent="0.25">
      <c r="G650" s="41"/>
    </row>
    <row r="651" spans="7:7" x14ac:dyDescent="0.25">
      <c r="G651" s="41"/>
    </row>
    <row r="652" spans="7:7" x14ac:dyDescent="0.25">
      <c r="G652" s="41"/>
    </row>
    <row r="653" spans="7:7" x14ac:dyDescent="0.25">
      <c r="G653" s="41"/>
    </row>
    <row r="654" spans="7:7" x14ac:dyDescent="0.25">
      <c r="G654" s="41"/>
    </row>
    <row r="655" spans="7:7" x14ac:dyDescent="0.25">
      <c r="G655" s="41"/>
    </row>
    <row r="656" spans="7:7" x14ac:dyDescent="0.25">
      <c r="G656" s="41"/>
    </row>
    <row r="657" spans="7:7" x14ac:dyDescent="0.25">
      <c r="G657" s="41"/>
    </row>
    <row r="658" spans="7:7" x14ac:dyDescent="0.25">
      <c r="G658" s="41"/>
    </row>
    <row r="659" spans="7:7" x14ac:dyDescent="0.25">
      <c r="G659" s="41"/>
    </row>
    <row r="660" spans="7:7" x14ac:dyDescent="0.25">
      <c r="G660" s="41"/>
    </row>
    <row r="661" spans="7:7" x14ac:dyDescent="0.25">
      <c r="G661" s="41"/>
    </row>
    <row r="662" spans="7:7" x14ac:dyDescent="0.25">
      <c r="G662" s="41"/>
    </row>
    <row r="663" spans="7:7" x14ac:dyDescent="0.25">
      <c r="G663" s="41"/>
    </row>
    <row r="664" spans="7:7" x14ac:dyDescent="0.25">
      <c r="G664" s="41"/>
    </row>
    <row r="665" spans="7:7" x14ac:dyDescent="0.25">
      <c r="G665" s="41"/>
    </row>
    <row r="666" spans="7:7" x14ac:dyDescent="0.25">
      <c r="G666" s="41"/>
    </row>
    <row r="667" spans="7:7" x14ac:dyDescent="0.25">
      <c r="G667" s="41"/>
    </row>
    <row r="668" spans="7:7" x14ac:dyDescent="0.25">
      <c r="G668" s="41"/>
    </row>
    <row r="669" spans="7:7" x14ac:dyDescent="0.25">
      <c r="G669" s="41"/>
    </row>
    <row r="670" spans="7:7" x14ac:dyDescent="0.25">
      <c r="G670" s="41"/>
    </row>
    <row r="671" spans="7:7" x14ac:dyDescent="0.25">
      <c r="G671" s="41"/>
    </row>
    <row r="672" spans="7:7" x14ac:dyDescent="0.25">
      <c r="G672" s="41"/>
    </row>
    <row r="673" spans="7:7" x14ac:dyDescent="0.25">
      <c r="G673" s="41"/>
    </row>
    <row r="674" spans="7:7" x14ac:dyDescent="0.25">
      <c r="G674" s="41"/>
    </row>
    <row r="675" spans="7:7" x14ac:dyDescent="0.25">
      <c r="G675" s="41"/>
    </row>
    <row r="676" spans="7:7" x14ac:dyDescent="0.25">
      <c r="G676" s="41"/>
    </row>
    <row r="677" spans="7:7" x14ac:dyDescent="0.25">
      <c r="G677" s="41"/>
    </row>
    <row r="678" spans="7:7" x14ac:dyDescent="0.25">
      <c r="G678" s="41"/>
    </row>
    <row r="679" spans="7:7" x14ac:dyDescent="0.25">
      <c r="G679" s="41"/>
    </row>
    <row r="680" spans="7:7" x14ac:dyDescent="0.25">
      <c r="G680" s="41"/>
    </row>
    <row r="681" spans="7:7" x14ac:dyDescent="0.25">
      <c r="G681" s="41"/>
    </row>
    <row r="682" spans="7:7" x14ac:dyDescent="0.25">
      <c r="G682" s="41"/>
    </row>
    <row r="683" spans="7:7" x14ac:dyDescent="0.25">
      <c r="G683" s="41"/>
    </row>
    <row r="684" spans="7:7" x14ac:dyDescent="0.25">
      <c r="G684" s="41"/>
    </row>
    <row r="685" spans="7:7" x14ac:dyDescent="0.25">
      <c r="G685" s="41"/>
    </row>
    <row r="686" spans="7:7" x14ac:dyDescent="0.25">
      <c r="G686" s="41"/>
    </row>
    <row r="687" spans="7:7" x14ac:dyDescent="0.25">
      <c r="G687" s="41"/>
    </row>
    <row r="688" spans="7:7" x14ac:dyDescent="0.25">
      <c r="G688" s="41"/>
    </row>
    <row r="689" spans="7:7" x14ac:dyDescent="0.25">
      <c r="G689" s="41"/>
    </row>
    <row r="690" spans="7:7" x14ac:dyDescent="0.25">
      <c r="G690" s="41"/>
    </row>
    <row r="691" spans="7:7" x14ac:dyDescent="0.25">
      <c r="G691" s="41"/>
    </row>
    <row r="692" spans="7:7" x14ac:dyDescent="0.25">
      <c r="G692" s="41"/>
    </row>
    <row r="693" spans="7:7" x14ac:dyDescent="0.25">
      <c r="G693" s="41"/>
    </row>
    <row r="694" spans="7:7" x14ac:dyDescent="0.25">
      <c r="G694" s="41"/>
    </row>
    <row r="695" spans="7:7" x14ac:dyDescent="0.25">
      <c r="G695" s="41"/>
    </row>
    <row r="696" spans="7:7" x14ac:dyDescent="0.25">
      <c r="G696" s="41"/>
    </row>
    <row r="697" spans="7:7" x14ac:dyDescent="0.25">
      <c r="G697" s="41"/>
    </row>
    <row r="698" spans="7:7" x14ac:dyDescent="0.25">
      <c r="G698" s="41"/>
    </row>
    <row r="699" spans="7:7" x14ac:dyDescent="0.25">
      <c r="G699" s="41"/>
    </row>
    <row r="700" spans="7:7" x14ac:dyDescent="0.25">
      <c r="G700" s="41"/>
    </row>
    <row r="701" spans="7:7" x14ac:dyDescent="0.25">
      <c r="G701" s="41"/>
    </row>
    <row r="702" spans="7:7" x14ac:dyDescent="0.25">
      <c r="G702" s="41"/>
    </row>
    <row r="703" spans="7:7" x14ac:dyDescent="0.25">
      <c r="G703" s="41"/>
    </row>
    <row r="704" spans="7:7" x14ac:dyDescent="0.25">
      <c r="G704" s="41"/>
    </row>
    <row r="705" spans="7:7" x14ac:dyDescent="0.25">
      <c r="G705" s="41"/>
    </row>
    <row r="706" spans="7:7" x14ac:dyDescent="0.25">
      <c r="G706" s="41"/>
    </row>
    <row r="707" spans="7:7" x14ac:dyDescent="0.25">
      <c r="G707" s="41"/>
    </row>
    <row r="708" spans="7:7" x14ac:dyDescent="0.25">
      <c r="G708" s="41"/>
    </row>
    <row r="709" spans="7:7" x14ac:dyDescent="0.25">
      <c r="G709" s="41"/>
    </row>
    <row r="710" spans="7:7" x14ac:dyDescent="0.25">
      <c r="G710" s="41"/>
    </row>
    <row r="711" spans="7:7" x14ac:dyDescent="0.25">
      <c r="G711" s="41"/>
    </row>
    <row r="712" spans="7:7" x14ac:dyDescent="0.25">
      <c r="G712" s="41"/>
    </row>
    <row r="713" spans="7:7" x14ac:dyDescent="0.25">
      <c r="G713" s="41"/>
    </row>
    <row r="714" spans="7:7" x14ac:dyDescent="0.25">
      <c r="G714" s="41"/>
    </row>
    <row r="715" spans="7:7" x14ac:dyDescent="0.25">
      <c r="G715" s="41"/>
    </row>
    <row r="716" spans="7:7" x14ac:dyDescent="0.25">
      <c r="G716" s="41"/>
    </row>
    <row r="717" spans="7:7" x14ac:dyDescent="0.25">
      <c r="G717" s="41"/>
    </row>
    <row r="718" spans="7:7" x14ac:dyDescent="0.25">
      <c r="G718" s="41"/>
    </row>
    <row r="719" spans="7:7" x14ac:dyDescent="0.25">
      <c r="G719" s="41"/>
    </row>
    <row r="720" spans="7:7" x14ac:dyDescent="0.25">
      <c r="G720" s="41"/>
    </row>
    <row r="721" spans="7:7" x14ac:dyDescent="0.25">
      <c r="G721" s="41"/>
    </row>
    <row r="722" spans="7:7" x14ac:dyDescent="0.25">
      <c r="G722" s="41"/>
    </row>
    <row r="723" spans="7:7" x14ac:dyDescent="0.25">
      <c r="G723" s="41"/>
    </row>
    <row r="724" spans="7:7" x14ac:dyDescent="0.25">
      <c r="G724" s="41"/>
    </row>
    <row r="725" spans="7:7" x14ac:dyDescent="0.25">
      <c r="G725" s="41"/>
    </row>
    <row r="726" spans="7:7" x14ac:dyDescent="0.25">
      <c r="G726" s="41"/>
    </row>
    <row r="727" spans="7:7" x14ac:dyDescent="0.25">
      <c r="G727" s="41"/>
    </row>
    <row r="728" spans="7:7" x14ac:dyDescent="0.25">
      <c r="G728" s="41"/>
    </row>
    <row r="729" spans="7:7" x14ac:dyDescent="0.25">
      <c r="G729" s="41"/>
    </row>
    <row r="730" spans="7:7" x14ac:dyDescent="0.25">
      <c r="G730" s="41"/>
    </row>
    <row r="731" spans="7:7" x14ac:dyDescent="0.25">
      <c r="G731" s="41"/>
    </row>
    <row r="732" spans="7:7" x14ac:dyDescent="0.25">
      <c r="G732" s="41"/>
    </row>
    <row r="733" spans="7:7" x14ac:dyDescent="0.25">
      <c r="G733" s="41"/>
    </row>
    <row r="734" spans="7:7" x14ac:dyDescent="0.25">
      <c r="G734" s="41"/>
    </row>
    <row r="735" spans="7:7" x14ac:dyDescent="0.25">
      <c r="G735" s="41"/>
    </row>
    <row r="736" spans="7:7" x14ac:dyDescent="0.25">
      <c r="G736" s="41"/>
    </row>
    <row r="737" spans="7:7" x14ac:dyDescent="0.25">
      <c r="G737" s="41"/>
    </row>
    <row r="738" spans="7:7" x14ac:dyDescent="0.25">
      <c r="G738" s="41"/>
    </row>
    <row r="739" spans="7:7" x14ac:dyDescent="0.25">
      <c r="G739" s="41"/>
    </row>
    <row r="740" spans="7:7" x14ac:dyDescent="0.25">
      <c r="G740" s="41"/>
    </row>
    <row r="741" spans="7:7" x14ac:dyDescent="0.25">
      <c r="G741" s="41"/>
    </row>
    <row r="742" spans="7:7" x14ac:dyDescent="0.25">
      <c r="G742" s="41"/>
    </row>
    <row r="743" spans="7:7" x14ac:dyDescent="0.25">
      <c r="G743" s="41"/>
    </row>
    <row r="744" spans="7:7" x14ac:dyDescent="0.25">
      <c r="G744" s="41"/>
    </row>
    <row r="745" spans="7:7" x14ac:dyDescent="0.25">
      <c r="G745" s="41"/>
    </row>
    <row r="746" spans="7:7" x14ac:dyDescent="0.25">
      <c r="G746" s="41"/>
    </row>
    <row r="747" spans="7:7" x14ac:dyDescent="0.25">
      <c r="G747" s="41"/>
    </row>
    <row r="748" spans="7:7" x14ac:dyDescent="0.25">
      <c r="G748" s="41"/>
    </row>
    <row r="749" spans="7:7" x14ac:dyDescent="0.25">
      <c r="G749" s="41"/>
    </row>
    <row r="750" spans="7:7" x14ac:dyDescent="0.25">
      <c r="G750" s="41"/>
    </row>
    <row r="751" spans="7:7" x14ac:dyDescent="0.25">
      <c r="G751" s="41"/>
    </row>
    <row r="752" spans="7:7" x14ac:dyDescent="0.25">
      <c r="G752" s="41"/>
    </row>
    <row r="753" spans="7:7" x14ac:dyDescent="0.25">
      <c r="G753" s="41"/>
    </row>
    <row r="754" spans="7:7" x14ac:dyDescent="0.25">
      <c r="G754" s="41"/>
    </row>
    <row r="755" spans="7:7" x14ac:dyDescent="0.25">
      <c r="G755" s="41"/>
    </row>
    <row r="756" spans="7:7" x14ac:dyDescent="0.25">
      <c r="G756" s="41"/>
    </row>
    <row r="757" spans="7:7" x14ac:dyDescent="0.25">
      <c r="G757" s="41"/>
    </row>
    <row r="758" spans="7:7" x14ac:dyDescent="0.25">
      <c r="G758" s="41"/>
    </row>
    <row r="759" spans="7:7" x14ac:dyDescent="0.25">
      <c r="G759" s="41"/>
    </row>
    <row r="760" spans="7:7" x14ac:dyDescent="0.25">
      <c r="G760" s="41"/>
    </row>
    <row r="761" spans="7:7" x14ac:dyDescent="0.25">
      <c r="G761" s="41"/>
    </row>
    <row r="762" spans="7:7" x14ac:dyDescent="0.25">
      <c r="G762" s="41"/>
    </row>
    <row r="763" spans="7:7" x14ac:dyDescent="0.25">
      <c r="G763" s="41"/>
    </row>
    <row r="764" spans="7:7" x14ac:dyDescent="0.25">
      <c r="G764" s="41"/>
    </row>
    <row r="765" spans="7:7" x14ac:dyDescent="0.25">
      <c r="G765" s="41"/>
    </row>
    <row r="766" spans="7:7" x14ac:dyDescent="0.25">
      <c r="G766" s="41"/>
    </row>
    <row r="767" spans="7:7" x14ac:dyDescent="0.25">
      <c r="G767" s="41"/>
    </row>
    <row r="768" spans="7:7" x14ac:dyDescent="0.25">
      <c r="G768" s="41"/>
    </row>
    <row r="769" spans="7:7" x14ac:dyDescent="0.25">
      <c r="G769" s="41"/>
    </row>
    <row r="770" spans="7:7" x14ac:dyDescent="0.25">
      <c r="G770" s="41"/>
    </row>
    <row r="771" spans="7:7" x14ac:dyDescent="0.25">
      <c r="G771" s="41"/>
    </row>
    <row r="772" spans="7:7" x14ac:dyDescent="0.25">
      <c r="G772" s="41"/>
    </row>
    <row r="773" spans="7:7" x14ac:dyDescent="0.25">
      <c r="G773" s="41"/>
    </row>
    <row r="774" spans="7:7" x14ac:dyDescent="0.25">
      <c r="G774" s="41"/>
    </row>
    <row r="775" spans="7:7" x14ac:dyDescent="0.25">
      <c r="G775" s="41"/>
    </row>
    <row r="776" spans="7:7" x14ac:dyDescent="0.25">
      <c r="G776" s="41"/>
    </row>
    <row r="777" spans="7:7" x14ac:dyDescent="0.25">
      <c r="G777" s="41"/>
    </row>
    <row r="778" spans="7:7" x14ac:dyDescent="0.25">
      <c r="G778" s="41"/>
    </row>
    <row r="779" spans="7:7" x14ac:dyDescent="0.25">
      <c r="G779" s="41"/>
    </row>
    <row r="780" spans="7:7" x14ac:dyDescent="0.25">
      <c r="G780" s="41"/>
    </row>
    <row r="781" spans="7:7" x14ac:dyDescent="0.25">
      <c r="G781" s="41"/>
    </row>
    <row r="782" spans="7:7" x14ac:dyDescent="0.25">
      <c r="G782" s="41"/>
    </row>
    <row r="783" spans="7:7" x14ac:dyDescent="0.25">
      <c r="G783" s="41"/>
    </row>
    <row r="784" spans="7:7" x14ac:dyDescent="0.25">
      <c r="G784" s="41"/>
    </row>
    <row r="785" spans="7:7" x14ac:dyDescent="0.25">
      <c r="G785" s="41"/>
    </row>
    <row r="786" spans="7:7" x14ac:dyDescent="0.25">
      <c r="G786" s="41"/>
    </row>
    <row r="787" spans="7:7" x14ac:dyDescent="0.25">
      <c r="G787" s="41"/>
    </row>
    <row r="788" spans="7:7" x14ac:dyDescent="0.25">
      <c r="G788" s="41"/>
    </row>
    <row r="789" spans="7:7" x14ac:dyDescent="0.25">
      <c r="G789" s="41"/>
    </row>
    <row r="790" spans="7:7" x14ac:dyDescent="0.25">
      <c r="G790" s="41"/>
    </row>
    <row r="791" spans="7:7" x14ac:dyDescent="0.25">
      <c r="G791" s="41"/>
    </row>
    <row r="792" spans="7:7" x14ac:dyDescent="0.25">
      <c r="G792" s="41"/>
    </row>
    <row r="793" spans="7:7" x14ac:dyDescent="0.25">
      <c r="G793" s="41"/>
    </row>
    <row r="794" spans="7:7" x14ac:dyDescent="0.25">
      <c r="G794" s="41"/>
    </row>
    <row r="795" spans="7:7" x14ac:dyDescent="0.25">
      <c r="G795" s="41"/>
    </row>
    <row r="796" spans="7:7" x14ac:dyDescent="0.25">
      <c r="G796" s="41"/>
    </row>
    <row r="797" spans="7:7" x14ac:dyDescent="0.25">
      <c r="G797" s="41"/>
    </row>
    <row r="798" spans="7:7" x14ac:dyDescent="0.25">
      <c r="G798" s="41"/>
    </row>
    <row r="799" spans="7:7" x14ac:dyDescent="0.25">
      <c r="G799" s="41"/>
    </row>
    <row r="800" spans="7:7" x14ac:dyDescent="0.25">
      <c r="G800" s="41"/>
    </row>
    <row r="801" spans="7:7" x14ac:dyDescent="0.25">
      <c r="G801" s="41"/>
    </row>
    <row r="802" spans="7:7" x14ac:dyDescent="0.25">
      <c r="G802" s="41"/>
    </row>
    <row r="803" spans="7:7" x14ac:dyDescent="0.25">
      <c r="G803" s="41"/>
    </row>
    <row r="804" spans="7:7" x14ac:dyDescent="0.25">
      <c r="G804" s="41"/>
    </row>
    <row r="805" spans="7:7" x14ac:dyDescent="0.25">
      <c r="G805" s="41"/>
    </row>
    <row r="806" spans="7:7" x14ac:dyDescent="0.25">
      <c r="G806" s="41"/>
    </row>
    <row r="807" spans="7:7" x14ac:dyDescent="0.25">
      <c r="G807" s="41"/>
    </row>
    <row r="808" spans="7:7" x14ac:dyDescent="0.25">
      <c r="G808" s="41"/>
    </row>
    <row r="809" spans="7:7" x14ac:dyDescent="0.25">
      <c r="G809" s="41"/>
    </row>
    <row r="810" spans="7:7" x14ac:dyDescent="0.25">
      <c r="G810" s="41"/>
    </row>
    <row r="811" spans="7:7" x14ac:dyDescent="0.25">
      <c r="G811" s="41"/>
    </row>
    <row r="812" spans="7:7" x14ac:dyDescent="0.25">
      <c r="G812" s="41"/>
    </row>
    <row r="813" spans="7:7" x14ac:dyDescent="0.25">
      <c r="G813" s="41"/>
    </row>
    <row r="814" spans="7:7" x14ac:dyDescent="0.25">
      <c r="G814" s="41"/>
    </row>
    <row r="815" spans="7:7" x14ac:dyDescent="0.25">
      <c r="G815" s="41"/>
    </row>
    <row r="816" spans="7:7" x14ac:dyDescent="0.25">
      <c r="G816" s="41"/>
    </row>
    <row r="817" spans="7:7" x14ac:dyDescent="0.25">
      <c r="G817" s="41"/>
    </row>
    <row r="818" spans="7:7" x14ac:dyDescent="0.25">
      <c r="G818" s="41"/>
    </row>
    <row r="819" spans="7:7" x14ac:dyDescent="0.25">
      <c r="G819" s="41"/>
    </row>
    <row r="820" spans="7:7" x14ac:dyDescent="0.25">
      <c r="G820" s="41"/>
    </row>
    <row r="821" spans="7:7" x14ac:dyDescent="0.25">
      <c r="G821" s="41"/>
    </row>
    <row r="822" spans="7:7" x14ac:dyDescent="0.25">
      <c r="G822" s="41"/>
    </row>
    <row r="823" spans="7:7" x14ac:dyDescent="0.25">
      <c r="G823" s="41"/>
    </row>
    <row r="824" spans="7:7" x14ac:dyDescent="0.25">
      <c r="G824" s="41"/>
    </row>
    <row r="825" spans="7:7" x14ac:dyDescent="0.25">
      <c r="G825" s="41"/>
    </row>
    <row r="826" spans="7:7" x14ac:dyDescent="0.25">
      <c r="G826" s="41"/>
    </row>
    <row r="827" spans="7:7" x14ac:dyDescent="0.25">
      <c r="G827" s="41"/>
    </row>
    <row r="828" spans="7:7" x14ac:dyDescent="0.25">
      <c r="G828" s="41"/>
    </row>
    <row r="829" spans="7:7" x14ac:dyDescent="0.25">
      <c r="G829" s="41"/>
    </row>
    <row r="830" spans="7:7" x14ac:dyDescent="0.25">
      <c r="G830" s="41"/>
    </row>
    <row r="831" spans="7:7" x14ac:dyDescent="0.25">
      <c r="G831" s="41"/>
    </row>
    <row r="832" spans="7:7" x14ac:dyDescent="0.25">
      <c r="G832" s="41"/>
    </row>
    <row r="833" spans="7:7" x14ac:dyDescent="0.25">
      <c r="G833" s="41"/>
    </row>
    <row r="834" spans="7:7" x14ac:dyDescent="0.25">
      <c r="G834" s="41"/>
    </row>
    <row r="835" spans="7:7" x14ac:dyDescent="0.25">
      <c r="G835" s="41"/>
    </row>
    <row r="836" spans="7:7" x14ac:dyDescent="0.25">
      <c r="G836" s="41"/>
    </row>
    <row r="837" spans="7:7" x14ac:dyDescent="0.25">
      <c r="G837" s="41"/>
    </row>
    <row r="838" spans="7:7" x14ac:dyDescent="0.25">
      <c r="G838" s="41"/>
    </row>
    <row r="839" spans="7:7" x14ac:dyDescent="0.25">
      <c r="G839" s="41"/>
    </row>
    <row r="840" spans="7:7" x14ac:dyDescent="0.25">
      <c r="G840" s="41"/>
    </row>
    <row r="841" spans="7:7" x14ac:dyDescent="0.25">
      <c r="G841" s="41"/>
    </row>
    <row r="842" spans="7:7" x14ac:dyDescent="0.25">
      <c r="G842" s="41"/>
    </row>
    <row r="843" spans="7:7" x14ac:dyDescent="0.25">
      <c r="G843" s="41"/>
    </row>
    <row r="844" spans="7:7" x14ac:dyDescent="0.25">
      <c r="G844" s="41"/>
    </row>
    <row r="845" spans="7:7" x14ac:dyDescent="0.25">
      <c r="G845" s="41"/>
    </row>
    <row r="846" spans="7:7" x14ac:dyDescent="0.25">
      <c r="G846" s="41"/>
    </row>
    <row r="847" spans="7:7" x14ac:dyDescent="0.25">
      <c r="G847" s="41"/>
    </row>
    <row r="848" spans="7:7" x14ac:dyDescent="0.25">
      <c r="G848" s="41"/>
    </row>
    <row r="849" spans="7:7" x14ac:dyDescent="0.25">
      <c r="G849" s="41"/>
    </row>
    <row r="850" spans="7:7" x14ac:dyDescent="0.25">
      <c r="G850" s="41"/>
    </row>
    <row r="851" spans="7:7" x14ac:dyDescent="0.25">
      <c r="G851" s="41"/>
    </row>
    <row r="852" spans="7:7" x14ac:dyDescent="0.25">
      <c r="G852" s="41"/>
    </row>
    <row r="853" spans="7:7" x14ac:dyDescent="0.25">
      <c r="G853" s="41"/>
    </row>
    <row r="854" spans="7:7" x14ac:dyDescent="0.25">
      <c r="G854" s="41"/>
    </row>
    <row r="855" spans="7:7" x14ac:dyDescent="0.25">
      <c r="G855" s="41"/>
    </row>
    <row r="856" spans="7:7" x14ac:dyDescent="0.25">
      <c r="G856" s="41"/>
    </row>
    <row r="857" spans="7:7" x14ac:dyDescent="0.25">
      <c r="G857" s="41"/>
    </row>
    <row r="858" spans="7:7" x14ac:dyDescent="0.25">
      <c r="G858" s="41"/>
    </row>
    <row r="859" spans="7:7" x14ac:dyDescent="0.25">
      <c r="G859" s="41"/>
    </row>
    <row r="860" spans="7:7" x14ac:dyDescent="0.25">
      <c r="G860" s="41"/>
    </row>
    <row r="861" spans="7:7" x14ac:dyDescent="0.25">
      <c r="G861" s="41"/>
    </row>
    <row r="862" spans="7:7" x14ac:dyDescent="0.25">
      <c r="G862" s="41"/>
    </row>
    <row r="863" spans="7:7" x14ac:dyDescent="0.25">
      <c r="G863" s="41"/>
    </row>
    <row r="864" spans="7:7" x14ac:dyDescent="0.25">
      <c r="G864" s="41"/>
    </row>
    <row r="865" spans="7:7" x14ac:dyDescent="0.25">
      <c r="G865" s="41"/>
    </row>
    <row r="866" spans="7:7" x14ac:dyDescent="0.25">
      <c r="G866" s="41"/>
    </row>
    <row r="867" spans="7:7" x14ac:dyDescent="0.25">
      <c r="G867" s="41"/>
    </row>
    <row r="868" spans="7:7" x14ac:dyDescent="0.25">
      <c r="G868" s="41"/>
    </row>
    <row r="869" spans="7:7" x14ac:dyDescent="0.25">
      <c r="G869" s="41"/>
    </row>
    <row r="870" spans="7:7" x14ac:dyDescent="0.25">
      <c r="G870" s="41"/>
    </row>
    <row r="871" spans="7:7" x14ac:dyDescent="0.25">
      <c r="G871" s="41"/>
    </row>
    <row r="872" spans="7:7" x14ac:dyDescent="0.25">
      <c r="G872" s="41"/>
    </row>
    <row r="873" spans="7:7" x14ac:dyDescent="0.25">
      <c r="G873" s="41"/>
    </row>
    <row r="874" spans="7:7" x14ac:dyDescent="0.25">
      <c r="G874" s="41"/>
    </row>
    <row r="875" spans="7:7" x14ac:dyDescent="0.25">
      <c r="G875" s="41"/>
    </row>
    <row r="876" spans="7:7" x14ac:dyDescent="0.25">
      <c r="G876" s="41"/>
    </row>
    <row r="877" spans="7:7" x14ac:dyDescent="0.25">
      <c r="G877" s="41"/>
    </row>
    <row r="878" spans="7:7" x14ac:dyDescent="0.25">
      <c r="G878" s="41"/>
    </row>
    <row r="879" spans="7:7" x14ac:dyDescent="0.25">
      <c r="G879" s="41"/>
    </row>
    <row r="880" spans="7:7" x14ac:dyDescent="0.25">
      <c r="G880" s="41"/>
    </row>
    <row r="881" spans="7:7" x14ac:dyDescent="0.25">
      <c r="G881" s="41"/>
    </row>
    <row r="882" spans="7:7" x14ac:dyDescent="0.25">
      <c r="G882" s="41"/>
    </row>
    <row r="883" spans="7:7" x14ac:dyDescent="0.25">
      <c r="G883" s="41"/>
    </row>
    <row r="884" spans="7:7" x14ac:dyDescent="0.25">
      <c r="G884" s="41"/>
    </row>
    <row r="885" spans="7:7" x14ac:dyDescent="0.25">
      <c r="G885" s="41"/>
    </row>
    <row r="886" spans="7:7" x14ac:dyDescent="0.25">
      <c r="G886" s="41"/>
    </row>
    <row r="887" spans="7:7" x14ac:dyDescent="0.25">
      <c r="G887" s="41"/>
    </row>
    <row r="888" spans="7:7" x14ac:dyDescent="0.25">
      <c r="G888" s="41"/>
    </row>
    <row r="889" spans="7:7" x14ac:dyDescent="0.25">
      <c r="G889" s="41"/>
    </row>
    <row r="890" spans="7:7" x14ac:dyDescent="0.25">
      <c r="G890" s="41"/>
    </row>
    <row r="891" spans="7:7" x14ac:dyDescent="0.25">
      <c r="G891" s="41"/>
    </row>
    <row r="892" spans="7:7" x14ac:dyDescent="0.25">
      <c r="G892" s="41"/>
    </row>
    <row r="893" spans="7:7" x14ac:dyDescent="0.25">
      <c r="G893" s="41"/>
    </row>
    <row r="894" spans="7:7" x14ac:dyDescent="0.25">
      <c r="G894" s="41"/>
    </row>
    <row r="895" spans="7:7" x14ac:dyDescent="0.25">
      <c r="G895" s="41"/>
    </row>
    <row r="896" spans="7:7" x14ac:dyDescent="0.25">
      <c r="G896" s="41"/>
    </row>
    <row r="897" spans="7:7" x14ac:dyDescent="0.25">
      <c r="G897" s="41"/>
    </row>
    <row r="898" spans="7:7" x14ac:dyDescent="0.25">
      <c r="G898" s="41"/>
    </row>
    <row r="899" spans="7:7" x14ac:dyDescent="0.25">
      <c r="G899" s="41"/>
    </row>
    <row r="900" spans="7:7" x14ac:dyDescent="0.25">
      <c r="G900" s="41"/>
    </row>
    <row r="901" spans="7:7" x14ac:dyDescent="0.25">
      <c r="G901" s="41"/>
    </row>
    <row r="902" spans="7:7" x14ac:dyDescent="0.25">
      <c r="G902" s="41"/>
    </row>
    <row r="903" spans="7:7" x14ac:dyDescent="0.25">
      <c r="G903" s="41"/>
    </row>
    <row r="904" spans="7:7" x14ac:dyDescent="0.25">
      <c r="G904" s="41"/>
    </row>
    <row r="905" spans="7:7" x14ac:dyDescent="0.25">
      <c r="G905" s="41"/>
    </row>
    <row r="906" spans="7:7" x14ac:dyDescent="0.25">
      <c r="G906" s="41"/>
    </row>
    <row r="907" spans="7:7" x14ac:dyDescent="0.25">
      <c r="G907" s="41"/>
    </row>
    <row r="908" spans="7:7" x14ac:dyDescent="0.25">
      <c r="G908" s="41"/>
    </row>
    <row r="909" spans="7:7" x14ac:dyDescent="0.25">
      <c r="G909" s="41"/>
    </row>
    <row r="910" spans="7:7" x14ac:dyDescent="0.25">
      <c r="G910" s="41"/>
    </row>
    <row r="911" spans="7:7" x14ac:dyDescent="0.25">
      <c r="G911" s="41"/>
    </row>
    <row r="912" spans="7:7" x14ac:dyDescent="0.25">
      <c r="G912" s="41"/>
    </row>
    <row r="913" spans="7:7" x14ac:dyDescent="0.25">
      <c r="G913" s="41"/>
    </row>
    <row r="914" spans="7:7" x14ac:dyDescent="0.25">
      <c r="G914" s="41"/>
    </row>
    <row r="915" spans="7:7" x14ac:dyDescent="0.25">
      <c r="G915" s="41"/>
    </row>
    <row r="916" spans="7:7" x14ac:dyDescent="0.25">
      <c r="G916" s="41"/>
    </row>
    <row r="917" spans="7:7" x14ac:dyDescent="0.25">
      <c r="G917" s="41"/>
    </row>
    <row r="918" spans="7:7" x14ac:dyDescent="0.25">
      <c r="G918" s="41"/>
    </row>
    <row r="919" spans="7:7" x14ac:dyDescent="0.25">
      <c r="G919" s="41"/>
    </row>
    <row r="920" spans="7:7" x14ac:dyDescent="0.25">
      <c r="G920" s="41"/>
    </row>
    <row r="921" spans="7:7" x14ac:dyDescent="0.25">
      <c r="G921" s="41"/>
    </row>
    <row r="922" spans="7:7" x14ac:dyDescent="0.25">
      <c r="G922" s="41"/>
    </row>
    <row r="923" spans="7:7" x14ac:dyDescent="0.25">
      <c r="G923" s="41"/>
    </row>
    <row r="924" spans="7:7" x14ac:dyDescent="0.25">
      <c r="G924" s="41"/>
    </row>
    <row r="925" spans="7:7" x14ac:dyDescent="0.25">
      <c r="G925" s="41"/>
    </row>
    <row r="926" spans="7:7" x14ac:dyDescent="0.25">
      <c r="G926" s="41"/>
    </row>
    <row r="927" spans="7:7" x14ac:dyDescent="0.25">
      <c r="G927" s="41"/>
    </row>
    <row r="928" spans="7:7" x14ac:dyDescent="0.25">
      <c r="G928" s="41"/>
    </row>
    <row r="929" spans="7:7" x14ac:dyDescent="0.25">
      <c r="G929" s="41"/>
    </row>
    <row r="930" spans="7:7" x14ac:dyDescent="0.25">
      <c r="G930" s="41"/>
    </row>
    <row r="931" spans="7:7" x14ac:dyDescent="0.25">
      <c r="G931" s="41"/>
    </row>
    <row r="932" spans="7:7" x14ac:dyDescent="0.25">
      <c r="G932" s="41"/>
    </row>
    <row r="933" spans="7:7" x14ac:dyDescent="0.25">
      <c r="G933" s="41"/>
    </row>
    <row r="934" spans="7:7" x14ac:dyDescent="0.25">
      <c r="G934" s="41"/>
    </row>
    <row r="935" spans="7:7" x14ac:dyDescent="0.25">
      <c r="G935" s="41"/>
    </row>
    <row r="936" spans="7:7" x14ac:dyDescent="0.25">
      <c r="G936" s="41"/>
    </row>
    <row r="937" spans="7:7" x14ac:dyDescent="0.25">
      <c r="G937" s="41"/>
    </row>
    <row r="938" spans="7:7" x14ac:dyDescent="0.25">
      <c r="G938" s="41"/>
    </row>
    <row r="939" spans="7:7" x14ac:dyDescent="0.25">
      <c r="G939" s="41"/>
    </row>
    <row r="940" spans="7:7" x14ac:dyDescent="0.25">
      <c r="G940" s="41"/>
    </row>
    <row r="941" spans="7:7" x14ac:dyDescent="0.25">
      <c r="G941" s="41"/>
    </row>
    <row r="942" spans="7:7" x14ac:dyDescent="0.25">
      <c r="G942" s="41"/>
    </row>
    <row r="943" spans="7:7" x14ac:dyDescent="0.25">
      <c r="G943" s="41"/>
    </row>
    <row r="944" spans="7:7" x14ac:dyDescent="0.25">
      <c r="G944" s="41"/>
    </row>
    <row r="945" spans="7:7" x14ac:dyDescent="0.25">
      <c r="G945" s="41"/>
    </row>
    <row r="946" spans="7:7" x14ac:dyDescent="0.25">
      <c r="G946" s="41"/>
    </row>
    <row r="947" spans="7:7" x14ac:dyDescent="0.25">
      <c r="G947" s="41"/>
    </row>
    <row r="948" spans="7:7" x14ac:dyDescent="0.25">
      <c r="G948" s="41"/>
    </row>
    <row r="949" spans="7:7" x14ac:dyDescent="0.25">
      <c r="G949" s="41"/>
    </row>
    <row r="950" spans="7:7" x14ac:dyDescent="0.25">
      <c r="G950" s="41"/>
    </row>
    <row r="951" spans="7:7" x14ac:dyDescent="0.25">
      <c r="G951" s="41"/>
    </row>
    <row r="952" spans="7:7" x14ac:dyDescent="0.25">
      <c r="G952" s="41"/>
    </row>
    <row r="953" spans="7:7" x14ac:dyDescent="0.25">
      <c r="G953" s="41"/>
    </row>
    <row r="954" spans="7:7" x14ac:dyDescent="0.25">
      <c r="G954" s="41"/>
    </row>
    <row r="955" spans="7:7" x14ac:dyDescent="0.25">
      <c r="G955" s="41"/>
    </row>
    <row r="956" spans="7:7" x14ac:dyDescent="0.25">
      <c r="G956" s="41"/>
    </row>
    <row r="957" spans="7:7" x14ac:dyDescent="0.25">
      <c r="G957" s="41"/>
    </row>
    <row r="958" spans="7:7" x14ac:dyDescent="0.25">
      <c r="G958" s="41"/>
    </row>
    <row r="959" spans="7:7" x14ac:dyDescent="0.25">
      <c r="G959" s="41"/>
    </row>
    <row r="960" spans="7:7" x14ac:dyDescent="0.25">
      <c r="G960" s="41"/>
    </row>
    <row r="961" spans="7:7" x14ac:dyDescent="0.25">
      <c r="G961" s="41"/>
    </row>
    <row r="962" spans="7:7" x14ac:dyDescent="0.25">
      <c r="G962" s="41"/>
    </row>
    <row r="963" spans="7:7" x14ac:dyDescent="0.25">
      <c r="G963" s="41"/>
    </row>
    <row r="964" spans="7:7" x14ac:dyDescent="0.25">
      <c r="G964" s="41"/>
    </row>
    <row r="965" spans="7:7" x14ac:dyDescent="0.25">
      <c r="G965" s="41"/>
    </row>
    <row r="966" spans="7:7" x14ac:dyDescent="0.25">
      <c r="G966" s="41"/>
    </row>
    <row r="967" spans="7:7" x14ac:dyDescent="0.25">
      <c r="G967" s="41"/>
    </row>
    <row r="968" spans="7:7" x14ac:dyDescent="0.25">
      <c r="G968" s="41"/>
    </row>
    <row r="969" spans="7:7" x14ac:dyDescent="0.25">
      <c r="G969" s="41"/>
    </row>
    <row r="970" spans="7:7" x14ac:dyDescent="0.25">
      <c r="G970" s="41"/>
    </row>
    <row r="971" spans="7:7" x14ac:dyDescent="0.25">
      <c r="G971" s="41"/>
    </row>
    <row r="972" spans="7:7" x14ac:dyDescent="0.25">
      <c r="G972" s="41"/>
    </row>
    <row r="973" spans="7:7" x14ac:dyDescent="0.25">
      <c r="G973" s="41"/>
    </row>
    <row r="974" spans="7:7" x14ac:dyDescent="0.25">
      <c r="G974" s="41"/>
    </row>
    <row r="975" spans="7:7" x14ac:dyDescent="0.25">
      <c r="G975" s="41"/>
    </row>
    <row r="976" spans="7:7" x14ac:dyDescent="0.25">
      <c r="G976" s="41"/>
    </row>
    <row r="977" spans="7:7" x14ac:dyDescent="0.25">
      <c r="G977" s="41"/>
    </row>
    <row r="978" spans="7:7" x14ac:dyDescent="0.25">
      <c r="G978" s="41"/>
    </row>
    <row r="979" spans="7:7" x14ac:dyDescent="0.25">
      <c r="G979" s="41"/>
    </row>
    <row r="980" spans="7:7" x14ac:dyDescent="0.25">
      <c r="G980" s="41"/>
    </row>
    <row r="981" spans="7:7" x14ac:dyDescent="0.25">
      <c r="G981" s="41"/>
    </row>
    <row r="982" spans="7:7" x14ac:dyDescent="0.25">
      <c r="G982" s="41"/>
    </row>
    <row r="983" spans="7:7" x14ac:dyDescent="0.25">
      <c r="G983" s="41"/>
    </row>
    <row r="984" spans="7:7" x14ac:dyDescent="0.25">
      <c r="G984" s="41"/>
    </row>
    <row r="985" spans="7:7" x14ac:dyDescent="0.25">
      <c r="G985" s="41"/>
    </row>
    <row r="986" spans="7:7" x14ac:dyDescent="0.25">
      <c r="G986" s="41"/>
    </row>
    <row r="987" spans="7:7" x14ac:dyDescent="0.25">
      <c r="G987" s="41"/>
    </row>
    <row r="988" spans="7:7" x14ac:dyDescent="0.25">
      <c r="G988" s="41"/>
    </row>
    <row r="989" spans="7:7" x14ac:dyDescent="0.25">
      <c r="G989" s="41"/>
    </row>
    <row r="990" spans="7:7" x14ac:dyDescent="0.25">
      <c r="G990" s="41"/>
    </row>
    <row r="991" spans="7:7" x14ac:dyDescent="0.25">
      <c r="G991" s="41"/>
    </row>
    <row r="992" spans="7:7" x14ac:dyDescent="0.25">
      <c r="G992" s="41"/>
    </row>
    <row r="993" spans="7:7" x14ac:dyDescent="0.25">
      <c r="G993" s="41"/>
    </row>
    <row r="994" spans="7:7" x14ac:dyDescent="0.25">
      <c r="G994" s="41"/>
    </row>
    <row r="995" spans="7:7" x14ac:dyDescent="0.25">
      <c r="G995" s="41"/>
    </row>
    <row r="996" spans="7:7" x14ac:dyDescent="0.25">
      <c r="G996" s="41"/>
    </row>
    <row r="997" spans="7:7" x14ac:dyDescent="0.25">
      <c r="G997" s="41"/>
    </row>
    <row r="998" spans="7:7" x14ac:dyDescent="0.25">
      <c r="G998" s="41"/>
    </row>
    <row r="999" spans="7:7" x14ac:dyDescent="0.25">
      <c r="G999" s="41"/>
    </row>
    <row r="1000" spans="7:7" x14ac:dyDescent="0.25">
      <c r="G1000" s="41"/>
    </row>
    <row r="1001" spans="7:7" x14ac:dyDescent="0.25">
      <c r="G1001" s="41"/>
    </row>
    <row r="1002" spans="7:7" x14ac:dyDescent="0.25">
      <c r="G1002" s="41"/>
    </row>
    <row r="1003" spans="7:7" x14ac:dyDescent="0.25">
      <c r="G1003" s="41"/>
    </row>
    <row r="1004" spans="7:7" x14ac:dyDescent="0.25">
      <c r="G1004" s="41"/>
    </row>
    <row r="1005" spans="7:7" x14ac:dyDescent="0.25">
      <c r="G1005" s="41"/>
    </row>
    <row r="1006" spans="7:7" x14ac:dyDescent="0.25">
      <c r="G1006" s="41"/>
    </row>
  </sheetData>
  <mergeCells count="1">
    <mergeCell ref="J6:N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MarketGrowth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2012-12-20T15:09:45Z</dcterms:created>
  <dcterms:modified xsi:type="dcterms:W3CDTF">2016-11-10T12:02:48Z</dcterms:modified>
</cp:coreProperties>
</file>