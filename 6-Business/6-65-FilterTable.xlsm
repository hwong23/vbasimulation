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6-Business\"/>
    </mc:Choice>
  </mc:AlternateContent>
  <bookViews>
    <workbookView xWindow="360" yWindow="45" windowWidth="11340" windowHeight="4500"/>
  </bookViews>
  <sheets>
    <sheet name="FilterTable" sheetId="7" r:id="rId1"/>
  </sheets>
  <definedNames>
    <definedName name="_xlnm._FilterDatabase" localSheetId="0" hidden="1">FilterTable!$B$1:$B$25</definedName>
    <definedName name="_xlnm.Extract" localSheetId="0">FilterTable!$H$6</definedName>
  </definedNames>
  <calcPr calcId="152511"/>
</workbook>
</file>

<file path=xl/calcChain.xml><?xml version="1.0" encoding="utf-8"?>
<calcChain xmlns="http://schemas.openxmlformats.org/spreadsheetml/2006/main">
  <c r="G6" i="7" l="1"/>
  <c r="E25" i="7" l="1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3" i="7"/>
  <c r="E2" i="7"/>
</calcChain>
</file>

<file path=xl/comments1.xml><?xml version="1.0" encoding="utf-8"?>
<comments xmlns="http://schemas.openxmlformats.org/spreadsheetml/2006/main">
  <authors>
    <author>Gerry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no spaces in header names!</t>
        </r>
      </text>
    </comment>
  </commentList>
</comments>
</file>

<file path=xl/sharedStrings.xml><?xml version="1.0" encoding="utf-8"?>
<sst xmlns="http://schemas.openxmlformats.org/spreadsheetml/2006/main" count="71" uniqueCount="18">
  <si>
    <t xml:space="preserve">Month    </t>
  </si>
  <si>
    <t xml:space="preserve">January  </t>
  </si>
  <si>
    <t xml:space="preserve">February </t>
  </si>
  <si>
    <t xml:space="preserve">March    </t>
  </si>
  <si>
    <t>Cost</t>
  </si>
  <si>
    <t>Product</t>
  </si>
  <si>
    <t>Sold</t>
  </si>
  <si>
    <t>Total</t>
  </si>
  <si>
    <t>Lime</t>
  </si>
  <si>
    <t>Diet Lime</t>
  </si>
  <si>
    <t>Orange</t>
  </si>
  <si>
    <t>Diet Orange</t>
  </si>
  <si>
    <t>Kiwi</t>
  </si>
  <si>
    <t>Diet Kiwi</t>
  </si>
  <si>
    <t>Apple</t>
  </si>
  <si>
    <t>Diet Apple</t>
  </si>
  <si>
    <t>&gt;400</t>
  </si>
  <si>
    <t>&gt;300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</si>
</sst>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;[Red]\-&quot;$&quot;#,##0.00"/>
    <numFmt numFmtId="165" formatCode="###0.00_)"/>
    <numFmt numFmtId="166" formatCode="#,##0_)"/>
    <numFmt numFmtId="167" formatCode="&quot;$&quot;##0.00"/>
  </numFmts>
  <fonts count="2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b/>
      <sz val="12"/>
      <name val="Helv"/>
    </font>
    <font>
      <sz val="10"/>
      <name val="Helv"/>
    </font>
    <font>
      <sz val="9"/>
      <name val="Helv"/>
    </font>
    <font>
      <vertAlign val="superscript"/>
      <sz val="12"/>
      <name val="Helv"/>
    </font>
    <font>
      <b/>
      <sz val="11"/>
      <color indexed="8"/>
      <name val="Calibri"/>
      <family val="2"/>
    </font>
    <font>
      <b/>
      <sz val="10"/>
      <name val="Helv"/>
    </font>
    <font>
      <b/>
      <sz val="9"/>
      <name val="Helv"/>
    </font>
    <font>
      <sz val="8.5"/>
      <name val="Helv"/>
    </font>
    <font>
      <sz val="12"/>
      <color indexed="8"/>
      <name val="Arial"/>
      <family val="2"/>
    </font>
    <font>
      <b/>
      <sz val="18"/>
      <color indexed="62"/>
      <name val="Cambria"/>
      <family val="2"/>
    </font>
    <font>
      <sz val="8"/>
      <name val="Helv"/>
    </font>
    <font>
      <b/>
      <sz val="14"/>
      <name val="Helv"/>
    </font>
    <font>
      <b/>
      <sz val="1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55"/>
      </patternFill>
    </fill>
    <fill>
      <patternFill patternType="solid">
        <fgColor rgb="FFFFFFCC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22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8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84">
    <xf numFmtId="0" fontId="0" fillId="0" borderId="0"/>
    <xf numFmtId="44" fontId="5" fillId="0" borderId="0" applyFont="0" applyFill="0" applyBorder="0" applyAlignment="0" applyProtection="0"/>
    <xf numFmtId="0" fontId="5" fillId="0" borderId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5" borderId="0" applyNumberFormat="0" applyBorder="0" applyAlignment="0" applyProtection="0"/>
    <xf numFmtId="0" fontId="8" fillId="6" borderId="0" applyNumberFormat="0" applyBorder="0" applyAlignment="0" applyProtection="0"/>
    <xf numFmtId="0" fontId="7" fillId="4" borderId="0" applyNumberFormat="0" applyBorder="0" applyAlignment="0" applyProtection="0"/>
    <xf numFmtId="0" fontId="7" fillId="7" borderId="0" applyNumberFormat="0" applyBorder="0" applyAlignment="0" applyProtection="0"/>
    <xf numFmtId="0" fontId="8" fillId="5" borderId="0" applyNumberFormat="0" applyBorder="0" applyAlignment="0" applyProtection="0"/>
    <xf numFmtId="0" fontId="7" fillId="2" borderId="0" applyNumberFormat="0" applyBorder="0" applyAlignment="0" applyProtection="0"/>
    <xf numFmtId="0" fontId="7" fillId="5" borderId="0" applyNumberFormat="0" applyBorder="0" applyAlignment="0" applyProtection="0"/>
    <xf numFmtId="0" fontId="8" fillId="5" borderId="0" applyNumberFormat="0" applyBorder="0" applyAlignment="0" applyProtection="0"/>
    <xf numFmtId="0" fontId="7" fillId="8" borderId="0" applyNumberFormat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9" borderId="0" applyNumberFormat="0" applyBorder="0" applyAlignment="0" applyProtection="0"/>
    <xf numFmtId="0" fontId="8" fillId="9" borderId="0" applyNumberFormat="0" applyBorder="0" applyAlignment="0" applyProtection="0"/>
    <xf numFmtId="0" fontId="9" fillId="0" borderId="0">
      <alignment horizontal="center" vertical="center" wrapText="1"/>
    </xf>
    <xf numFmtId="43" fontId="5" fillId="0" borderId="0" applyFont="0" applyFill="0" applyBorder="0" applyAlignment="0" applyProtection="0"/>
    <xf numFmtId="0" fontId="10" fillId="0" borderId="0">
      <alignment horizontal="left" vertical="center" wrapText="1"/>
    </xf>
    <xf numFmtId="4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11" fillId="0" borderId="6" applyNumberFormat="0" applyFill="0">
      <alignment horizontal="right"/>
    </xf>
    <xf numFmtId="166" fontId="12" fillId="0" borderId="6">
      <alignment horizontal="right" vertical="center"/>
    </xf>
    <xf numFmtId="49" fontId="13" fillId="0" borderId="6">
      <alignment horizontal="left" vertical="center"/>
    </xf>
    <xf numFmtId="165" fontId="11" fillId="0" borderId="6" applyNumberFormat="0" applyFill="0">
      <alignment horizontal="right"/>
    </xf>
    <xf numFmtId="0" fontId="14" fillId="10" borderId="0" applyNumberFormat="0" applyBorder="0" applyAlignment="0" applyProtection="0"/>
    <xf numFmtId="0" fontId="14" fillId="11" borderId="0" applyNumberFormat="0" applyBorder="0" applyAlignment="0" applyProtection="0"/>
    <xf numFmtId="0" fontId="14" fillId="12" borderId="0" applyNumberFormat="0" applyBorder="0" applyAlignment="0" applyProtection="0"/>
    <xf numFmtId="0" fontId="15" fillId="0" borderId="6">
      <alignment horizontal="left"/>
    </xf>
    <xf numFmtId="0" fontId="16" fillId="0" borderId="7">
      <alignment horizontal="right" vertical="center"/>
    </xf>
    <xf numFmtId="0" fontId="17" fillId="0" borderId="6">
      <alignment horizontal="left" vertical="center"/>
    </xf>
    <xf numFmtId="0" fontId="11" fillId="0" borderId="6">
      <alignment horizontal="left" vertical="center"/>
    </xf>
    <xf numFmtId="0" fontId="15" fillId="0" borderId="6">
      <alignment horizontal="left"/>
    </xf>
    <xf numFmtId="0" fontId="15" fillId="13" borderId="0">
      <alignment horizontal="centerContinuous" wrapText="1"/>
    </xf>
    <xf numFmtId="49" fontId="15" fillId="13" borderId="8">
      <alignment horizontal="left" vertical="center"/>
    </xf>
    <xf numFmtId="0" fontId="15" fillId="13" borderId="0">
      <alignment horizontal="centerContinuous" vertical="center" wrapText="1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5" fillId="0" borderId="0" applyFont="0" applyFill="0" applyBorder="0" applyAlignment="0" applyProtection="0"/>
    <xf numFmtId="3" fontId="12" fillId="0" borderId="0">
      <alignment horizontal="left" vertical="center"/>
    </xf>
    <xf numFmtId="0" fontId="9" fillId="0" borderId="0">
      <alignment horizontal="left" vertical="center"/>
    </xf>
    <xf numFmtId="0" fontId="19" fillId="0" borderId="0" applyNumberFormat="0" applyFill="0" applyBorder="0" applyAlignment="0" applyProtection="0"/>
    <xf numFmtId="0" fontId="20" fillId="0" borderId="0">
      <alignment horizontal="right"/>
    </xf>
    <xf numFmtId="49" fontId="20" fillId="0" borderId="0">
      <alignment horizontal="center"/>
    </xf>
    <xf numFmtId="0" fontId="13" fillId="0" borderId="0">
      <alignment horizontal="right"/>
    </xf>
    <xf numFmtId="0" fontId="20" fillId="0" borderId="0">
      <alignment horizontal="left"/>
    </xf>
    <xf numFmtId="49" fontId="12" fillId="0" borderId="0">
      <alignment horizontal="left" vertical="center"/>
    </xf>
    <xf numFmtId="49" fontId="13" fillId="0" borderId="6">
      <alignment horizontal="left"/>
    </xf>
    <xf numFmtId="165" fontId="12" fillId="0" borderId="0" applyNumberFormat="0">
      <alignment horizontal="right"/>
    </xf>
    <xf numFmtId="0" fontId="16" fillId="14" borderId="0">
      <alignment horizontal="centerContinuous" vertical="center" wrapText="1"/>
    </xf>
    <xf numFmtId="0" fontId="16" fillId="0" borderId="9">
      <alignment horizontal="left" vertical="center"/>
    </xf>
    <xf numFmtId="0" fontId="21" fillId="0" borderId="0">
      <alignment horizontal="left" vertical="top"/>
    </xf>
    <xf numFmtId="0" fontId="15" fillId="0" borderId="0">
      <alignment horizontal="left"/>
    </xf>
    <xf numFmtId="0" fontId="10" fillId="0" borderId="0">
      <alignment horizontal="left"/>
    </xf>
    <xf numFmtId="0" fontId="11" fillId="0" borderId="0">
      <alignment horizontal="left"/>
    </xf>
    <xf numFmtId="0" fontId="21" fillId="0" borderId="0">
      <alignment horizontal="left" vertical="top"/>
    </xf>
    <xf numFmtId="0" fontId="10" fillId="0" borderId="0">
      <alignment horizontal="left"/>
    </xf>
    <xf numFmtId="0" fontId="11" fillId="0" borderId="0">
      <alignment horizontal="left"/>
    </xf>
    <xf numFmtId="49" fontId="12" fillId="0" borderId="6">
      <alignment horizontal="left"/>
    </xf>
    <xf numFmtId="0" fontId="16" fillId="0" borderId="7">
      <alignment horizontal="left"/>
    </xf>
    <xf numFmtId="0" fontId="15" fillId="0" borderId="0">
      <alignment horizontal="left" vertical="center"/>
    </xf>
    <xf numFmtId="49" fontId="12" fillId="0" borderId="6">
      <alignment horizontal="left"/>
    </xf>
    <xf numFmtId="0" fontId="3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0"/>
    <xf numFmtId="0" fontId="2" fillId="15" borderId="10" applyNumberFormat="0" applyFont="0" applyAlignment="0" applyProtection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</cellStyleXfs>
  <cellXfs count="15">
    <xf numFmtId="0" fontId="0" fillId="0" borderId="0" xfId="0"/>
    <xf numFmtId="0" fontId="22" fillId="0" borderId="1" xfId="0" applyFont="1" applyBorder="1" applyProtection="1">
      <protection locked="0"/>
    </xf>
    <xf numFmtId="0" fontId="22" fillId="0" borderId="5" xfId="0" applyFont="1" applyBorder="1" applyProtection="1">
      <protection locked="0"/>
    </xf>
    <xf numFmtId="0" fontId="22" fillId="0" borderId="2" xfId="0" applyFont="1" applyBorder="1" applyProtection="1">
      <protection locked="0"/>
    </xf>
    <xf numFmtId="0" fontId="22" fillId="0" borderId="0" xfId="0" applyFont="1" applyProtection="1">
      <protection locked="0"/>
    </xf>
    <xf numFmtId="0" fontId="22" fillId="0" borderId="3" xfId="0" applyFont="1" applyBorder="1" applyProtection="1">
      <protection locked="0"/>
    </xf>
    <xf numFmtId="0" fontId="22" fillId="0" borderId="0" xfId="0" applyFont="1" applyBorder="1" applyProtection="1">
      <protection locked="0"/>
    </xf>
    <xf numFmtId="44" fontId="22" fillId="0" borderId="0" xfId="1" applyFont="1" applyBorder="1" applyProtection="1">
      <protection locked="0"/>
    </xf>
    <xf numFmtId="44" fontId="22" fillId="0" borderId="4" xfId="0" applyNumberFormat="1" applyFont="1" applyBorder="1" applyProtection="1"/>
    <xf numFmtId="1" fontId="22" fillId="0" borderId="0" xfId="1" applyNumberFormat="1" applyFont="1" applyBorder="1" applyProtection="1">
      <protection locked="0"/>
    </xf>
    <xf numFmtId="167" fontId="22" fillId="0" borderId="1" xfId="0" applyNumberFormat="1" applyFont="1" applyBorder="1" applyProtection="1">
      <protection locked="0"/>
    </xf>
    <xf numFmtId="167" fontId="22" fillId="0" borderId="5" xfId="0" applyNumberFormat="1" applyFont="1" applyBorder="1" applyProtection="1">
      <protection locked="0"/>
    </xf>
    <xf numFmtId="167" fontId="22" fillId="0" borderId="0" xfId="0" applyNumberFormat="1" applyFont="1" applyProtection="1">
      <protection locked="0"/>
    </xf>
    <xf numFmtId="167" fontId="22" fillId="0" borderId="3" xfId="0" applyNumberFormat="1" applyFont="1" applyBorder="1" applyProtection="1">
      <protection locked="0"/>
    </xf>
    <xf numFmtId="167" fontId="22" fillId="0" borderId="0" xfId="0" applyNumberFormat="1" applyFont="1" applyBorder="1" applyProtection="1">
      <protection locked="0"/>
    </xf>
  </cellXfs>
  <cellStyles count="84">
    <cellStyle name="Accent1 - 20%" xfId="6"/>
    <cellStyle name="Accent1 - 40%" xfId="7"/>
    <cellStyle name="Accent1 - 60%" xfId="8"/>
    <cellStyle name="Accent2 - 20%" xfId="9"/>
    <cellStyle name="Accent2 - 40%" xfId="10"/>
    <cellStyle name="Accent2 - 60%" xfId="11"/>
    <cellStyle name="Accent3 - 20%" xfId="12"/>
    <cellStyle name="Accent3 - 40%" xfId="13"/>
    <cellStyle name="Accent3 - 60%" xfId="14"/>
    <cellStyle name="Accent4 - 20%" xfId="15"/>
    <cellStyle name="Accent4 - 40%" xfId="16"/>
    <cellStyle name="Accent4 - 60%" xfId="17"/>
    <cellStyle name="Accent5 - 20%" xfId="18"/>
    <cellStyle name="Accent5 - 40%" xfId="19"/>
    <cellStyle name="Accent5 - 60%" xfId="20"/>
    <cellStyle name="Accent6 - 20%" xfId="21"/>
    <cellStyle name="Accent6 - 40%" xfId="22"/>
    <cellStyle name="Accent6 - 60%" xfId="23"/>
    <cellStyle name="Column heading" xfId="24"/>
    <cellStyle name="Comma 2" xfId="25"/>
    <cellStyle name="Comma 3" xfId="81"/>
    <cellStyle name="Corner heading" xfId="26"/>
    <cellStyle name="Currency" xfId="1" builtinId="4"/>
    <cellStyle name="Currency 2" xfId="4"/>
    <cellStyle name="Currency 3" xfId="27"/>
    <cellStyle name="Currency 4" xfId="28"/>
    <cellStyle name="Currency 5" xfId="76"/>
    <cellStyle name="Currency 6" xfId="80"/>
    <cellStyle name="Currency 7" xfId="83"/>
    <cellStyle name="Data" xfId="29"/>
    <cellStyle name="Data no deci" xfId="30"/>
    <cellStyle name="Data Superscript" xfId="31"/>
    <cellStyle name="Data_1-1A-Regular" xfId="32"/>
    <cellStyle name="Emphasis 1" xfId="33"/>
    <cellStyle name="Emphasis 2" xfId="34"/>
    <cellStyle name="Emphasis 3" xfId="35"/>
    <cellStyle name="Hed Side" xfId="36"/>
    <cellStyle name="Hed Side bold" xfId="37"/>
    <cellStyle name="Hed Side Indent" xfId="38"/>
    <cellStyle name="Hed Side Regular" xfId="39"/>
    <cellStyle name="Hed Side_1-1A-Regular" xfId="40"/>
    <cellStyle name="Hed Top" xfId="41"/>
    <cellStyle name="Hed Top - SECTION" xfId="42"/>
    <cellStyle name="Hed Top_3-new4" xfId="43"/>
    <cellStyle name="Normal" xfId="0" builtinId="0"/>
    <cellStyle name="Normal 2" xfId="2"/>
    <cellStyle name="Normal 2 2" xfId="44"/>
    <cellStyle name="Normal 2 3" xfId="45"/>
    <cellStyle name="Normal 2_E-UniqueLists" xfId="46"/>
    <cellStyle name="Normal 3" xfId="3"/>
    <cellStyle name="Normal 3 2" xfId="47"/>
    <cellStyle name="Normal 4" xfId="48"/>
    <cellStyle name="Normal 5" xfId="75"/>
    <cellStyle name="Normal 6" xfId="78"/>
    <cellStyle name="Normal 7" xfId="82"/>
    <cellStyle name="Note 2" xfId="79"/>
    <cellStyle name="Percent 2" xfId="5"/>
    <cellStyle name="Percent 2 2" xfId="49"/>
    <cellStyle name="Percent 3" xfId="50"/>
    <cellStyle name="Percent 3 2" xfId="51"/>
    <cellStyle name="Percent 4" xfId="77"/>
    <cellStyle name="Reference" xfId="52"/>
    <cellStyle name="Row heading" xfId="53"/>
    <cellStyle name="Sheet Title" xfId="54"/>
    <cellStyle name="Source Hed" xfId="55"/>
    <cellStyle name="Source Letter" xfId="56"/>
    <cellStyle name="Source Superscript" xfId="57"/>
    <cellStyle name="Source Text" xfId="58"/>
    <cellStyle name="State" xfId="59"/>
    <cellStyle name="Superscript" xfId="60"/>
    <cellStyle name="Table Data" xfId="61"/>
    <cellStyle name="Table Head Top" xfId="62"/>
    <cellStyle name="Table Hed Side" xfId="63"/>
    <cellStyle name="Table Title" xfId="64"/>
    <cellStyle name="Title Text" xfId="65"/>
    <cellStyle name="Title Text 1" xfId="66"/>
    <cellStyle name="Title Text 2" xfId="67"/>
    <cellStyle name="Title-1" xfId="68"/>
    <cellStyle name="Title-2" xfId="69"/>
    <cellStyle name="Title-3" xfId="70"/>
    <cellStyle name="Wrap" xfId="71"/>
    <cellStyle name="Wrap Bold" xfId="72"/>
    <cellStyle name="Wrap Title" xfId="73"/>
    <cellStyle name="Wrap_A-GraphsStarter" xfId="7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103187</xdr:colOff>
      <xdr:row>17</xdr:row>
      <xdr:rowOff>31751</xdr:rowOff>
    </xdr:from>
    <xdr:to>
      <xdr:col>9</xdr:col>
      <xdr:colOff>309562</xdr:colOff>
      <xdr:row>20</xdr:row>
      <xdr:rowOff>39688</xdr:rowOff>
    </xdr:to>
    <xdr:sp macro="" textlink="">
      <xdr:nvSpPr>
        <xdr:cNvPr id="2" name="Rounded Rectangle 1"/>
        <xdr:cNvSpPr/>
      </xdr:nvSpPr>
      <xdr:spPr>
        <a:xfrm>
          <a:off x="4079875" y="2746376"/>
          <a:ext cx="2286000" cy="48418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Ctrl + Shift + F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FG28"/>
  <sheetViews>
    <sheetView tabSelected="1" zoomScale="130" zoomScaleNormal="130" workbookViewId="0">
      <selection activeCell="B21" sqref="B21"/>
    </sheetView>
  </sheetViews>
  <sheetFormatPr defaultRowHeight="12.75" x14ac:dyDescent="0.2"/>
  <cols>
    <col min="1" max="1" width="13.140625" style="4" bestFit="1" customWidth="1"/>
    <col min="2" max="4" width="9.140625" style="4"/>
    <col min="5" max="5" width="9.85546875" style="4" bestFit="1" customWidth="1"/>
    <col min="6" max="6" width="9.140625" style="4"/>
    <col min="7" max="7" width="11.85546875" style="4" bestFit="1" customWidth="1"/>
    <col min="8" max="8" width="9.42578125" style="4" bestFit="1" customWidth="1"/>
    <col min="9" max="9" width="9.7109375" style="4" bestFit="1" customWidth="1"/>
    <col min="10" max="10" width="8.85546875" style="4" bestFit="1" customWidth="1"/>
    <col min="11" max="16384" width="9.140625" style="4"/>
  </cols>
  <sheetData>
    <row r="1" spans="1:163" x14ac:dyDescent="0.2">
      <c r="A1" s="1" t="s">
        <v>5</v>
      </c>
      <c r="B1" s="2" t="s">
        <v>0</v>
      </c>
      <c r="C1" s="2" t="s">
        <v>4</v>
      </c>
      <c r="D1" s="2" t="s">
        <v>6</v>
      </c>
      <c r="E1" s="3" t="s">
        <v>7</v>
      </c>
    </row>
    <row r="2" spans="1:163" x14ac:dyDescent="0.2">
      <c r="A2" s="5" t="s">
        <v>8</v>
      </c>
      <c r="B2" s="6" t="s">
        <v>1</v>
      </c>
      <c r="C2" s="7">
        <v>0.35</v>
      </c>
      <c r="D2" s="9">
        <v>946</v>
      </c>
      <c r="E2" s="8">
        <f>C2*D2</f>
        <v>331.09999999999997</v>
      </c>
    </row>
    <row r="3" spans="1:163" x14ac:dyDescent="0.2">
      <c r="A3" s="5" t="s">
        <v>9</v>
      </c>
      <c r="B3" s="6" t="s">
        <v>1</v>
      </c>
      <c r="C3" s="7">
        <v>0.35</v>
      </c>
      <c r="D3" s="9">
        <v>762</v>
      </c>
      <c r="E3" s="8">
        <f t="shared" ref="E3:E25" si="0">C3*D3</f>
        <v>266.7</v>
      </c>
    </row>
    <row r="4" spans="1:163" x14ac:dyDescent="0.2">
      <c r="A4" s="5" t="s">
        <v>10</v>
      </c>
      <c r="B4" s="6" t="s">
        <v>1</v>
      </c>
      <c r="C4" s="7">
        <v>0.35</v>
      </c>
      <c r="D4" s="9">
        <v>224</v>
      </c>
      <c r="E4" s="8">
        <f t="shared" si="0"/>
        <v>78.399999999999991</v>
      </c>
    </row>
    <row r="5" spans="1:163" ht="13.5" thickBot="1" x14ac:dyDescent="0.25">
      <c r="A5" s="5" t="s">
        <v>11</v>
      </c>
      <c r="B5" s="6" t="s">
        <v>1</v>
      </c>
      <c r="C5" s="7">
        <v>0.35</v>
      </c>
      <c r="D5" s="9">
        <v>95</v>
      </c>
      <c r="E5" s="8">
        <f t="shared" si="0"/>
        <v>33.25</v>
      </c>
    </row>
    <row r="6" spans="1:163" x14ac:dyDescent="0.2">
      <c r="A6" s="5" t="s">
        <v>12</v>
      </c>
      <c r="B6" s="6" t="s">
        <v>1</v>
      </c>
      <c r="C6" s="7">
        <v>0.35</v>
      </c>
      <c r="D6" s="9">
        <v>715</v>
      </c>
      <c r="E6" s="8">
        <f t="shared" si="0"/>
        <v>250.24999999999997</v>
      </c>
      <c r="G6" s="10">
        <f>DSUM($A$1:$E$25,E1,$A$27:$E$28)</f>
        <v>1286.5999999999999</v>
      </c>
      <c r="H6" s="11" t="s">
        <v>1</v>
      </c>
      <c r="I6" s="12" t="s">
        <v>2</v>
      </c>
      <c r="J6" s="12" t="s">
        <v>3</v>
      </c>
      <c r="FD6" s="2"/>
    </row>
    <row r="7" spans="1:163" x14ac:dyDescent="0.2">
      <c r="A7" s="5" t="s">
        <v>13</v>
      </c>
      <c r="B7" s="6" t="s">
        <v>1</v>
      </c>
      <c r="C7" s="7">
        <v>0.35</v>
      </c>
      <c r="D7" s="9">
        <v>506</v>
      </c>
      <c r="E7" s="8">
        <f t="shared" si="0"/>
        <v>177.1</v>
      </c>
      <c r="G7" s="13" t="s">
        <v>8</v>
      </c>
      <c r="H7" s="14">
        <f t="dataTable" ref="H7:J14" dt2D="1" dtr="1" r1="B28" r2="A28"/>
        <v>331.09999999999997</v>
      </c>
      <c r="I7" s="12">
        <v>318.5</v>
      </c>
      <c r="J7" s="12">
        <v>0</v>
      </c>
      <c r="FG7" s="6"/>
    </row>
    <row r="8" spans="1:163" x14ac:dyDescent="0.2">
      <c r="A8" s="5" t="s">
        <v>14</v>
      </c>
      <c r="B8" s="6" t="s">
        <v>1</v>
      </c>
      <c r="C8" s="7">
        <v>0.35</v>
      </c>
      <c r="D8" s="9">
        <v>354</v>
      </c>
      <c r="E8" s="8">
        <f t="shared" si="0"/>
        <v>123.89999999999999</v>
      </c>
      <c r="G8" s="13" t="s">
        <v>9</v>
      </c>
      <c r="H8" s="14">
        <v>0</v>
      </c>
      <c r="I8" s="12">
        <v>312.89999999999998</v>
      </c>
      <c r="J8" s="12">
        <v>0</v>
      </c>
      <c r="FG8" s="6"/>
    </row>
    <row r="9" spans="1:163" x14ac:dyDescent="0.2">
      <c r="A9" s="5" t="s">
        <v>15</v>
      </c>
      <c r="B9" s="6" t="s">
        <v>1</v>
      </c>
      <c r="C9" s="7">
        <v>0.35</v>
      </c>
      <c r="D9" s="9">
        <v>542</v>
      </c>
      <c r="E9" s="8">
        <f t="shared" si="0"/>
        <v>189.7</v>
      </c>
      <c r="G9" s="13" t="s">
        <v>10</v>
      </c>
      <c r="H9" s="14">
        <v>0</v>
      </c>
      <c r="I9" s="12">
        <v>324.09999999999997</v>
      </c>
      <c r="J9" s="12">
        <v>0</v>
      </c>
      <c r="FG9" s="6"/>
    </row>
    <row r="10" spans="1:163" x14ac:dyDescent="0.2">
      <c r="A10" s="5" t="s">
        <v>8</v>
      </c>
      <c r="B10" s="6" t="s">
        <v>2</v>
      </c>
      <c r="C10" s="7">
        <v>0.35</v>
      </c>
      <c r="D10" s="9">
        <v>910</v>
      </c>
      <c r="E10" s="8">
        <f t="shared" si="0"/>
        <v>318.5</v>
      </c>
      <c r="G10" s="13" t="s">
        <v>11</v>
      </c>
      <c r="H10" s="12">
        <v>0</v>
      </c>
      <c r="I10" s="12">
        <v>0</v>
      </c>
      <c r="J10" s="12">
        <v>0</v>
      </c>
    </row>
    <row r="11" spans="1:163" x14ac:dyDescent="0.2">
      <c r="A11" s="5" t="s">
        <v>9</v>
      </c>
      <c r="B11" s="6" t="s">
        <v>2</v>
      </c>
      <c r="C11" s="7">
        <v>0.35</v>
      </c>
      <c r="D11" s="9">
        <v>894</v>
      </c>
      <c r="E11" s="8">
        <f t="shared" si="0"/>
        <v>312.89999999999998</v>
      </c>
      <c r="G11" s="13" t="s">
        <v>12</v>
      </c>
      <c r="H11" s="12">
        <v>0</v>
      </c>
      <c r="I11" s="12">
        <v>0</v>
      </c>
      <c r="J11" s="12">
        <v>0</v>
      </c>
    </row>
    <row r="12" spans="1:163" x14ac:dyDescent="0.2">
      <c r="A12" s="5" t="s">
        <v>10</v>
      </c>
      <c r="B12" s="6" t="s">
        <v>2</v>
      </c>
      <c r="C12" s="7">
        <v>0.35</v>
      </c>
      <c r="D12" s="9">
        <v>926</v>
      </c>
      <c r="E12" s="8">
        <f t="shared" si="0"/>
        <v>324.09999999999997</v>
      </c>
      <c r="G12" s="13" t="s">
        <v>13</v>
      </c>
      <c r="H12" s="12">
        <v>0</v>
      </c>
      <c r="I12" s="12">
        <v>0</v>
      </c>
      <c r="J12" s="12">
        <v>0</v>
      </c>
    </row>
    <row r="13" spans="1:163" x14ac:dyDescent="0.2">
      <c r="A13" s="5" t="s">
        <v>11</v>
      </c>
      <c r="B13" s="6" t="s">
        <v>2</v>
      </c>
      <c r="C13" s="7">
        <v>0.35</v>
      </c>
      <c r="D13" s="9">
        <v>471</v>
      </c>
      <c r="E13" s="8">
        <f t="shared" si="0"/>
        <v>164.85</v>
      </c>
      <c r="G13" s="13" t="s">
        <v>14</v>
      </c>
      <c r="H13" s="12">
        <v>0</v>
      </c>
      <c r="I13" s="12">
        <v>0</v>
      </c>
      <c r="J13" s="12">
        <v>0</v>
      </c>
    </row>
    <row r="14" spans="1:163" x14ac:dyDescent="0.2">
      <c r="A14" s="5" t="s">
        <v>12</v>
      </c>
      <c r="B14" s="6" t="s">
        <v>2</v>
      </c>
      <c r="C14" s="7">
        <v>0.35</v>
      </c>
      <c r="D14" s="9">
        <v>493</v>
      </c>
      <c r="E14" s="8">
        <f t="shared" si="0"/>
        <v>172.54999999999998</v>
      </c>
      <c r="G14" s="13" t="s">
        <v>15</v>
      </c>
      <c r="H14" s="12">
        <v>0</v>
      </c>
      <c r="I14" s="12">
        <v>0</v>
      </c>
      <c r="J14" s="12">
        <v>0</v>
      </c>
    </row>
    <row r="15" spans="1:163" x14ac:dyDescent="0.2">
      <c r="A15" s="5" t="s">
        <v>13</v>
      </c>
      <c r="B15" s="6" t="s">
        <v>2</v>
      </c>
      <c r="C15" s="7">
        <v>0.35</v>
      </c>
      <c r="D15" s="9">
        <v>276</v>
      </c>
      <c r="E15" s="8">
        <f t="shared" si="0"/>
        <v>96.6</v>
      </c>
    </row>
    <row r="16" spans="1:163" x14ac:dyDescent="0.2">
      <c r="A16" s="5" t="s">
        <v>14</v>
      </c>
      <c r="B16" s="6" t="s">
        <v>2</v>
      </c>
      <c r="C16" s="7">
        <v>0.35</v>
      </c>
      <c r="D16" s="9">
        <v>45</v>
      </c>
      <c r="E16" s="8">
        <f t="shared" si="0"/>
        <v>15.749999999999998</v>
      </c>
    </row>
    <row r="17" spans="1:5" x14ac:dyDescent="0.2">
      <c r="A17" s="5" t="s">
        <v>15</v>
      </c>
      <c r="B17" s="6" t="s">
        <v>2</v>
      </c>
      <c r="C17" s="7">
        <v>0.35</v>
      </c>
      <c r="D17" s="9">
        <v>301</v>
      </c>
      <c r="E17" s="8">
        <f t="shared" si="0"/>
        <v>105.35</v>
      </c>
    </row>
    <row r="18" spans="1:5" x14ac:dyDescent="0.2">
      <c r="A18" s="5" t="s">
        <v>8</v>
      </c>
      <c r="B18" s="6" t="s">
        <v>3</v>
      </c>
      <c r="C18" s="7">
        <v>0.35</v>
      </c>
      <c r="D18" s="9">
        <v>840</v>
      </c>
      <c r="E18" s="8">
        <f t="shared" si="0"/>
        <v>294</v>
      </c>
    </row>
    <row r="19" spans="1:5" x14ac:dyDescent="0.2">
      <c r="A19" s="5" t="s">
        <v>9</v>
      </c>
      <c r="B19" s="6" t="s">
        <v>3</v>
      </c>
      <c r="C19" s="7">
        <v>0.35</v>
      </c>
      <c r="D19" s="9">
        <v>442</v>
      </c>
      <c r="E19" s="8">
        <f t="shared" si="0"/>
        <v>154.69999999999999</v>
      </c>
    </row>
    <row r="20" spans="1:5" x14ac:dyDescent="0.2">
      <c r="A20" s="5" t="s">
        <v>10</v>
      </c>
      <c r="B20" s="6" t="s">
        <v>3</v>
      </c>
      <c r="C20" s="7">
        <v>0.35</v>
      </c>
      <c r="D20" s="9">
        <v>409</v>
      </c>
      <c r="E20" s="8">
        <f t="shared" si="0"/>
        <v>143.14999999999998</v>
      </c>
    </row>
    <row r="21" spans="1:5" x14ac:dyDescent="0.2">
      <c r="A21" s="5" t="s">
        <v>11</v>
      </c>
      <c r="B21" s="6" t="s">
        <v>3</v>
      </c>
      <c r="C21" s="7">
        <v>0.35</v>
      </c>
      <c r="D21" s="9">
        <v>205</v>
      </c>
      <c r="E21" s="8">
        <f t="shared" si="0"/>
        <v>71.75</v>
      </c>
    </row>
    <row r="22" spans="1:5" x14ac:dyDescent="0.2">
      <c r="A22" s="5" t="s">
        <v>12</v>
      </c>
      <c r="B22" s="6" t="s">
        <v>3</v>
      </c>
      <c r="C22" s="7">
        <v>0.35</v>
      </c>
      <c r="D22" s="9">
        <v>109</v>
      </c>
      <c r="E22" s="8">
        <f t="shared" si="0"/>
        <v>38.15</v>
      </c>
    </row>
    <row r="23" spans="1:5" x14ac:dyDescent="0.2">
      <c r="A23" s="5" t="s">
        <v>13</v>
      </c>
      <c r="B23" s="6" t="s">
        <v>3</v>
      </c>
      <c r="C23" s="7">
        <v>0.35</v>
      </c>
      <c r="D23" s="9">
        <v>263</v>
      </c>
      <c r="E23" s="8">
        <f t="shared" si="0"/>
        <v>92.05</v>
      </c>
    </row>
    <row r="24" spans="1:5" x14ac:dyDescent="0.2">
      <c r="A24" s="5" t="s">
        <v>14</v>
      </c>
      <c r="B24" s="6" t="s">
        <v>3</v>
      </c>
      <c r="C24" s="7">
        <v>0.35</v>
      </c>
      <c r="D24" s="9">
        <v>603</v>
      </c>
      <c r="E24" s="8">
        <f t="shared" si="0"/>
        <v>211.04999999999998</v>
      </c>
    </row>
    <row r="25" spans="1:5" x14ac:dyDescent="0.2">
      <c r="A25" s="4" t="s">
        <v>15</v>
      </c>
      <c r="B25" s="4" t="s">
        <v>3</v>
      </c>
      <c r="C25" s="7">
        <v>0.35</v>
      </c>
      <c r="D25" s="9">
        <v>555</v>
      </c>
      <c r="E25" s="8">
        <f t="shared" si="0"/>
        <v>194.25</v>
      </c>
    </row>
    <row r="27" spans="1:5" x14ac:dyDescent="0.2">
      <c r="A27" s="4" t="s">
        <v>5</v>
      </c>
      <c r="B27" s="4" t="s">
        <v>0</v>
      </c>
      <c r="C27" s="4" t="s">
        <v>4</v>
      </c>
      <c r="D27" s="4" t="s">
        <v>6</v>
      </c>
      <c r="E27" s="4" t="s">
        <v>7</v>
      </c>
    </row>
    <row r="28" spans="1:5" x14ac:dyDescent="0.2">
      <c r="D28" s="4" t="s">
        <v>16</v>
      </c>
      <c r="E28" s="4" t="s">
        <v>17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PresentationFormat/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FilterTable</vt:lpstr>
      <vt:lpstr>FilterTable!Extract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cp:revision/>
  <dcterms:created xsi:type="dcterms:W3CDTF">2012-12-16T11:14:23Z</dcterms:created>
  <dcterms:modified xsi:type="dcterms:W3CDTF">2016-11-09T16:46:14Z</dcterms:modified>
</cp:coreProperties>
</file>