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erry\Desktop\MrExcel\XL-Simulations-VBA\6-Business\"/>
    </mc:Choice>
  </mc:AlternateContent>
  <bookViews>
    <workbookView xWindow="480" yWindow="45" windowWidth="22995" windowHeight="10035"/>
  </bookViews>
  <sheets>
    <sheet name="CostEstimate" sheetId="5" r:id="rId1"/>
  </sheets>
  <externalReferences>
    <externalReference r:id="rId2"/>
  </externalReferences>
  <definedNames>
    <definedName name="_xlnm.Database">#REF!</definedName>
    <definedName name="Table">OFFSET([1]StockMarket!$A$1,0,0,COUNTA([1]StockMarket!$A:$A),COUNTA([1]StockMarket!$1:$1))</definedName>
  </definedNames>
  <calcPr calcId="152511" calcMode="manual" iterate="1" iterateCount="1" calcCompleted="0" calcOnSave="0"/>
</workbook>
</file>

<file path=xl/calcChain.xml><?xml version="1.0" encoding="utf-8"?>
<calcChain xmlns="http://schemas.openxmlformats.org/spreadsheetml/2006/main">
  <c r="A4" i="5" l="1"/>
  <c r="B4" i="5"/>
  <c r="C4" i="5"/>
  <c r="D4" i="5"/>
  <c r="A5" i="5"/>
  <c r="B5" i="5"/>
  <c r="C5" i="5"/>
  <c r="D5" i="5"/>
  <c r="A6" i="5"/>
  <c r="B6" i="5"/>
  <c r="C6" i="5"/>
  <c r="D6" i="5"/>
  <c r="A7" i="5"/>
  <c r="B7" i="5"/>
  <c r="C7" i="5"/>
  <c r="D7" i="5"/>
  <c r="A8" i="5"/>
  <c r="B8" i="5"/>
  <c r="C8" i="5"/>
  <c r="D8" i="5"/>
  <c r="A9" i="5"/>
  <c r="B9" i="5"/>
  <c r="C9" i="5"/>
  <c r="D9" i="5"/>
  <c r="A10" i="5"/>
  <c r="B10" i="5"/>
  <c r="C10" i="5"/>
  <c r="D10" i="5"/>
  <c r="A11" i="5"/>
  <c r="B11" i="5"/>
  <c r="C11" i="5"/>
  <c r="D11" i="5"/>
  <c r="A12" i="5"/>
  <c r="B12" i="5"/>
  <c r="C12" i="5"/>
  <c r="D12" i="5"/>
  <c r="A13" i="5"/>
  <c r="B13" i="5"/>
  <c r="C13" i="5"/>
  <c r="D13" i="5"/>
  <c r="A14" i="5"/>
  <c r="B14" i="5"/>
  <c r="C14" i="5"/>
  <c r="D14" i="5"/>
  <c r="A15" i="5"/>
  <c r="B15" i="5"/>
  <c r="C15" i="5"/>
  <c r="D15" i="5"/>
  <c r="A16" i="5"/>
  <c r="B16" i="5"/>
  <c r="C16" i="5"/>
  <c r="D16" i="5"/>
  <c r="A17" i="5"/>
  <c r="B17" i="5"/>
  <c r="C17" i="5"/>
  <c r="D17" i="5"/>
  <c r="A18" i="5"/>
  <c r="B18" i="5"/>
  <c r="C18" i="5"/>
  <c r="D18" i="5"/>
  <c r="A19" i="5"/>
  <c r="B19" i="5"/>
  <c r="C19" i="5"/>
  <c r="D19" i="5"/>
  <c r="A20" i="5"/>
  <c r="B20" i="5"/>
  <c r="C20" i="5"/>
  <c r="D20" i="5"/>
  <c r="A21" i="5"/>
  <c r="B21" i="5"/>
  <c r="C21" i="5"/>
  <c r="D21" i="5"/>
  <c r="A22" i="5"/>
  <c r="B22" i="5"/>
  <c r="C22" i="5"/>
  <c r="D22" i="5"/>
  <c r="A23" i="5"/>
  <c r="B23" i="5"/>
  <c r="C23" i="5"/>
  <c r="D23" i="5"/>
  <c r="A24" i="5"/>
  <c r="B24" i="5"/>
  <c r="C24" i="5"/>
  <c r="D24" i="5"/>
  <c r="A25" i="5"/>
  <c r="B25" i="5"/>
  <c r="C25" i="5"/>
  <c r="D25" i="5"/>
  <c r="A26" i="5"/>
  <c r="B26" i="5"/>
  <c r="C26" i="5"/>
  <c r="D26" i="5"/>
  <c r="A27" i="5"/>
  <c r="B27" i="5"/>
  <c r="C27" i="5"/>
  <c r="D27" i="5"/>
  <c r="A28" i="5"/>
  <c r="B28" i="5"/>
  <c r="C28" i="5"/>
  <c r="D28" i="5"/>
  <c r="A29" i="5"/>
  <c r="B29" i="5"/>
  <c r="C29" i="5"/>
  <c r="D29" i="5"/>
  <c r="A30" i="5"/>
  <c r="B30" i="5"/>
  <c r="C30" i="5"/>
  <c r="D30" i="5"/>
  <c r="A31" i="5"/>
  <c r="B31" i="5"/>
  <c r="C31" i="5"/>
  <c r="D31" i="5"/>
  <c r="A32" i="5"/>
  <c r="B32" i="5"/>
  <c r="C32" i="5"/>
  <c r="D32" i="5"/>
  <c r="A33" i="5"/>
  <c r="B33" i="5"/>
  <c r="C33" i="5"/>
  <c r="D33" i="5"/>
  <c r="A34" i="5"/>
  <c r="B34" i="5"/>
  <c r="C34" i="5"/>
  <c r="D34" i="5"/>
  <c r="A35" i="5"/>
  <c r="B35" i="5"/>
  <c r="C35" i="5"/>
  <c r="D35" i="5"/>
  <c r="A36" i="5"/>
  <c r="B36" i="5"/>
  <c r="C36" i="5"/>
  <c r="D36" i="5"/>
  <c r="A37" i="5"/>
  <c r="B37" i="5"/>
  <c r="C37" i="5"/>
  <c r="D37" i="5"/>
  <c r="A38" i="5"/>
  <c r="B38" i="5"/>
  <c r="C38" i="5"/>
  <c r="D38" i="5"/>
  <c r="A39" i="5"/>
  <c r="B39" i="5"/>
  <c r="C39" i="5"/>
  <c r="D39" i="5"/>
  <c r="A40" i="5"/>
  <c r="B40" i="5"/>
  <c r="C40" i="5"/>
  <c r="D40" i="5"/>
  <c r="A41" i="5"/>
  <c r="B41" i="5"/>
  <c r="C41" i="5"/>
  <c r="D41" i="5"/>
  <c r="A42" i="5"/>
  <c r="B42" i="5"/>
  <c r="C42" i="5"/>
  <c r="D42" i="5"/>
  <c r="A43" i="5"/>
  <c r="B43" i="5"/>
  <c r="C43" i="5"/>
  <c r="D43" i="5"/>
  <c r="A44" i="5"/>
  <c r="B44" i="5"/>
  <c r="C44" i="5"/>
  <c r="D44" i="5"/>
  <c r="A45" i="5"/>
  <c r="B45" i="5"/>
  <c r="C45" i="5"/>
  <c r="D45" i="5"/>
  <c r="A46" i="5"/>
  <c r="B46" i="5"/>
  <c r="C46" i="5"/>
  <c r="D46" i="5"/>
  <c r="A47" i="5"/>
  <c r="B47" i="5"/>
  <c r="C47" i="5"/>
  <c r="D47" i="5"/>
  <c r="A48" i="5"/>
  <c r="B48" i="5"/>
  <c r="C48" i="5"/>
  <c r="D48" i="5"/>
  <c r="A49" i="5"/>
  <c r="B49" i="5"/>
  <c r="C49" i="5"/>
  <c r="D49" i="5"/>
  <c r="A50" i="5"/>
  <c r="B50" i="5"/>
  <c r="C50" i="5"/>
  <c r="D50" i="5"/>
  <c r="A51" i="5"/>
  <c r="B51" i="5"/>
  <c r="C51" i="5"/>
  <c r="D51" i="5"/>
  <c r="A52" i="5"/>
  <c r="B52" i="5"/>
  <c r="C52" i="5"/>
  <c r="D52" i="5"/>
  <c r="A53" i="5"/>
  <c r="B53" i="5"/>
  <c r="C53" i="5"/>
  <c r="D53" i="5"/>
  <c r="A54" i="5"/>
  <c r="B54" i="5"/>
  <c r="C54" i="5"/>
  <c r="D54" i="5"/>
  <c r="A55" i="5"/>
  <c r="B55" i="5"/>
  <c r="C55" i="5"/>
  <c r="D55" i="5"/>
  <c r="A56" i="5"/>
  <c r="B56" i="5"/>
  <c r="C56" i="5"/>
  <c r="D56" i="5"/>
  <c r="A57" i="5"/>
  <c r="B57" i="5"/>
  <c r="C57" i="5"/>
  <c r="D57" i="5"/>
  <c r="A58" i="5"/>
  <c r="B58" i="5"/>
  <c r="C58" i="5"/>
  <c r="D58" i="5"/>
  <c r="A59" i="5"/>
  <c r="B59" i="5"/>
  <c r="C59" i="5"/>
  <c r="D59" i="5"/>
  <c r="A60" i="5"/>
  <c r="B60" i="5"/>
  <c r="C60" i="5"/>
  <c r="D60" i="5"/>
  <c r="A61" i="5"/>
  <c r="B61" i="5"/>
  <c r="C61" i="5"/>
  <c r="D61" i="5"/>
  <c r="A62" i="5"/>
  <c r="B62" i="5"/>
  <c r="C62" i="5"/>
  <c r="D62" i="5"/>
  <c r="A63" i="5"/>
  <c r="B63" i="5"/>
  <c r="C63" i="5"/>
  <c r="D63" i="5"/>
  <c r="A64" i="5"/>
  <c r="B64" i="5"/>
  <c r="C64" i="5"/>
  <c r="D64" i="5"/>
  <c r="A65" i="5"/>
  <c r="B65" i="5"/>
  <c r="C65" i="5"/>
  <c r="D65" i="5"/>
  <c r="A66" i="5"/>
  <c r="B66" i="5"/>
  <c r="C66" i="5"/>
  <c r="D66" i="5"/>
  <c r="A67" i="5"/>
  <c r="B67" i="5"/>
  <c r="C67" i="5"/>
  <c r="D67" i="5"/>
  <c r="A68" i="5"/>
  <c r="B68" i="5"/>
  <c r="C68" i="5"/>
  <c r="D68" i="5"/>
  <c r="A69" i="5"/>
  <c r="B69" i="5"/>
  <c r="C69" i="5"/>
  <c r="D69" i="5"/>
  <c r="A70" i="5"/>
  <c r="B70" i="5"/>
  <c r="C70" i="5"/>
  <c r="D70" i="5"/>
  <c r="A71" i="5"/>
  <c r="B71" i="5"/>
  <c r="C71" i="5"/>
  <c r="D71" i="5"/>
  <c r="A72" i="5"/>
  <c r="B72" i="5"/>
  <c r="C72" i="5"/>
  <c r="D72" i="5"/>
  <c r="A73" i="5"/>
  <c r="B73" i="5"/>
  <c r="C73" i="5"/>
  <c r="D73" i="5"/>
  <c r="A74" i="5"/>
  <c r="B74" i="5"/>
  <c r="C74" i="5"/>
  <c r="D74" i="5"/>
  <c r="A75" i="5"/>
  <c r="B75" i="5"/>
  <c r="C75" i="5"/>
  <c r="D75" i="5"/>
  <c r="A76" i="5"/>
  <c r="B76" i="5"/>
  <c r="C76" i="5"/>
  <c r="D76" i="5"/>
  <c r="A77" i="5"/>
  <c r="B77" i="5"/>
  <c r="C77" i="5"/>
  <c r="D77" i="5"/>
  <c r="A78" i="5"/>
  <c r="B78" i="5"/>
  <c r="C78" i="5"/>
  <c r="D78" i="5"/>
  <c r="A79" i="5"/>
  <c r="B79" i="5"/>
  <c r="C79" i="5"/>
  <c r="D79" i="5"/>
  <c r="A80" i="5"/>
  <c r="B80" i="5"/>
  <c r="C80" i="5"/>
  <c r="D80" i="5"/>
  <c r="A81" i="5"/>
  <c r="B81" i="5"/>
  <c r="C81" i="5"/>
  <c r="D81" i="5"/>
  <c r="A82" i="5"/>
  <c r="B82" i="5"/>
  <c r="C82" i="5"/>
  <c r="D82" i="5"/>
  <c r="A83" i="5"/>
  <c r="B83" i="5"/>
  <c r="C83" i="5"/>
  <c r="D83" i="5"/>
  <c r="A84" i="5"/>
  <c r="B84" i="5"/>
  <c r="C84" i="5"/>
  <c r="D84" i="5"/>
  <c r="A85" i="5"/>
  <c r="B85" i="5"/>
  <c r="C85" i="5"/>
  <c r="D85" i="5"/>
  <c r="A86" i="5"/>
  <c r="B86" i="5"/>
  <c r="C86" i="5"/>
  <c r="D86" i="5"/>
  <c r="A87" i="5"/>
  <c r="B87" i="5"/>
  <c r="C87" i="5"/>
  <c r="D87" i="5"/>
  <c r="A88" i="5"/>
  <c r="B88" i="5"/>
  <c r="C88" i="5"/>
  <c r="D88" i="5"/>
  <c r="A89" i="5"/>
  <c r="B89" i="5"/>
  <c r="C89" i="5"/>
  <c r="D89" i="5"/>
  <c r="A90" i="5"/>
  <c r="B90" i="5"/>
  <c r="C90" i="5"/>
  <c r="D90" i="5"/>
  <c r="A91" i="5"/>
  <c r="B91" i="5"/>
  <c r="C91" i="5"/>
  <c r="D91" i="5"/>
  <c r="A92" i="5"/>
  <c r="B92" i="5"/>
  <c r="C92" i="5"/>
  <c r="D92" i="5"/>
  <c r="A93" i="5"/>
  <c r="B93" i="5"/>
  <c r="C93" i="5"/>
  <c r="D93" i="5"/>
  <c r="A94" i="5"/>
  <c r="B94" i="5"/>
  <c r="C94" i="5"/>
  <c r="D94" i="5"/>
  <c r="A95" i="5"/>
  <c r="B95" i="5"/>
  <c r="C95" i="5"/>
  <c r="D95" i="5"/>
  <c r="A96" i="5"/>
  <c r="B96" i="5"/>
  <c r="C96" i="5"/>
  <c r="D96" i="5"/>
  <c r="A97" i="5"/>
  <c r="B97" i="5"/>
  <c r="C97" i="5"/>
  <c r="D97" i="5"/>
  <c r="A98" i="5"/>
  <c r="B98" i="5"/>
  <c r="C98" i="5"/>
  <c r="D98" i="5"/>
  <c r="A99" i="5"/>
  <c r="B99" i="5"/>
  <c r="C99" i="5"/>
  <c r="D99" i="5"/>
  <c r="A100" i="5"/>
  <c r="B100" i="5"/>
  <c r="C100" i="5"/>
  <c r="D100" i="5"/>
  <c r="A101" i="5"/>
  <c r="B101" i="5"/>
  <c r="C101" i="5"/>
  <c r="D101" i="5"/>
  <c r="A102" i="5"/>
  <c r="B102" i="5"/>
  <c r="C102" i="5"/>
  <c r="D102" i="5"/>
  <c r="A103" i="5"/>
  <c r="B103" i="5"/>
  <c r="C103" i="5"/>
  <c r="D103" i="5"/>
</calcChain>
</file>

<file path=xl/sharedStrings.xml><?xml version="1.0" encoding="utf-8"?>
<sst xmlns="http://schemas.openxmlformats.org/spreadsheetml/2006/main" count="5" uniqueCount="5">
  <si>
    <t>Monthly cost</t>
  </si>
  <si>
    <t>Monthly Volume</t>
  </si>
  <si>
    <t>Annual Cost</t>
  </si>
  <si>
    <t>Time (Secs)</t>
  </si>
  <si>
    <t>adjust A2:C3 manually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</si>
</sst>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;[Red]\-&quot;$&quot;#,##0.00"/>
    <numFmt numFmtId="165" formatCode="###0.00_)"/>
    <numFmt numFmtId="166" formatCode="#,##0_)"/>
    <numFmt numFmtId="167" formatCode="_(&quot;$&quot;* #,##0_);_(&quot;$&quot;* \(#,##0\);_(&quot;$&quot;* &quot;-&quot;??_);_(@_)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2"/>
      <name val="Helv"/>
    </font>
    <font>
      <b/>
      <sz val="12"/>
      <name val="Helv"/>
    </font>
    <font>
      <sz val="10"/>
      <name val="Helv"/>
    </font>
    <font>
      <sz val="9"/>
      <name val="Helv"/>
    </font>
    <font>
      <vertAlign val="superscript"/>
      <sz val="12"/>
      <name val="Helv"/>
    </font>
    <font>
      <b/>
      <sz val="11"/>
      <color indexed="8"/>
      <name val="Calibri"/>
      <family val="2"/>
    </font>
    <font>
      <b/>
      <sz val="10"/>
      <name val="Helv"/>
    </font>
    <font>
      <b/>
      <sz val="9"/>
      <name val="Helv"/>
    </font>
    <font>
      <sz val="8.5"/>
      <name val="Helv"/>
    </font>
    <font>
      <sz val="12"/>
      <color indexed="8"/>
      <name val="Arial"/>
      <family val="2"/>
    </font>
    <font>
      <b/>
      <sz val="18"/>
      <color indexed="62"/>
      <name val="Cambria"/>
      <family val="2"/>
    </font>
    <font>
      <sz val="8"/>
      <name val="Helv"/>
    </font>
    <font>
      <b/>
      <sz val="14"/>
      <name val="Helv"/>
    </font>
    <font>
      <b/>
      <sz val="10"/>
      <name val="Arial"/>
      <family val="2"/>
    </font>
    <font>
      <b/>
      <sz val="11"/>
      <color rgb="FF3F3F76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22"/>
        <bgColor indexed="9"/>
      </patternFill>
    </fill>
    <fill>
      <patternFill patternType="solid">
        <fgColor indexed="22"/>
        <bgColor indexed="55"/>
      </patternFill>
    </fill>
  </fills>
  <borders count="1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thin">
        <color indexed="22"/>
      </bottom>
      <diagonal/>
    </border>
    <border>
      <left/>
      <right/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8"/>
      </bottom>
      <diagonal/>
    </border>
    <border>
      <left style="thin">
        <color rgb="FF7F7F7F"/>
      </left>
      <right/>
      <top/>
      <bottom/>
      <diagonal/>
    </border>
  </borders>
  <cellStyleXfs count="76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4" fillId="0" borderId="0"/>
    <xf numFmtId="4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6" fillId="4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6" fillId="7" borderId="0" applyNumberFormat="0" applyBorder="0" applyAlignment="0" applyProtection="0"/>
    <xf numFmtId="0" fontId="5" fillId="5" borderId="0" applyNumberFormat="0" applyBorder="0" applyAlignment="0" applyProtection="0"/>
    <xf numFmtId="0" fontId="5" fillId="8" borderId="0" applyNumberFormat="0" applyBorder="0" applyAlignment="0" applyProtection="0"/>
    <xf numFmtId="0" fontId="6" fillId="6" borderId="0" applyNumberFormat="0" applyBorder="0" applyAlignment="0" applyProtection="0"/>
    <xf numFmtId="0" fontId="5" fillId="3" borderId="0" applyNumberFormat="0" applyBorder="0" applyAlignment="0" applyProtection="0"/>
    <xf numFmtId="0" fontId="5" fillId="6" borderId="0" applyNumberFormat="0" applyBorder="0" applyAlignment="0" applyProtection="0"/>
    <xf numFmtId="0" fontId="6" fillId="6" borderId="0" applyNumberFormat="0" applyBorder="0" applyAlignment="0" applyProtection="0"/>
    <xf numFmtId="0" fontId="5" fillId="9" borderId="0" applyNumberFormat="0" applyBorder="0" applyAlignment="0" applyProtection="0"/>
    <xf numFmtId="0" fontId="5" fillId="3" borderId="0" applyNumberFormat="0" applyBorder="0" applyAlignment="0" applyProtection="0"/>
    <xf numFmtId="0" fontId="6" fillId="4" borderId="0" applyNumberFormat="0" applyBorder="0" applyAlignment="0" applyProtection="0"/>
    <xf numFmtId="0" fontId="5" fillId="5" borderId="0" applyNumberFormat="0" applyBorder="0" applyAlignment="0" applyProtection="0"/>
    <xf numFmtId="0" fontId="5" fillId="10" borderId="0" applyNumberFormat="0" applyBorder="0" applyAlignment="0" applyProtection="0"/>
    <xf numFmtId="0" fontId="6" fillId="10" borderId="0" applyNumberFormat="0" applyBorder="0" applyAlignment="0" applyProtection="0"/>
    <xf numFmtId="0" fontId="7" fillId="0" borderId="0">
      <alignment horizontal="center" vertical="center" wrapText="1"/>
    </xf>
    <xf numFmtId="0" fontId="8" fillId="0" borderId="0">
      <alignment horizontal="left" vertical="center" wrapText="1"/>
    </xf>
    <xf numFmtId="4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9" fillId="0" borderId="5" applyNumberFormat="0" applyFill="0">
      <alignment horizontal="right"/>
    </xf>
    <xf numFmtId="166" fontId="10" fillId="0" borderId="5">
      <alignment horizontal="right" vertical="center"/>
    </xf>
    <xf numFmtId="49" fontId="11" fillId="0" borderId="5">
      <alignment horizontal="left" vertical="center"/>
    </xf>
    <xf numFmtId="165" fontId="9" fillId="0" borderId="5" applyNumberFormat="0" applyFill="0">
      <alignment horizontal="right"/>
    </xf>
    <xf numFmtId="0" fontId="12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13" borderId="0" applyNumberFormat="0" applyBorder="0" applyAlignment="0" applyProtection="0"/>
    <xf numFmtId="0" fontId="13" fillId="0" borderId="5">
      <alignment horizontal="left"/>
    </xf>
    <xf numFmtId="0" fontId="14" fillId="0" borderId="6">
      <alignment horizontal="right" vertical="center"/>
    </xf>
    <xf numFmtId="0" fontId="15" fillId="0" borderId="5">
      <alignment horizontal="left" vertical="center"/>
    </xf>
    <xf numFmtId="0" fontId="9" fillId="0" borderId="5">
      <alignment horizontal="left" vertical="center"/>
    </xf>
    <xf numFmtId="0" fontId="13" fillId="0" borderId="5">
      <alignment horizontal="left"/>
    </xf>
    <xf numFmtId="0" fontId="13" fillId="14" borderId="0">
      <alignment horizontal="centerContinuous" wrapText="1"/>
    </xf>
    <xf numFmtId="49" fontId="13" fillId="14" borderId="7">
      <alignment horizontal="left" vertical="center"/>
    </xf>
    <xf numFmtId="0" fontId="13" fillId="14" borderId="0">
      <alignment horizontal="centerContinuous" vertical="center" wrapText="1"/>
    </xf>
    <xf numFmtId="0" fontId="4" fillId="0" borderId="0"/>
    <xf numFmtId="0" fontId="4" fillId="0" borderId="0"/>
    <xf numFmtId="0" fontId="4" fillId="0" borderId="0"/>
    <xf numFmtId="0" fontId="1" fillId="0" borderId="0"/>
    <xf numFmtId="0" fontId="4" fillId="0" borderId="0"/>
    <xf numFmtId="0" fontId="4" fillId="0" borderId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4" fillId="0" borderId="0" applyFont="0" applyFill="0" applyBorder="0" applyAlignment="0" applyProtection="0"/>
    <xf numFmtId="3" fontId="10" fillId="0" borderId="0">
      <alignment horizontal="left" vertical="center"/>
    </xf>
    <xf numFmtId="0" fontId="7" fillId="0" borderId="0">
      <alignment horizontal="left" vertical="center"/>
    </xf>
    <xf numFmtId="0" fontId="17" fillId="0" borderId="0" applyNumberFormat="0" applyFill="0" applyBorder="0" applyAlignment="0" applyProtection="0"/>
    <xf numFmtId="0" fontId="18" fillId="0" borderId="0">
      <alignment horizontal="right"/>
    </xf>
    <xf numFmtId="49" fontId="18" fillId="0" borderId="0">
      <alignment horizontal="center"/>
    </xf>
    <xf numFmtId="0" fontId="11" fillId="0" borderId="0">
      <alignment horizontal="right"/>
    </xf>
    <xf numFmtId="0" fontId="18" fillId="0" borderId="0">
      <alignment horizontal="left"/>
    </xf>
    <xf numFmtId="49" fontId="10" fillId="0" borderId="0">
      <alignment horizontal="left" vertical="center"/>
    </xf>
    <xf numFmtId="49" fontId="11" fillId="0" borderId="5">
      <alignment horizontal="left"/>
    </xf>
    <xf numFmtId="165" fontId="10" fillId="0" borderId="0" applyNumberFormat="0">
      <alignment horizontal="right"/>
    </xf>
    <xf numFmtId="0" fontId="14" fillId="15" borderId="0">
      <alignment horizontal="centerContinuous" vertical="center" wrapText="1"/>
    </xf>
    <xf numFmtId="0" fontId="14" fillId="0" borderId="8">
      <alignment horizontal="left" vertical="center"/>
    </xf>
    <xf numFmtId="0" fontId="19" fillId="0" borderId="0">
      <alignment horizontal="left" vertical="top"/>
    </xf>
    <xf numFmtId="0" fontId="13" fillId="0" borderId="0">
      <alignment horizontal="left"/>
    </xf>
    <xf numFmtId="0" fontId="8" fillId="0" borderId="0">
      <alignment horizontal="left"/>
    </xf>
    <xf numFmtId="0" fontId="9" fillId="0" borderId="0">
      <alignment horizontal="left"/>
    </xf>
    <xf numFmtId="0" fontId="19" fillId="0" borderId="0">
      <alignment horizontal="left" vertical="top"/>
    </xf>
    <xf numFmtId="0" fontId="8" fillId="0" borderId="0">
      <alignment horizontal="left"/>
    </xf>
    <xf numFmtId="0" fontId="9" fillId="0" borderId="0">
      <alignment horizontal="left"/>
    </xf>
    <xf numFmtId="49" fontId="10" fillId="0" borderId="5">
      <alignment horizontal="left"/>
    </xf>
    <xf numFmtId="0" fontId="14" fillId="0" borderId="6">
      <alignment horizontal="left"/>
    </xf>
    <xf numFmtId="0" fontId="13" fillId="0" borderId="0">
      <alignment horizontal="left" vertical="center"/>
    </xf>
    <xf numFmtId="49" fontId="10" fillId="0" borderId="5">
      <alignment horizontal="left"/>
    </xf>
  </cellStyleXfs>
  <cellXfs count="15">
    <xf numFmtId="0" fontId="0" fillId="0" borderId="0" xfId="0"/>
    <xf numFmtId="0" fontId="20" fillId="0" borderId="4" xfId="3" applyFont="1" applyBorder="1" applyProtection="1">
      <protection locked="0"/>
    </xf>
    <xf numFmtId="0" fontId="20" fillId="0" borderId="3" xfId="3" applyFont="1" applyBorder="1" applyProtection="1">
      <protection locked="0"/>
    </xf>
    <xf numFmtId="0" fontId="20" fillId="0" borderId="2" xfId="3" applyFont="1" applyBorder="1" applyProtection="1">
      <protection locked="0"/>
    </xf>
    <xf numFmtId="0" fontId="20" fillId="0" borderId="0" xfId="3" applyFont="1" applyProtection="1">
      <protection locked="0"/>
    </xf>
    <xf numFmtId="0" fontId="21" fillId="2" borderId="1" xfId="2" applyFont="1" applyProtection="1">
      <protection locked="0"/>
    </xf>
    <xf numFmtId="2" fontId="20" fillId="0" borderId="0" xfId="3" applyNumberFormat="1" applyFont="1" applyProtection="1"/>
    <xf numFmtId="167" fontId="3" fillId="0" borderId="0" xfId="4" applyNumberFormat="1" applyFont="1" applyProtection="1"/>
    <xf numFmtId="43" fontId="3" fillId="0" borderId="0" xfId="5" applyFont="1" applyProtection="1"/>
    <xf numFmtId="167" fontId="3" fillId="0" borderId="0" xfId="4" applyNumberFormat="1" applyFont="1" applyProtection="1">
      <protection locked="0"/>
    </xf>
    <xf numFmtId="1" fontId="20" fillId="0" borderId="0" xfId="3" applyNumberFormat="1" applyFont="1" applyAlignment="1" applyProtection="1">
      <alignment horizontal="right"/>
      <protection locked="0"/>
    </xf>
    <xf numFmtId="167" fontId="20" fillId="0" borderId="0" xfId="3" applyNumberFormat="1" applyFont="1" applyProtection="1">
      <protection locked="0"/>
    </xf>
    <xf numFmtId="1" fontId="3" fillId="0" borderId="0" xfId="1" applyNumberFormat="1" applyFont="1" applyAlignment="1" applyProtection="1">
      <alignment horizontal="right"/>
      <protection locked="0"/>
    </xf>
    <xf numFmtId="0" fontId="20" fillId="0" borderId="0" xfId="3" applyFont="1" applyAlignment="1" applyProtection="1">
      <alignment horizontal="center"/>
      <protection locked="0"/>
    </xf>
    <xf numFmtId="0" fontId="20" fillId="0" borderId="9" xfId="3" applyFont="1" applyBorder="1" applyAlignment="1" applyProtection="1">
      <alignment horizontal="center" vertical="center" wrapText="1"/>
      <protection locked="0"/>
    </xf>
  </cellXfs>
  <cellStyles count="76">
    <cellStyle name="Accent1 - 20%" xfId="6"/>
    <cellStyle name="Accent1 - 40%" xfId="7"/>
    <cellStyle name="Accent1 - 60%" xfId="8"/>
    <cellStyle name="Accent2 - 20%" xfId="9"/>
    <cellStyle name="Accent2 - 40%" xfId="10"/>
    <cellStyle name="Accent2 - 60%" xfId="11"/>
    <cellStyle name="Accent3 - 20%" xfId="12"/>
    <cellStyle name="Accent3 - 40%" xfId="13"/>
    <cellStyle name="Accent3 - 60%" xfId="14"/>
    <cellStyle name="Accent4 - 20%" xfId="15"/>
    <cellStyle name="Accent4 - 40%" xfId="16"/>
    <cellStyle name="Accent4 - 60%" xfId="17"/>
    <cellStyle name="Accent5 - 20%" xfId="18"/>
    <cellStyle name="Accent5 - 40%" xfId="19"/>
    <cellStyle name="Accent5 - 60%" xfId="20"/>
    <cellStyle name="Accent6 - 20%" xfId="21"/>
    <cellStyle name="Accent6 - 40%" xfId="22"/>
    <cellStyle name="Accent6 - 60%" xfId="23"/>
    <cellStyle name="Column heading" xfId="24"/>
    <cellStyle name="Comma 2" xfId="5"/>
    <cellStyle name="Corner heading" xfId="25"/>
    <cellStyle name="Currency 2" xfId="4"/>
    <cellStyle name="Currency 3" xfId="26"/>
    <cellStyle name="Currency 4" xfId="27"/>
    <cellStyle name="Data" xfId="28"/>
    <cellStyle name="Data no deci" xfId="29"/>
    <cellStyle name="Data Superscript" xfId="30"/>
    <cellStyle name="Data_1-1A-Regular" xfId="31"/>
    <cellStyle name="Emphasis 1" xfId="32"/>
    <cellStyle name="Emphasis 2" xfId="33"/>
    <cellStyle name="Emphasis 3" xfId="34"/>
    <cellStyle name="Hed Side" xfId="35"/>
    <cellStyle name="Hed Side bold" xfId="36"/>
    <cellStyle name="Hed Side Indent" xfId="37"/>
    <cellStyle name="Hed Side Regular" xfId="38"/>
    <cellStyle name="Hed Side_1-1A-Regular" xfId="39"/>
    <cellStyle name="Hed Top" xfId="40"/>
    <cellStyle name="Hed Top - SECTION" xfId="41"/>
    <cellStyle name="Hed Top_3-new4" xfId="42"/>
    <cellStyle name="Input" xfId="2" builtinId="20"/>
    <cellStyle name="Normal" xfId="0" builtinId="0"/>
    <cellStyle name="Normal 2" xfId="3"/>
    <cellStyle name="Normal 2 2" xfId="43"/>
    <cellStyle name="Normal 2 3" xfId="44"/>
    <cellStyle name="Normal 2_E-UniqueLists" xfId="45"/>
    <cellStyle name="Normal 3" xfId="46"/>
    <cellStyle name="Normal 3 2" xfId="47"/>
    <cellStyle name="Normal 4" xfId="48"/>
    <cellStyle name="Percent" xfId="1" builtinId="5"/>
    <cellStyle name="Percent 2" xfId="49"/>
    <cellStyle name="Percent 2 2" xfId="50"/>
    <cellStyle name="Percent 3" xfId="51"/>
    <cellStyle name="Percent 3 2" xfId="52"/>
    <cellStyle name="Reference" xfId="53"/>
    <cellStyle name="Row heading" xfId="54"/>
    <cellStyle name="Sheet Title" xfId="55"/>
    <cellStyle name="Source Hed" xfId="56"/>
    <cellStyle name="Source Letter" xfId="57"/>
    <cellStyle name="Source Superscript" xfId="58"/>
    <cellStyle name="Source Text" xfId="59"/>
    <cellStyle name="State" xfId="60"/>
    <cellStyle name="Superscript" xfId="61"/>
    <cellStyle name="Table Data" xfId="62"/>
    <cellStyle name="Table Head Top" xfId="63"/>
    <cellStyle name="Table Hed Side" xfId="64"/>
    <cellStyle name="Table Title" xfId="65"/>
    <cellStyle name="Title Text" xfId="66"/>
    <cellStyle name="Title Text 1" xfId="67"/>
    <cellStyle name="Title Text 2" xfId="68"/>
    <cellStyle name="Title-1" xfId="69"/>
    <cellStyle name="Title-2" xfId="70"/>
    <cellStyle name="Title-3" xfId="71"/>
    <cellStyle name="Wrap" xfId="72"/>
    <cellStyle name="Wrap Bold" xfId="73"/>
    <cellStyle name="Wrap Title" xfId="74"/>
    <cellStyle name="Wrap_A-GraphsStarter" xfId="7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426768</xdr:colOff>
      <xdr:row>0</xdr:row>
      <xdr:rowOff>137927</xdr:rowOff>
    </xdr:from>
    <xdr:to>
      <xdr:col>8</xdr:col>
      <xdr:colOff>109475</xdr:colOff>
      <xdr:row>3</xdr:row>
      <xdr:rowOff>95250</xdr:rowOff>
    </xdr:to>
    <xdr:sp macro="" textlink="">
      <xdr:nvSpPr>
        <xdr:cNvPr id="2" name="Rounded Rectangle 1"/>
        <xdr:cNvSpPr/>
      </xdr:nvSpPr>
      <xdr:spPr>
        <a:xfrm>
          <a:off x="4161929" y="137927"/>
          <a:ext cx="2159207" cy="50160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/>
            <a:t>Ctrl + Shift + C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erry/Desktop/MrExcel/VBA-Simulations/8-Extras-Don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reaCodeFinder"/>
      <sheetName val="MarkOverMean"/>
      <sheetName val="Outliers"/>
      <sheetName val="FalsePositives"/>
      <sheetName val="Beliefs"/>
      <sheetName val="SampleTechniques"/>
      <sheetName val="AutoNumber"/>
      <sheetName val="FiscalYear"/>
      <sheetName val="StockMarket"/>
      <sheetName val="WeatherForecas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1">
          <cell r="A1" t="str">
            <v>Month</v>
          </cell>
          <cell r="B1" t="str">
            <v>Traditional</v>
          </cell>
          <cell r="C1" t="str">
            <v>S&amp;P 500</v>
          </cell>
          <cell r="E1" t="str">
            <v>Month</v>
          </cell>
          <cell r="F1" t="str">
            <v>Traditional</v>
          </cell>
          <cell r="G1" t="str">
            <v>Trad-3mo</v>
          </cell>
          <cell r="H1" t="str">
            <v>BenchMark</v>
          </cell>
          <cell r="I1" t="str">
            <v>S&amp;P500</v>
          </cell>
          <cell r="J1" t="str">
            <v>S&amp;P-3mo</v>
          </cell>
          <cell r="K1" t="str">
            <v>BenchMark</v>
          </cell>
        </row>
        <row r="2">
          <cell r="A2">
            <v>37987</v>
          </cell>
        </row>
        <row r="3">
          <cell r="A3">
            <v>38018</v>
          </cell>
        </row>
        <row r="4">
          <cell r="A4">
            <v>38047</v>
          </cell>
        </row>
        <row r="5">
          <cell r="A5">
            <v>38078</v>
          </cell>
        </row>
        <row r="6">
          <cell r="A6">
            <v>38108</v>
          </cell>
        </row>
        <row r="7">
          <cell r="A7">
            <v>38139</v>
          </cell>
        </row>
        <row r="8">
          <cell r="A8">
            <v>38169</v>
          </cell>
        </row>
        <row r="9">
          <cell r="A9">
            <v>38200</v>
          </cell>
        </row>
        <row r="10">
          <cell r="A10">
            <v>38231</v>
          </cell>
        </row>
        <row r="11">
          <cell r="A11">
            <v>38261</v>
          </cell>
        </row>
        <row r="12">
          <cell r="A12">
            <v>38292</v>
          </cell>
        </row>
        <row r="13">
          <cell r="A13">
            <v>38322</v>
          </cell>
        </row>
        <row r="14">
          <cell r="A14">
            <v>38353</v>
          </cell>
        </row>
        <row r="15">
          <cell r="A15">
            <v>38384</v>
          </cell>
        </row>
        <row r="16">
          <cell r="A16">
            <v>38412</v>
          </cell>
        </row>
        <row r="17">
          <cell r="A17">
            <v>38443</v>
          </cell>
        </row>
        <row r="18">
          <cell r="A18">
            <v>38473</v>
          </cell>
        </row>
        <row r="19">
          <cell r="A19">
            <v>38504</v>
          </cell>
        </row>
        <row r="20">
          <cell r="A20">
            <v>38534</v>
          </cell>
        </row>
        <row r="21">
          <cell r="A21">
            <v>38565</v>
          </cell>
        </row>
        <row r="22">
          <cell r="A22">
            <v>38596</v>
          </cell>
        </row>
        <row r="23">
          <cell r="A23">
            <v>38626</v>
          </cell>
        </row>
        <row r="24">
          <cell r="A24">
            <v>38657</v>
          </cell>
        </row>
        <row r="25">
          <cell r="A25">
            <v>38687</v>
          </cell>
        </row>
        <row r="26">
          <cell r="A26">
            <v>38718</v>
          </cell>
        </row>
        <row r="27">
          <cell r="A27">
            <v>38749</v>
          </cell>
        </row>
        <row r="28">
          <cell r="A28">
            <v>38777</v>
          </cell>
        </row>
        <row r="29">
          <cell r="A29">
            <v>38808</v>
          </cell>
        </row>
        <row r="30">
          <cell r="A30">
            <v>38838</v>
          </cell>
        </row>
        <row r="31">
          <cell r="A31">
            <v>38869</v>
          </cell>
        </row>
        <row r="32">
          <cell r="A32">
            <v>38899</v>
          </cell>
        </row>
        <row r="33">
          <cell r="A33">
            <v>38930</v>
          </cell>
        </row>
        <row r="34">
          <cell r="A34">
            <v>38961</v>
          </cell>
        </row>
        <row r="35">
          <cell r="A35">
            <v>38991</v>
          </cell>
        </row>
        <row r="36">
          <cell r="A36">
            <v>39022</v>
          </cell>
        </row>
        <row r="37">
          <cell r="A37">
            <v>39052</v>
          </cell>
        </row>
      </sheetData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03"/>
  <sheetViews>
    <sheetView tabSelected="1" zoomScale="140" zoomScaleNormal="140" workbookViewId="0"/>
  </sheetViews>
  <sheetFormatPr defaultRowHeight="12.75" x14ac:dyDescent="0.2"/>
  <cols>
    <col min="1" max="1" width="12.140625" style="4" bestFit="1" customWidth="1"/>
    <col min="2" max="2" width="12.42578125" style="4" bestFit="1" customWidth="1"/>
    <col min="3" max="4" width="16.42578125" style="4" bestFit="1" customWidth="1"/>
    <col min="5" max="5" width="9.7109375" style="4" customWidth="1"/>
    <col min="6" max="6" width="9.140625" style="4"/>
    <col min="7" max="7" width="3" style="4" bestFit="1" customWidth="1"/>
    <col min="8" max="9" width="15.28515625" style="4" bestFit="1" customWidth="1"/>
    <col min="10" max="16384" width="9.140625" style="4"/>
  </cols>
  <sheetData>
    <row r="1" spans="1:9" x14ac:dyDescent="0.2">
      <c r="A1" s="1" t="s">
        <v>3</v>
      </c>
      <c r="B1" s="2" t="s">
        <v>2</v>
      </c>
      <c r="C1" s="3" t="s">
        <v>1</v>
      </c>
      <c r="D1" s="13" t="s">
        <v>0</v>
      </c>
    </row>
    <row r="2" spans="1:9" ht="15" x14ac:dyDescent="0.25">
      <c r="A2" s="5">
        <v>120</v>
      </c>
      <c r="B2" s="5">
        <v>200000</v>
      </c>
      <c r="C2" s="5">
        <v>10000</v>
      </c>
      <c r="D2" s="14" t="s">
        <v>4</v>
      </c>
    </row>
    <row r="3" spans="1:9" ht="15" x14ac:dyDescent="0.25">
      <c r="A3" s="5">
        <v>240</v>
      </c>
      <c r="B3" s="5">
        <v>300000</v>
      </c>
      <c r="C3" s="5">
        <v>12000</v>
      </c>
      <c r="D3" s="14"/>
    </row>
    <row r="4" spans="1:9" ht="15" x14ac:dyDescent="0.25">
      <c r="A4" s="6">
        <f t="shared" ref="A4:A35" ca="1" si="0">NORMINV(RAND(),SUM(A$2:A$3)/2,(MAX(A$2:A$3)-MIN(A$2:A$3))/4)</f>
        <v>140.09675671355052</v>
      </c>
      <c r="B4" s="7">
        <f t="shared" ref="B4:B35" ca="1" si="1">NORMINV(RAND(),SUM(B$2:B$3)/2,(MAX(B$2:B$3)-MIN(B$2:B$3))/4)</f>
        <v>262518.91756881401</v>
      </c>
      <c r="C4" s="8">
        <f t="shared" ref="C4:C35" ca="1" si="2">NORMINV(RAND(),SUM(C$2:C$3)/2,(MAX(C$2:C$3)-MIN(C$2:C$3))/4)</f>
        <v>11286.596493436427</v>
      </c>
      <c r="D4" s="7">
        <f t="shared" ref="D4:D35" ca="1" si="3">A4/130*B4*C4</f>
        <v>3193069215.8367701</v>
      </c>
      <c r="E4" s="9"/>
    </row>
    <row r="5" spans="1:9" ht="15" x14ac:dyDescent="0.25">
      <c r="A5" s="6">
        <f t="shared" ca="1" si="0"/>
        <v>210.56926554814154</v>
      </c>
      <c r="B5" s="7">
        <f t="shared" ca="1" si="1"/>
        <v>236561.95651011946</v>
      </c>
      <c r="C5" s="8">
        <f t="shared" ca="1" si="2"/>
        <v>12311.946789346845</v>
      </c>
      <c r="D5" s="7">
        <f t="shared" ca="1" si="3"/>
        <v>4717623338.9497147</v>
      </c>
      <c r="E5" s="9"/>
    </row>
    <row r="6" spans="1:9" ht="15" x14ac:dyDescent="0.25">
      <c r="A6" s="6">
        <f t="shared" ca="1" si="0"/>
        <v>165.29934382037607</v>
      </c>
      <c r="B6" s="7">
        <f t="shared" ca="1" si="1"/>
        <v>252137.29853435131</v>
      </c>
      <c r="C6" s="8">
        <f t="shared" ca="1" si="2"/>
        <v>10663.900368224566</v>
      </c>
      <c r="D6" s="7">
        <f t="shared" ca="1" si="3"/>
        <v>3418857121.9835596</v>
      </c>
      <c r="E6" s="9"/>
      <c r="G6" s="10"/>
      <c r="H6" s="11"/>
      <c r="I6" s="11"/>
    </row>
    <row r="7" spans="1:9" ht="15" x14ac:dyDescent="0.25">
      <c r="A7" s="6">
        <f t="shared" ca="1" si="0"/>
        <v>178.64543706861164</v>
      </c>
      <c r="B7" s="7">
        <f t="shared" ca="1" si="1"/>
        <v>226212.13284439672</v>
      </c>
      <c r="C7" s="8">
        <f t="shared" ca="1" si="2"/>
        <v>11669.597384946132</v>
      </c>
      <c r="D7" s="7">
        <f t="shared" ca="1" si="3"/>
        <v>3627607931.9885511</v>
      </c>
      <c r="E7" s="9"/>
      <c r="G7" s="12"/>
      <c r="H7" s="11"/>
      <c r="I7" s="11"/>
    </row>
    <row r="8" spans="1:9" ht="15" x14ac:dyDescent="0.25">
      <c r="A8" s="6">
        <f t="shared" ca="1" si="0"/>
        <v>161.43133132669487</v>
      </c>
      <c r="B8" s="7">
        <f t="shared" ca="1" si="1"/>
        <v>240053.2706862406</v>
      </c>
      <c r="C8" s="8">
        <f t="shared" ca="1" si="2"/>
        <v>11106.801540842453</v>
      </c>
      <c r="D8" s="7">
        <f t="shared" ca="1" si="3"/>
        <v>3310862275.896378</v>
      </c>
      <c r="E8" s="9"/>
      <c r="G8" s="10"/>
      <c r="H8" s="11"/>
      <c r="I8" s="11"/>
    </row>
    <row r="9" spans="1:9" ht="15" x14ac:dyDescent="0.25">
      <c r="A9" s="6">
        <f t="shared" ca="1" si="0"/>
        <v>203.063216575041</v>
      </c>
      <c r="B9" s="7">
        <f t="shared" ca="1" si="1"/>
        <v>220358.30109663025</v>
      </c>
      <c r="C9" s="8">
        <f t="shared" ca="1" si="2"/>
        <v>10668.503118098915</v>
      </c>
      <c r="D9" s="7">
        <f t="shared" ca="1" si="3"/>
        <v>3672153381.1886535</v>
      </c>
      <c r="E9" s="9"/>
      <c r="G9" s="12"/>
      <c r="H9" s="11"/>
      <c r="I9" s="11"/>
    </row>
    <row r="10" spans="1:9" ht="15" x14ac:dyDescent="0.25">
      <c r="A10" s="6">
        <f t="shared" ca="1" si="0"/>
        <v>203.69493292312961</v>
      </c>
      <c r="B10" s="7">
        <f t="shared" ca="1" si="1"/>
        <v>237087.69528032339</v>
      </c>
      <c r="C10" s="8">
        <f t="shared" ca="1" si="2"/>
        <v>9811.3331457169679</v>
      </c>
      <c r="D10" s="7">
        <f t="shared" ca="1" si="3"/>
        <v>3644801749.3100052</v>
      </c>
      <c r="E10" s="9"/>
      <c r="G10" s="10"/>
      <c r="H10" s="11"/>
      <c r="I10" s="11"/>
    </row>
    <row r="11" spans="1:9" ht="15" x14ac:dyDescent="0.25">
      <c r="A11" s="6">
        <f t="shared" ca="1" si="0"/>
        <v>136.51685151786708</v>
      </c>
      <c r="B11" s="7">
        <f t="shared" ca="1" si="1"/>
        <v>251841.16687035834</v>
      </c>
      <c r="C11" s="8">
        <f t="shared" ca="1" si="2"/>
        <v>12033.681189522496</v>
      </c>
      <c r="D11" s="7">
        <f t="shared" ca="1" si="3"/>
        <v>3182497972.8400497</v>
      </c>
      <c r="E11" s="9"/>
      <c r="G11" s="12"/>
      <c r="H11" s="11"/>
      <c r="I11" s="11"/>
    </row>
    <row r="12" spans="1:9" ht="15" x14ac:dyDescent="0.25">
      <c r="A12" s="6">
        <f t="shared" ca="1" si="0"/>
        <v>191.49132142117062</v>
      </c>
      <c r="B12" s="7">
        <f t="shared" ca="1" si="1"/>
        <v>263495.93862399366</v>
      </c>
      <c r="C12" s="8">
        <f t="shared" ca="1" si="2"/>
        <v>10951.459197992708</v>
      </c>
      <c r="D12" s="7">
        <f t="shared" ca="1" si="3"/>
        <v>4250613907.6028919</v>
      </c>
      <c r="E12" s="9"/>
      <c r="G12" s="10"/>
      <c r="H12" s="11"/>
      <c r="I12" s="11"/>
    </row>
    <row r="13" spans="1:9" ht="15" x14ac:dyDescent="0.25">
      <c r="A13" s="6">
        <f t="shared" ca="1" si="0"/>
        <v>199.14388121633641</v>
      </c>
      <c r="B13" s="7">
        <f t="shared" ca="1" si="1"/>
        <v>224614.8007881495</v>
      </c>
      <c r="C13" s="8">
        <f t="shared" ca="1" si="2"/>
        <v>9969.3973852068957</v>
      </c>
      <c r="D13" s="7">
        <f t="shared" ca="1" si="3"/>
        <v>3430290437.0790868</v>
      </c>
      <c r="E13" s="9"/>
      <c r="G13" s="12"/>
      <c r="H13" s="11"/>
      <c r="I13" s="11"/>
    </row>
    <row r="14" spans="1:9" ht="15" x14ac:dyDescent="0.25">
      <c r="A14" s="6">
        <f t="shared" ca="1" si="0"/>
        <v>116.36451859712523</v>
      </c>
      <c r="B14" s="7">
        <f t="shared" ca="1" si="1"/>
        <v>276970.92394471104</v>
      </c>
      <c r="C14" s="8">
        <f t="shared" ca="1" si="2"/>
        <v>11598.610641220372</v>
      </c>
      <c r="D14" s="7">
        <f t="shared" ca="1" si="3"/>
        <v>2875526500.0712695</v>
      </c>
      <c r="E14" s="9"/>
      <c r="G14" s="10"/>
      <c r="H14" s="11"/>
      <c r="I14" s="11"/>
    </row>
    <row r="15" spans="1:9" ht="15" x14ac:dyDescent="0.25">
      <c r="A15" s="6">
        <f t="shared" ca="1" si="0"/>
        <v>183.71095664781313</v>
      </c>
      <c r="B15" s="7">
        <f t="shared" ca="1" si="1"/>
        <v>224037.19340114883</v>
      </c>
      <c r="C15" s="8">
        <f t="shared" ca="1" si="2"/>
        <v>11388.844583632497</v>
      </c>
      <c r="D15" s="7">
        <f t="shared" ca="1" si="3"/>
        <v>3605715827.8429356</v>
      </c>
      <c r="E15" s="9"/>
      <c r="G15" s="12"/>
      <c r="H15" s="11"/>
      <c r="I15" s="11"/>
    </row>
    <row r="16" spans="1:9" ht="15" x14ac:dyDescent="0.25">
      <c r="A16" s="6">
        <f t="shared" ca="1" si="0"/>
        <v>171.23366503929591</v>
      </c>
      <c r="B16" s="7">
        <f t="shared" ca="1" si="1"/>
        <v>239460.58404337527</v>
      </c>
      <c r="C16" s="8">
        <f t="shared" ca="1" si="2"/>
        <v>10682.882540304041</v>
      </c>
      <c r="D16" s="7">
        <f t="shared" ca="1" si="3"/>
        <v>3369521956.7426934</v>
      </c>
      <c r="E16" s="9"/>
      <c r="G16" s="10"/>
      <c r="H16" s="11"/>
      <c r="I16" s="11"/>
    </row>
    <row r="17" spans="1:9" ht="15" x14ac:dyDescent="0.25">
      <c r="A17" s="6">
        <f t="shared" ca="1" si="0"/>
        <v>165.2532255577822</v>
      </c>
      <c r="B17" s="7">
        <f t="shared" ca="1" si="1"/>
        <v>263400.33955239458</v>
      </c>
      <c r="C17" s="8">
        <f t="shared" ca="1" si="2"/>
        <v>10746.312188192249</v>
      </c>
      <c r="D17" s="7">
        <f t="shared" ca="1" si="3"/>
        <v>3598175783.5538073</v>
      </c>
      <c r="E17" s="9"/>
      <c r="G17" s="12"/>
      <c r="H17" s="11"/>
      <c r="I17" s="11"/>
    </row>
    <row r="18" spans="1:9" ht="15" x14ac:dyDescent="0.25">
      <c r="A18" s="6">
        <f t="shared" ca="1" si="0"/>
        <v>179.91058420155827</v>
      </c>
      <c r="B18" s="7">
        <f t="shared" ca="1" si="1"/>
        <v>270287.33133358916</v>
      </c>
      <c r="C18" s="8">
        <f t="shared" ca="1" si="2"/>
        <v>10982.650038061243</v>
      </c>
      <c r="D18" s="7">
        <f t="shared" ca="1" si="3"/>
        <v>4108149094.8977041</v>
      </c>
      <c r="E18" s="9"/>
      <c r="G18" s="10"/>
      <c r="H18" s="11"/>
      <c r="I18" s="11"/>
    </row>
    <row r="19" spans="1:9" ht="15" x14ac:dyDescent="0.25">
      <c r="A19" s="6">
        <f t="shared" ca="1" si="0"/>
        <v>241.15164908716</v>
      </c>
      <c r="B19" s="7">
        <f t="shared" ca="1" si="1"/>
        <v>235350.65739017134</v>
      </c>
      <c r="C19" s="8">
        <f t="shared" ca="1" si="2"/>
        <v>11520.993442496625</v>
      </c>
      <c r="D19" s="7">
        <f t="shared" ca="1" si="3"/>
        <v>5029817516.6042461</v>
      </c>
      <c r="E19" s="9"/>
      <c r="G19" s="12"/>
      <c r="H19" s="11"/>
      <c r="I19" s="11"/>
    </row>
    <row r="20" spans="1:9" ht="15" x14ac:dyDescent="0.25">
      <c r="A20" s="6">
        <f t="shared" ca="1" si="0"/>
        <v>188.93070161430981</v>
      </c>
      <c r="B20" s="7">
        <f t="shared" ca="1" si="1"/>
        <v>242682.18147850319</v>
      </c>
      <c r="C20" s="8">
        <f t="shared" ca="1" si="2"/>
        <v>10569.271844435001</v>
      </c>
      <c r="D20" s="7">
        <f t="shared" ca="1" si="3"/>
        <v>3727710212.2240291</v>
      </c>
      <c r="E20" s="9"/>
      <c r="G20" s="10"/>
      <c r="H20" s="11"/>
      <c r="I20" s="11"/>
    </row>
    <row r="21" spans="1:9" ht="15" x14ac:dyDescent="0.25">
      <c r="A21" s="6">
        <f t="shared" ca="1" si="0"/>
        <v>263.34215287885701</v>
      </c>
      <c r="B21" s="7">
        <f t="shared" ca="1" si="1"/>
        <v>247647.99451501554</v>
      </c>
      <c r="C21" s="8">
        <f t="shared" ca="1" si="2"/>
        <v>10766.114421516413</v>
      </c>
      <c r="D21" s="7">
        <f t="shared" ca="1" si="3"/>
        <v>5400958445.9147511</v>
      </c>
      <c r="E21" s="9"/>
      <c r="G21" s="12"/>
      <c r="H21" s="11"/>
      <c r="I21" s="11"/>
    </row>
    <row r="22" spans="1:9" ht="15" x14ac:dyDescent="0.25">
      <c r="A22" s="6">
        <f t="shared" ca="1" si="0"/>
        <v>111.37867052221989</v>
      </c>
      <c r="B22" s="7">
        <f t="shared" ca="1" si="1"/>
        <v>309961.83877985185</v>
      </c>
      <c r="C22" s="8">
        <f t="shared" ca="1" si="2"/>
        <v>11660.113384045086</v>
      </c>
      <c r="D22" s="7">
        <f t="shared" ca="1" si="3"/>
        <v>3096489983.1433668</v>
      </c>
      <c r="E22" s="9"/>
      <c r="G22" s="10"/>
      <c r="H22" s="11"/>
      <c r="I22" s="11"/>
    </row>
    <row r="23" spans="1:9" ht="15" x14ac:dyDescent="0.25">
      <c r="A23" s="6">
        <f t="shared" ca="1" si="0"/>
        <v>154.99544386096986</v>
      </c>
      <c r="B23" s="7">
        <f t="shared" ca="1" si="1"/>
        <v>257824.6709612518</v>
      </c>
      <c r="C23" s="8">
        <f t="shared" ca="1" si="2"/>
        <v>11106.848519102492</v>
      </c>
      <c r="D23" s="7">
        <f t="shared" ca="1" si="3"/>
        <v>3414215273.1039495</v>
      </c>
      <c r="E23" s="9"/>
      <c r="G23" s="12"/>
      <c r="H23" s="11"/>
      <c r="I23" s="11"/>
    </row>
    <row r="24" spans="1:9" ht="15" x14ac:dyDescent="0.25">
      <c r="A24" s="6">
        <f t="shared" ca="1" si="0"/>
        <v>145.6247156493676</v>
      </c>
      <c r="B24" s="7">
        <f t="shared" ca="1" si="1"/>
        <v>253553.56786361136</v>
      </c>
      <c r="C24" s="8">
        <f t="shared" ca="1" si="2"/>
        <v>11298.115176747906</v>
      </c>
      <c r="D24" s="7">
        <f t="shared" ca="1" si="3"/>
        <v>3208983336.339922</v>
      </c>
      <c r="E24" s="9"/>
      <c r="G24" s="10"/>
      <c r="H24" s="11"/>
      <c r="I24" s="11"/>
    </row>
    <row r="25" spans="1:9" ht="15" x14ac:dyDescent="0.25">
      <c r="A25" s="6">
        <f t="shared" ca="1" si="0"/>
        <v>204.12644812060122</v>
      </c>
      <c r="B25" s="7">
        <f t="shared" ca="1" si="1"/>
        <v>287356.58125865721</v>
      </c>
      <c r="C25" s="8">
        <f t="shared" ca="1" si="2"/>
        <v>11469.636836101108</v>
      </c>
      <c r="D25" s="7">
        <f t="shared" ca="1" si="3"/>
        <v>5175195274.5935564</v>
      </c>
      <c r="E25" s="9"/>
      <c r="G25" s="12"/>
      <c r="H25" s="11"/>
      <c r="I25" s="11"/>
    </row>
    <row r="26" spans="1:9" ht="15" x14ac:dyDescent="0.25">
      <c r="A26" s="6">
        <f t="shared" ca="1" si="0"/>
        <v>199.87179992526336</v>
      </c>
      <c r="B26" s="7">
        <f t="shared" ca="1" si="1"/>
        <v>268545.64432909206</v>
      </c>
      <c r="C26" s="8">
        <f t="shared" ca="1" si="2"/>
        <v>10393.158183246496</v>
      </c>
      <c r="D26" s="7">
        <f t="shared" ca="1" si="3"/>
        <v>4291151238.3735127</v>
      </c>
      <c r="E26" s="9"/>
    </row>
    <row r="27" spans="1:9" ht="15" x14ac:dyDescent="0.25">
      <c r="A27" s="6">
        <f t="shared" ca="1" si="0"/>
        <v>186.19193139112099</v>
      </c>
      <c r="B27" s="7">
        <f t="shared" ca="1" si="1"/>
        <v>254315.18944786821</v>
      </c>
      <c r="C27" s="8">
        <f t="shared" ca="1" si="2"/>
        <v>10825.276237463131</v>
      </c>
      <c r="D27" s="7">
        <f t="shared" ca="1" si="3"/>
        <v>3943018294.2043662</v>
      </c>
      <c r="E27" s="9"/>
      <c r="H27" s="11"/>
      <c r="I27" s="11"/>
    </row>
    <row r="28" spans="1:9" ht="15" x14ac:dyDescent="0.25">
      <c r="A28" s="6">
        <f t="shared" ca="1" si="0"/>
        <v>201.58369591480212</v>
      </c>
      <c r="B28" s="7">
        <f t="shared" ca="1" si="1"/>
        <v>219970.11147279036</v>
      </c>
      <c r="C28" s="8">
        <f t="shared" ca="1" si="2"/>
        <v>10357.469472584926</v>
      </c>
      <c r="D28" s="7">
        <f t="shared" ca="1" si="3"/>
        <v>3532884082.2173309</v>
      </c>
      <c r="E28" s="9"/>
    </row>
    <row r="29" spans="1:9" ht="15" x14ac:dyDescent="0.25">
      <c r="A29" s="6">
        <f t="shared" ca="1" si="0"/>
        <v>181.16764898939044</v>
      </c>
      <c r="B29" s="7">
        <f t="shared" ca="1" si="1"/>
        <v>273588.29350001877</v>
      </c>
      <c r="C29" s="8">
        <f t="shared" ca="1" si="2"/>
        <v>10201.679179894027</v>
      </c>
      <c r="D29" s="7">
        <f t="shared" ca="1" si="3"/>
        <v>3889613676.6518154</v>
      </c>
      <c r="E29" s="9"/>
    </row>
    <row r="30" spans="1:9" ht="15" x14ac:dyDescent="0.25">
      <c r="A30" s="6">
        <f t="shared" ca="1" si="0"/>
        <v>232.04013642791506</v>
      </c>
      <c r="B30" s="7">
        <f t="shared" ca="1" si="1"/>
        <v>255571.78136021466</v>
      </c>
      <c r="C30" s="8">
        <f t="shared" ca="1" si="2"/>
        <v>10937.071608891711</v>
      </c>
      <c r="D30" s="7">
        <f t="shared" ca="1" si="3"/>
        <v>4989232187.5022964</v>
      </c>
      <c r="E30" s="9"/>
    </row>
    <row r="31" spans="1:9" ht="15" x14ac:dyDescent="0.25">
      <c r="A31" s="6">
        <f t="shared" ca="1" si="0"/>
        <v>176.79407705265601</v>
      </c>
      <c r="B31" s="7">
        <f t="shared" ca="1" si="1"/>
        <v>299452.89475945482</v>
      </c>
      <c r="C31" s="8">
        <f t="shared" ca="1" si="2"/>
        <v>11012.197570620412</v>
      </c>
      <c r="D31" s="7">
        <f t="shared" ca="1" si="3"/>
        <v>4484632594.6893482</v>
      </c>
      <c r="E31" s="9"/>
    </row>
    <row r="32" spans="1:9" ht="15" x14ac:dyDescent="0.25">
      <c r="A32" s="6">
        <f t="shared" ca="1" si="0"/>
        <v>147.8728401829616</v>
      </c>
      <c r="B32" s="7">
        <f t="shared" ca="1" si="1"/>
        <v>237103.78289340957</v>
      </c>
      <c r="C32" s="8">
        <f t="shared" ca="1" si="2"/>
        <v>11795.439182908496</v>
      </c>
      <c r="D32" s="7">
        <f t="shared" ca="1" si="3"/>
        <v>3181248983.1621451</v>
      </c>
      <c r="E32" s="9"/>
    </row>
    <row r="33" spans="1:5" ht="15" x14ac:dyDescent="0.25">
      <c r="A33" s="6">
        <f t="shared" ca="1" si="0"/>
        <v>170.24585707423682</v>
      </c>
      <c r="B33" s="7">
        <f t="shared" ca="1" si="1"/>
        <v>213788.91452903778</v>
      </c>
      <c r="C33" s="8">
        <f t="shared" ca="1" si="2"/>
        <v>11102.44762764189</v>
      </c>
      <c r="D33" s="7">
        <f t="shared" ca="1" si="3"/>
        <v>3108401538.9845977</v>
      </c>
      <c r="E33" s="9"/>
    </row>
    <row r="34" spans="1:5" ht="15" x14ac:dyDescent="0.25">
      <c r="A34" s="6">
        <f t="shared" ca="1" si="0"/>
        <v>194.38766366085233</v>
      </c>
      <c r="B34" s="7">
        <f t="shared" ca="1" si="1"/>
        <v>275880.42156873079</v>
      </c>
      <c r="C34" s="8">
        <f t="shared" ca="1" si="2"/>
        <v>11060.34169722263</v>
      </c>
      <c r="D34" s="7">
        <f t="shared" ca="1" si="3"/>
        <v>4562624969.7925301</v>
      </c>
      <c r="E34" s="9"/>
    </row>
    <row r="35" spans="1:5" ht="15" x14ac:dyDescent="0.25">
      <c r="A35" s="6">
        <f t="shared" ca="1" si="0"/>
        <v>182.48461755388044</v>
      </c>
      <c r="B35" s="7">
        <f t="shared" ca="1" si="1"/>
        <v>277473.71364424989</v>
      </c>
      <c r="C35" s="8">
        <f t="shared" ca="1" si="2"/>
        <v>11739.429837247089</v>
      </c>
      <c r="D35" s="7">
        <f t="shared" ca="1" si="3"/>
        <v>4572479432.3256283</v>
      </c>
      <c r="E35" s="9"/>
    </row>
    <row r="36" spans="1:5" ht="15" x14ac:dyDescent="0.25">
      <c r="A36" s="6">
        <f t="shared" ref="A36:A67" ca="1" si="4">NORMINV(RAND(),SUM(A$2:A$3)/2,(MAX(A$2:A$3)-MIN(A$2:A$3))/4)</f>
        <v>201.23522992548354</v>
      </c>
      <c r="B36" s="7">
        <f t="shared" ref="B36:B67" ca="1" si="5">NORMINV(RAND(),SUM(B$2:B$3)/2,(MAX(B$2:B$3)-MIN(B$2:B$3))/4)</f>
        <v>276739.12133734801</v>
      </c>
      <c r="C36" s="8">
        <f t="shared" ref="C36:C67" ca="1" si="6">NORMINV(RAND(),SUM(C$2:C$3)/2,(MAX(C$2:C$3)-MIN(C$2:C$3))/4)</f>
        <v>11130.659899612103</v>
      </c>
      <c r="D36" s="7">
        <f t="shared" ref="D36:D67" ca="1" si="7">A36/130*B36*C36</f>
        <v>4768174410.0515013</v>
      </c>
      <c r="E36" s="9"/>
    </row>
    <row r="37" spans="1:5" ht="15" x14ac:dyDescent="0.25">
      <c r="A37" s="6">
        <f t="shared" ca="1" si="4"/>
        <v>153.88449018208829</v>
      </c>
      <c r="B37" s="7">
        <f t="shared" ca="1" si="5"/>
        <v>257944.81675215636</v>
      </c>
      <c r="C37" s="8">
        <f t="shared" ca="1" si="6"/>
        <v>11915.34207188529</v>
      </c>
      <c r="D37" s="7">
        <f t="shared" ca="1" si="7"/>
        <v>3638185326.8498821</v>
      </c>
      <c r="E37" s="9"/>
    </row>
    <row r="38" spans="1:5" ht="15" x14ac:dyDescent="0.25">
      <c r="A38" s="6">
        <f t="shared" ca="1" si="4"/>
        <v>169.04603852390284</v>
      </c>
      <c r="B38" s="7">
        <f t="shared" ca="1" si="5"/>
        <v>231214.88925179327</v>
      </c>
      <c r="C38" s="8">
        <f t="shared" ca="1" si="6"/>
        <v>11863.397289149336</v>
      </c>
      <c r="D38" s="7">
        <f t="shared" ca="1" si="7"/>
        <v>3566863728.2303901</v>
      </c>
      <c r="E38" s="9"/>
    </row>
    <row r="39" spans="1:5" ht="15" x14ac:dyDescent="0.25">
      <c r="A39" s="6">
        <f t="shared" ca="1" si="4"/>
        <v>151.94545184024443</v>
      </c>
      <c r="B39" s="7">
        <f t="shared" ca="1" si="5"/>
        <v>221707.97649066863</v>
      </c>
      <c r="C39" s="8">
        <f t="shared" ca="1" si="6"/>
        <v>10889.775507374945</v>
      </c>
      <c r="D39" s="7">
        <f t="shared" ca="1" si="7"/>
        <v>2821919351.2037153</v>
      </c>
      <c r="E39" s="9"/>
    </row>
    <row r="40" spans="1:5" ht="15" x14ac:dyDescent="0.25">
      <c r="A40" s="6">
        <f t="shared" ca="1" si="4"/>
        <v>185.67576620307963</v>
      </c>
      <c r="B40" s="7">
        <f t="shared" ca="1" si="5"/>
        <v>279954.43200474005</v>
      </c>
      <c r="C40" s="8">
        <f t="shared" ca="1" si="6"/>
        <v>11145.667241860898</v>
      </c>
      <c r="D40" s="7">
        <f t="shared" ca="1" si="7"/>
        <v>4456616794.8065901</v>
      </c>
      <c r="E40" s="9"/>
    </row>
    <row r="41" spans="1:5" ht="15" x14ac:dyDescent="0.25">
      <c r="A41" s="6">
        <f t="shared" ca="1" si="4"/>
        <v>185.32731523685905</v>
      </c>
      <c r="B41" s="7">
        <f t="shared" ca="1" si="5"/>
        <v>256359.31975702729</v>
      </c>
      <c r="C41" s="8">
        <f t="shared" ca="1" si="6"/>
        <v>11240.724487584823</v>
      </c>
      <c r="D41" s="7">
        <f t="shared" ca="1" si="7"/>
        <v>4108085708.3642392</v>
      </c>
      <c r="E41" s="9"/>
    </row>
    <row r="42" spans="1:5" ht="15" x14ac:dyDescent="0.25">
      <c r="A42" s="6">
        <f t="shared" ca="1" si="4"/>
        <v>194.48767103354811</v>
      </c>
      <c r="B42" s="7">
        <f t="shared" ca="1" si="5"/>
        <v>211823.18066088264</v>
      </c>
      <c r="C42" s="8">
        <f t="shared" ca="1" si="6"/>
        <v>10974.936439958778</v>
      </c>
      <c r="D42" s="7">
        <f t="shared" ca="1" si="7"/>
        <v>3477957111.1108885</v>
      </c>
      <c r="E42" s="9"/>
    </row>
    <row r="43" spans="1:5" ht="15" x14ac:dyDescent="0.25">
      <c r="A43" s="6">
        <f t="shared" ca="1" si="4"/>
        <v>194.57400052262591</v>
      </c>
      <c r="B43" s="7">
        <f t="shared" ca="1" si="5"/>
        <v>223736.79520367508</v>
      </c>
      <c r="C43" s="8">
        <f t="shared" ca="1" si="6"/>
        <v>11073.363241918301</v>
      </c>
      <c r="D43" s="7">
        <f t="shared" ca="1" si="7"/>
        <v>3708159577.2276654</v>
      </c>
      <c r="E43" s="9"/>
    </row>
    <row r="44" spans="1:5" ht="15" x14ac:dyDescent="0.25">
      <c r="A44" s="6">
        <f t="shared" ca="1" si="4"/>
        <v>181.26684963423395</v>
      </c>
      <c r="B44" s="7">
        <f t="shared" ca="1" si="5"/>
        <v>233099.90594737197</v>
      </c>
      <c r="C44" s="8">
        <f t="shared" ca="1" si="6"/>
        <v>10827.892042383308</v>
      </c>
      <c r="D44" s="7">
        <f t="shared" ca="1" si="7"/>
        <v>3519338576.3452067</v>
      </c>
      <c r="E44" s="9"/>
    </row>
    <row r="45" spans="1:5" ht="15" x14ac:dyDescent="0.25">
      <c r="A45" s="6">
        <f t="shared" ca="1" si="4"/>
        <v>157.39759709077339</v>
      </c>
      <c r="B45" s="7">
        <f t="shared" ca="1" si="5"/>
        <v>247884.05672171208</v>
      </c>
      <c r="C45" s="8">
        <f t="shared" ca="1" si="6"/>
        <v>11254.380990073927</v>
      </c>
      <c r="D45" s="7">
        <f t="shared" ca="1" si="7"/>
        <v>3377730174.7766552</v>
      </c>
      <c r="E45" s="9"/>
    </row>
    <row r="46" spans="1:5" ht="15" x14ac:dyDescent="0.25">
      <c r="A46" s="6">
        <f t="shared" ca="1" si="4"/>
        <v>140.58370505519844</v>
      </c>
      <c r="B46" s="7">
        <f t="shared" ca="1" si="5"/>
        <v>229873.84507677463</v>
      </c>
      <c r="C46" s="8">
        <f t="shared" ca="1" si="6"/>
        <v>10865.820997563291</v>
      </c>
      <c r="D46" s="7">
        <f t="shared" ca="1" si="7"/>
        <v>2701119132.3588223</v>
      </c>
      <c r="E46" s="9"/>
    </row>
    <row r="47" spans="1:5" ht="15" x14ac:dyDescent="0.25">
      <c r="A47" s="6">
        <f t="shared" ca="1" si="4"/>
        <v>178.89206494294513</v>
      </c>
      <c r="B47" s="7">
        <f t="shared" ca="1" si="5"/>
        <v>252723.50708032033</v>
      </c>
      <c r="C47" s="8">
        <f t="shared" ca="1" si="6"/>
        <v>11541.756941136389</v>
      </c>
      <c r="D47" s="7">
        <f t="shared" ca="1" si="7"/>
        <v>4013888356.8357024</v>
      </c>
      <c r="E47" s="9"/>
    </row>
    <row r="48" spans="1:5" ht="15" x14ac:dyDescent="0.25">
      <c r="A48" s="6">
        <f t="shared" ca="1" si="4"/>
        <v>188.26138993502764</v>
      </c>
      <c r="B48" s="7">
        <f t="shared" ca="1" si="5"/>
        <v>306495.79452403396</v>
      </c>
      <c r="C48" s="8">
        <f t="shared" ca="1" si="6"/>
        <v>10785.925117838113</v>
      </c>
      <c r="D48" s="7">
        <f t="shared" ca="1" si="7"/>
        <v>4787401253.4808149</v>
      </c>
      <c r="E48" s="9"/>
    </row>
    <row r="49" spans="1:5" ht="15" x14ac:dyDescent="0.25">
      <c r="A49" s="6">
        <f t="shared" ca="1" si="4"/>
        <v>227.46797345252469</v>
      </c>
      <c r="B49" s="7">
        <f t="shared" ca="1" si="5"/>
        <v>297207.57839577075</v>
      </c>
      <c r="C49" s="8">
        <f t="shared" ca="1" si="6"/>
        <v>10814.660626724666</v>
      </c>
      <c r="D49" s="7">
        <f t="shared" ca="1" si="7"/>
        <v>5624056574.225894</v>
      </c>
      <c r="E49" s="9"/>
    </row>
    <row r="50" spans="1:5" ht="15" x14ac:dyDescent="0.25">
      <c r="A50" s="6">
        <f t="shared" ca="1" si="4"/>
        <v>107.702938394816</v>
      </c>
      <c r="B50" s="7">
        <f t="shared" ca="1" si="5"/>
        <v>232276.01707271533</v>
      </c>
      <c r="C50" s="8">
        <f t="shared" ca="1" si="6"/>
        <v>11476.767069787044</v>
      </c>
      <c r="D50" s="7">
        <f t="shared" ca="1" si="7"/>
        <v>2208554585.5325027</v>
      </c>
      <c r="E50" s="9"/>
    </row>
    <row r="51" spans="1:5" ht="15" x14ac:dyDescent="0.25">
      <c r="A51" s="6">
        <f t="shared" ca="1" si="4"/>
        <v>160.0076660987728</v>
      </c>
      <c r="B51" s="7">
        <f t="shared" ca="1" si="5"/>
        <v>263681.78047715605</v>
      </c>
      <c r="C51" s="8">
        <f t="shared" ca="1" si="6"/>
        <v>11101.959927720771</v>
      </c>
      <c r="D51" s="7">
        <f t="shared" ca="1" si="7"/>
        <v>3603107471.5659943</v>
      </c>
      <c r="E51" s="9"/>
    </row>
    <row r="52" spans="1:5" ht="15" x14ac:dyDescent="0.25">
      <c r="A52" s="6">
        <f t="shared" ca="1" si="4"/>
        <v>205.57875310871651</v>
      </c>
      <c r="B52" s="7">
        <f t="shared" ca="1" si="5"/>
        <v>222386.5291688751</v>
      </c>
      <c r="C52" s="8">
        <f t="shared" ca="1" si="6"/>
        <v>10801.633094837958</v>
      </c>
      <c r="D52" s="7">
        <f t="shared" ca="1" si="7"/>
        <v>3798680552.2114544</v>
      </c>
      <c r="E52" s="9"/>
    </row>
    <row r="53" spans="1:5" ht="15" x14ac:dyDescent="0.25">
      <c r="A53" s="6">
        <f t="shared" ca="1" si="4"/>
        <v>144.22098961085362</v>
      </c>
      <c r="B53" s="7">
        <f t="shared" ca="1" si="5"/>
        <v>244488.93477740267</v>
      </c>
      <c r="C53" s="8">
        <f t="shared" ca="1" si="6"/>
        <v>11458.020186691816</v>
      </c>
      <c r="D53" s="7">
        <f t="shared" ca="1" si="7"/>
        <v>3107806068.332058</v>
      </c>
      <c r="E53" s="9"/>
    </row>
    <row r="54" spans="1:5" ht="15" x14ac:dyDescent="0.25">
      <c r="A54" s="6">
        <f t="shared" ca="1" si="4"/>
        <v>154.20550908029244</v>
      </c>
      <c r="B54" s="7">
        <f t="shared" ca="1" si="5"/>
        <v>264559.54087853653</v>
      </c>
      <c r="C54" s="8">
        <f t="shared" ca="1" si="6"/>
        <v>10796.602053855193</v>
      </c>
      <c r="D54" s="7">
        <f t="shared" ca="1" si="7"/>
        <v>3388184564.1343856</v>
      </c>
      <c r="E54" s="9"/>
    </row>
    <row r="55" spans="1:5" ht="15" x14ac:dyDescent="0.25">
      <c r="A55" s="6">
        <f t="shared" ca="1" si="4"/>
        <v>197.66187019598505</v>
      </c>
      <c r="B55" s="7">
        <f t="shared" ca="1" si="5"/>
        <v>234282.85848744246</v>
      </c>
      <c r="C55" s="8">
        <f t="shared" ca="1" si="6"/>
        <v>11587.607615569288</v>
      </c>
      <c r="D55" s="7">
        <f t="shared" ca="1" si="7"/>
        <v>4127754339.0270052</v>
      </c>
      <c r="E55" s="9"/>
    </row>
    <row r="56" spans="1:5" ht="15" x14ac:dyDescent="0.25">
      <c r="A56" s="6">
        <f t="shared" ca="1" si="4"/>
        <v>184.67161656412478</v>
      </c>
      <c r="B56" s="7">
        <f t="shared" ca="1" si="5"/>
        <v>301692.00871363364</v>
      </c>
      <c r="C56" s="8">
        <f t="shared" ca="1" si="6"/>
        <v>10722.196026691254</v>
      </c>
      <c r="D56" s="7">
        <f t="shared" ca="1" si="7"/>
        <v>4595199258.0478964</v>
      </c>
      <c r="E56" s="9"/>
    </row>
    <row r="57" spans="1:5" ht="15" x14ac:dyDescent="0.25">
      <c r="A57" s="6">
        <f t="shared" ca="1" si="4"/>
        <v>147.32605998214706</v>
      </c>
      <c r="B57" s="7">
        <f t="shared" ca="1" si="5"/>
        <v>206236.60614567192</v>
      </c>
      <c r="C57" s="8">
        <f t="shared" ca="1" si="6"/>
        <v>11287.021007461861</v>
      </c>
      <c r="D57" s="7">
        <f t="shared" ca="1" si="7"/>
        <v>2638039589.3114653</v>
      </c>
      <c r="E57" s="9"/>
    </row>
    <row r="58" spans="1:5" ht="15" x14ac:dyDescent="0.25">
      <c r="A58" s="6">
        <f t="shared" ca="1" si="4"/>
        <v>184.32192085373819</v>
      </c>
      <c r="B58" s="7">
        <f t="shared" ca="1" si="5"/>
        <v>240858.83109345715</v>
      </c>
      <c r="C58" s="8">
        <f t="shared" ca="1" si="6"/>
        <v>10913.130648774315</v>
      </c>
      <c r="D58" s="7">
        <f t="shared" ca="1" si="7"/>
        <v>3726881328.5839639</v>
      </c>
      <c r="E58" s="9"/>
    </row>
    <row r="59" spans="1:5" ht="15" x14ac:dyDescent="0.25">
      <c r="A59" s="6">
        <f t="shared" ca="1" si="4"/>
        <v>218.01314502383289</v>
      </c>
      <c r="B59" s="7">
        <f t="shared" ca="1" si="5"/>
        <v>261695.13752385258</v>
      </c>
      <c r="C59" s="8">
        <f t="shared" ca="1" si="6"/>
        <v>10262.788744637557</v>
      </c>
      <c r="D59" s="7">
        <f t="shared" ca="1" si="7"/>
        <v>4504020620.5698929</v>
      </c>
      <c r="E59" s="9"/>
    </row>
    <row r="60" spans="1:5" ht="15" x14ac:dyDescent="0.25">
      <c r="A60" s="6">
        <f t="shared" ca="1" si="4"/>
        <v>193.09736306435903</v>
      </c>
      <c r="B60" s="7">
        <f t="shared" ca="1" si="5"/>
        <v>225074.36028697752</v>
      </c>
      <c r="C60" s="8">
        <f t="shared" ca="1" si="6"/>
        <v>10381.643985936706</v>
      </c>
      <c r="D60" s="7">
        <f t="shared" ca="1" si="7"/>
        <v>3470764501.7997918</v>
      </c>
      <c r="E60" s="9"/>
    </row>
    <row r="61" spans="1:5" ht="15" x14ac:dyDescent="0.25">
      <c r="A61" s="6">
        <f t="shared" ca="1" si="4"/>
        <v>179.55177326774836</v>
      </c>
      <c r="B61" s="7">
        <f t="shared" ca="1" si="5"/>
        <v>275600.86673183262</v>
      </c>
      <c r="C61" s="8">
        <f t="shared" ca="1" si="6"/>
        <v>11249.763710629035</v>
      </c>
      <c r="D61" s="7">
        <f t="shared" ca="1" si="7"/>
        <v>4282233316.0562992</v>
      </c>
      <c r="E61" s="9"/>
    </row>
    <row r="62" spans="1:5" ht="15" x14ac:dyDescent="0.25">
      <c r="A62" s="6">
        <f t="shared" ca="1" si="4"/>
        <v>163.42694617788703</v>
      </c>
      <c r="B62" s="7">
        <f t="shared" ca="1" si="5"/>
        <v>235704.67910293053</v>
      </c>
      <c r="C62" s="8">
        <f t="shared" ca="1" si="6"/>
        <v>10595.030514596494</v>
      </c>
      <c r="D62" s="7">
        <f t="shared" ca="1" si="7"/>
        <v>3139429458.1349788</v>
      </c>
      <c r="E62" s="9"/>
    </row>
    <row r="63" spans="1:5" ht="15" x14ac:dyDescent="0.25">
      <c r="A63" s="6">
        <f t="shared" ca="1" si="4"/>
        <v>200.29259479909373</v>
      </c>
      <c r="B63" s="7">
        <f t="shared" ca="1" si="5"/>
        <v>234201.40974763737</v>
      </c>
      <c r="C63" s="8">
        <f t="shared" ca="1" si="6"/>
        <v>10482.228291192043</v>
      </c>
      <c r="D63" s="7">
        <f t="shared" ca="1" si="7"/>
        <v>3782375653.8010731</v>
      </c>
      <c r="E63" s="9"/>
    </row>
    <row r="64" spans="1:5" ht="15" x14ac:dyDescent="0.25">
      <c r="A64" s="6">
        <f t="shared" ca="1" si="4"/>
        <v>170.00956067335935</v>
      </c>
      <c r="B64" s="7">
        <f t="shared" ca="1" si="5"/>
        <v>240383.95256653114</v>
      </c>
      <c r="C64" s="8">
        <f t="shared" ca="1" si="6"/>
        <v>10459.960094144963</v>
      </c>
      <c r="D64" s="7">
        <f t="shared" ca="1" si="7"/>
        <v>3288255023.9224277</v>
      </c>
      <c r="E64" s="9"/>
    </row>
    <row r="65" spans="1:5" ht="15" x14ac:dyDescent="0.25">
      <c r="A65" s="6">
        <f t="shared" ca="1" si="4"/>
        <v>133.67322720141453</v>
      </c>
      <c r="B65" s="7">
        <f t="shared" ca="1" si="5"/>
        <v>276477.42805374134</v>
      </c>
      <c r="C65" s="8">
        <f t="shared" ca="1" si="6"/>
        <v>11619.148419734216</v>
      </c>
      <c r="D65" s="7">
        <f t="shared" ca="1" si="7"/>
        <v>3303201452.8128433</v>
      </c>
      <c r="E65" s="9"/>
    </row>
    <row r="66" spans="1:5" ht="15" x14ac:dyDescent="0.25">
      <c r="A66" s="6">
        <f t="shared" ca="1" si="4"/>
        <v>142.81983642765337</v>
      </c>
      <c r="B66" s="7">
        <f t="shared" ca="1" si="5"/>
        <v>257538.72285191278</v>
      </c>
      <c r="C66" s="8">
        <f t="shared" ca="1" si="6"/>
        <v>10973.951807304255</v>
      </c>
      <c r="D66" s="7">
        <f t="shared" ca="1" si="7"/>
        <v>3104922506.0392699</v>
      </c>
      <c r="E66" s="9"/>
    </row>
    <row r="67" spans="1:5" ht="15" x14ac:dyDescent="0.25">
      <c r="A67" s="6">
        <f t="shared" ca="1" si="4"/>
        <v>154.72621257215934</v>
      </c>
      <c r="B67" s="7">
        <f t="shared" ca="1" si="5"/>
        <v>222569.97174372798</v>
      </c>
      <c r="C67" s="8">
        <f t="shared" ca="1" si="6"/>
        <v>11333.249186634011</v>
      </c>
      <c r="D67" s="7">
        <f t="shared" ca="1" si="7"/>
        <v>3002213344.7793431</v>
      </c>
      <c r="E67" s="9"/>
    </row>
    <row r="68" spans="1:5" ht="15" x14ac:dyDescent="0.25">
      <c r="A68" s="6">
        <f t="shared" ref="A68:A103" ca="1" si="8">NORMINV(RAND(),SUM(A$2:A$3)/2,(MAX(A$2:A$3)-MIN(A$2:A$3))/4)</f>
        <v>144.51396765129084</v>
      </c>
      <c r="B68" s="7">
        <f t="shared" ref="B68:B103" ca="1" si="9">NORMINV(RAND(),SUM(B$2:B$3)/2,(MAX(B$2:B$3)-MIN(B$2:B$3))/4)</f>
        <v>174459.10362361063</v>
      </c>
      <c r="C68" s="8">
        <f t="shared" ref="C68:C103" ca="1" si="10">NORMINV(RAND(),SUM(C$2:C$3)/2,(MAX(C$2:C$3)-MIN(C$2:C$3))/4)</f>
        <v>11115.010907467913</v>
      </c>
      <c r="D68" s="7">
        <f t="shared" ref="D68:D99" ca="1" si="11">A68/130*B68*C68</f>
        <v>2155609070.8781567</v>
      </c>
      <c r="E68" s="9"/>
    </row>
    <row r="69" spans="1:5" ht="15" x14ac:dyDescent="0.25">
      <c r="A69" s="6">
        <f t="shared" ca="1" si="8"/>
        <v>204.4966764042814</v>
      </c>
      <c r="B69" s="7">
        <f t="shared" ca="1" si="9"/>
        <v>252845.59540417802</v>
      </c>
      <c r="C69" s="8">
        <f t="shared" ca="1" si="10"/>
        <v>10679.10633942001</v>
      </c>
      <c r="D69" s="7">
        <f t="shared" ca="1" si="11"/>
        <v>4247498218.4745317</v>
      </c>
      <c r="E69" s="9"/>
    </row>
    <row r="70" spans="1:5" ht="15" x14ac:dyDescent="0.25">
      <c r="A70" s="6">
        <f t="shared" ca="1" si="8"/>
        <v>184.35499590502977</v>
      </c>
      <c r="B70" s="7">
        <f t="shared" ca="1" si="9"/>
        <v>238348.81278264872</v>
      </c>
      <c r="C70" s="8">
        <f t="shared" ca="1" si="10"/>
        <v>11173.084020597558</v>
      </c>
      <c r="D70" s="7">
        <f t="shared" ca="1" si="11"/>
        <v>3776570675.487977</v>
      </c>
      <c r="E70" s="9"/>
    </row>
    <row r="71" spans="1:5" ht="15" x14ac:dyDescent="0.25">
      <c r="A71" s="6">
        <f t="shared" ca="1" si="8"/>
        <v>185.48598898952346</v>
      </c>
      <c r="B71" s="7">
        <f t="shared" ca="1" si="9"/>
        <v>266282.70471380948</v>
      </c>
      <c r="C71" s="8">
        <f t="shared" ca="1" si="10"/>
        <v>10985.541104693328</v>
      </c>
      <c r="D71" s="7">
        <f t="shared" ca="1" si="11"/>
        <v>4173805150.808712</v>
      </c>
      <c r="E71" s="9"/>
    </row>
    <row r="72" spans="1:5" ht="15" x14ac:dyDescent="0.25">
      <c r="A72" s="6">
        <f t="shared" ca="1" si="8"/>
        <v>175.39194811200537</v>
      </c>
      <c r="B72" s="7">
        <f t="shared" ca="1" si="9"/>
        <v>242315.93893414544</v>
      </c>
      <c r="C72" s="8">
        <f t="shared" ca="1" si="10"/>
        <v>11982.038207503414</v>
      </c>
      <c r="D72" s="7">
        <f t="shared" ca="1" si="11"/>
        <v>3917229185.5800757</v>
      </c>
      <c r="E72" s="9"/>
    </row>
    <row r="73" spans="1:5" ht="15" x14ac:dyDescent="0.25">
      <c r="A73" s="6">
        <f t="shared" ca="1" si="8"/>
        <v>148.45981405767427</v>
      </c>
      <c r="B73" s="7">
        <f t="shared" ca="1" si="9"/>
        <v>256644.89472019559</v>
      </c>
      <c r="C73" s="8">
        <f t="shared" ca="1" si="10"/>
        <v>9859.074523504798</v>
      </c>
      <c r="D73" s="7">
        <f t="shared" ca="1" si="11"/>
        <v>2889577446.3211317</v>
      </c>
      <c r="E73" s="9"/>
    </row>
    <row r="74" spans="1:5" ht="15" x14ac:dyDescent="0.25">
      <c r="A74" s="6">
        <f t="shared" ca="1" si="8"/>
        <v>220.0794979363593</v>
      </c>
      <c r="B74" s="7">
        <f t="shared" ca="1" si="9"/>
        <v>276123.94986059528</v>
      </c>
      <c r="C74" s="8">
        <f t="shared" ca="1" si="10"/>
        <v>11172.34754548272</v>
      </c>
      <c r="D74" s="7">
        <f t="shared" ca="1" si="11"/>
        <v>5222575759.541235</v>
      </c>
      <c r="E74" s="9"/>
    </row>
    <row r="75" spans="1:5" ht="15" x14ac:dyDescent="0.25">
      <c r="A75" s="6">
        <f t="shared" ca="1" si="8"/>
        <v>179.57463526658506</v>
      </c>
      <c r="B75" s="7">
        <f t="shared" ca="1" si="9"/>
        <v>193309.01562308695</v>
      </c>
      <c r="C75" s="8">
        <f t="shared" ca="1" si="10"/>
        <v>11531.041146682728</v>
      </c>
      <c r="D75" s="7">
        <f t="shared" ca="1" si="11"/>
        <v>3079089210.1558814</v>
      </c>
      <c r="E75" s="9"/>
    </row>
    <row r="76" spans="1:5" ht="15" x14ac:dyDescent="0.25">
      <c r="A76" s="6">
        <f t="shared" ca="1" si="8"/>
        <v>174.28688725130675</v>
      </c>
      <c r="B76" s="7">
        <f t="shared" ca="1" si="9"/>
        <v>249764.66213317798</v>
      </c>
      <c r="C76" s="8">
        <f t="shared" ca="1" si="10"/>
        <v>10529.342380198501</v>
      </c>
      <c r="D76" s="7">
        <f t="shared" ca="1" si="11"/>
        <v>3525766941.1637182</v>
      </c>
      <c r="E76" s="9"/>
    </row>
    <row r="77" spans="1:5" ht="15" x14ac:dyDescent="0.25">
      <c r="A77" s="6">
        <f t="shared" ca="1" si="8"/>
        <v>161.47389373694165</v>
      </c>
      <c r="B77" s="7">
        <f t="shared" ca="1" si="9"/>
        <v>227584.69507495459</v>
      </c>
      <c r="C77" s="8">
        <f t="shared" ca="1" si="10"/>
        <v>11940.019495362378</v>
      </c>
      <c r="D77" s="7">
        <f t="shared" ca="1" si="11"/>
        <v>3375258612.6688046</v>
      </c>
      <c r="E77" s="9"/>
    </row>
    <row r="78" spans="1:5" ht="15" x14ac:dyDescent="0.25">
      <c r="A78" s="6">
        <f t="shared" ca="1" si="8"/>
        <v>184.60343303686145</v>
      </c>
      <c r="B78" s="7">
        <f t="shared" ca="1" si="9"/>
        <v>268770.1080535287</v>
      </c>
      <c r="C78" s="8">
        <f t="shared" ca="1" si="10"/>
        <v>10768.509420372739</v>
      </c>
      <c r="D78" s="7">
        <f t="shared" ca="1" si="11"/>
        <v>4109916316.8693938</v>
      </c>
      <c r="E78" s="9"/>
    </row>
    <row r="79" spans="1:5" ht="15" x14ac:dyDescent="0.25">
      <c r="A79" s="6">
        <f t="shared" ca="1" si="8"/>
        <v>155.59321349868375</v>
      </c>
      <c r="B79" s="7">
        <f t="shared" ca="1" si="9"/>
        <v>231751.48201218873</v>
      </c>
      <c r="C79" s="8">
        <f t="shared" ca="1" si="10"/>
        <v>11465.019432133735</v>
      </c>
      <c r="D79" s="7">
        <f t="shared" ca="1" si="11"/>
        <v>3180128093.0879989</v>
      </c>
      <c r="E79" s="9"/>
    </row>
    <row r="80" spans="1:5" ht="15" x14ac:dyDescent="0.25">
      <c r="A80" s="6">
        <f t="shared" ca="1" si="8"/>
        <v>193.80076662238304</v>
      </c>
      <c r="B80" s="7">
        <f t="shared" ca="1" si="9"/>
        <v>242088.99338100603</v>
      </c>
      <c r="C80" s="8">
        <f t="shared" ca="1" si="10"/>
        <v>10587.979020942552</v>
      </c>
      <c r="D80" s="7">
        <f t="shared" ca="1" si="11"/>
        <v>3821204276.3110046</v>
      </c>
      <c r="E80" s="9"/>
    </row>
    <row r="81" spans="1:5" ht="15" x14ac:dyDescent="0.25">
      <c r="A81" s="6">
        <f t="shared" ca="1" si="8"/>
        <v>210.7948330171524</v>
      </c>
      <c r="B81" s="7">
        <f t="shared" ca="1" si="9"/>
        <v>244073.23463644338</v>
      </c>
      <c r="C81" s="8">
        <f t="shared" ca="1" si="10"/>
        <v>10901.855834989794</v>
      </c>
      <c r="D81" s="7">
        <f t="shared" ca="1" si="11"/>
        <v>4314566830.8479986</v>
      </c>
      <c r="E81" s="9"/>
    </row>
    <row r="82" spans="1:5" ht="15" x14ac:dyDescent="0.25">
      <c r="A82" s="6">
        <f t="shared" ca="1" si="8"/>
        <v>131.13764099299729</v>
      </c>
      <c r="B82" s="7">
        <f t="shared" ca="1" si="9"/>
        <v>270764.54797852295</v>
      </c>
      <c r="C82" s="8">
        <f t="shared" ca="1" si="10"/>
        <v>10629.602361566655</v>
      </c>
      <c r="D82" s="7">
        <f t="shared" ca="1" si="11"/>
        <v>2903306145.5565987</v>
      </c>
      <c r="E82" s="9"/>
    </row>
    <row r="83" spans="1:5" ht="15" x14ac:dyDescent="0.25">
      <c r="A83" s="6">
        <f t="shared" ca="1" si="8"/>
        <v>163.61700572440975</v>
      </c>
      <c r="B83" s="7">
        <f t="shared" ca="1" si="9"/>
        <v>296688.29058343044</v>
      </c>
      <c r="C83" s="8">
        <f t="shared" ca="1" si="10"/>
        <v>11866.24550315803</v>
      </c>
      <c r="D83" s="7">
        <f t="shared" ca="1" si="11"/>
        <v>4430970145.5474806</v>
      </c>
      <c r="E83" s="9"/>
    </row>
    <row r="84" spans="1:5" ht="15" x14ac:dyDescent="0.25">
      <c r="A84" s="6">
        <f t="shared" ca="1" si="8"/>
        <v>171.64474323885284</v>
      </c>
      <c r="B84" s="7">
        <f t="shared" ca="1" si="9"/>
        <v>230056.84594982682</v>
      </c>
      <c r="C84" s="8">
        <f t="shared" ca="1" si="10"/>
        <v>12514.261893611736</v>
      </c>
      <c r="D84" s="7">
        <f t="shared" ca="1" si="11"/>
        <v>3801259827.0046496</v>
      </c>
      <c r="E84" s="9"/>
    </row>
    <row r="85" spans="1:5" ht="15" x14ac:dyDescent="0.25">
      <c r="A85" s="6">
        <f t="shared" ca="1" si="8"/>
        <v>215.76123817761149</v>
      </c>
      <c r="B85" s="7">
        <f t="shared" ca="1" si="9"/>
        <v>213977.3245365214</v>
      </c>
      <c r="C85" s="8">
        <f t="shared" ca="1" si="10"/>
        <v>11906.681078622114</v>
      </c>
      <c r="D85" s="7">
        <f t="shared" ca="1" si="11"/>
        <v>4228521543.6925249</v>
      </c>
      <c r="E85" s="9"/>
    </row>
    <row r="86" spans="1:5" ht="15" x14ac:dyDescent="0.25">
      <c r="A86" s="6">
        <f t="shared" ca="1" si="8"/>
        <v>161.54022513154322</v>
      </c>
      <c r="B86" s="7">
        <f t="shared" ca="1" si="9"/>
        <v>207653.83610574371</v>
      </c>
      <c r="C86" s="8">
        <f t="shared" ca="1" si="10"/>
        <v>10371.253825398377</v>
      </c>
      <c r="D86" s="7">
        <f t="shared" ca="1" si="11"/>
        <v>2676138298.2325616</v>
      </c>
      <c r="E86" s="9"/>
    </row>
    <row r="87" spans="1:5" ht="15" x14ac:dyDescent="0.25">
      <c r="A87" s="6">
        <f t="shared" ca="1" si="8"/>
        <v>199.99235727428402</v>
      </c>
      <c r="B87" s="7">
        <f t="shared" ca="1" si="9"/>
        <v>214963.96272289255</v>
      </c>
      <c r="C87" s="8">
        <f t="shared" ca="1" si="10"/>
        <v>11173.069157849917</v>
      </c>
      <c r="D87" s="7">
        <f t="shared" ca="1" si="11"/>
        <v>3694946831.0450001</v>
      </c>
      <c r="E87" s="9"/>
    </row>
    <row r="88" spans="1:5" ht="15" x14ac:dyDescent="0.25">
      <c r="A88" s="6">
        <f t="shared" ca="1" si="8"/>
        <v>136.34442180495785</v>
      </c>
      <c r="B88" s="7">
        <f t="shared" ca="1" si="9"/>
        <v>247740.38629547949</v>
      </c>
      <c r="C88" s="8">
        <f t="shared" ca="1" si="10"/>
        <v>11211.813346627001</v>
      </c>
      <c r="D88" s="7">
        <f t="shared" ca="1" si="11"/>
        <v>2913175787.6921878</v>
      </c>
      <c r="E88" s="9"/>
    </row>
    <row r="89" spans="1:5" ht="15" x14ac:dyDescent="0.25">
      <c r="A89" s="6">
        <f t="shared" ca="1" si="8"/>
        <v>192.61177289118072</v>
      </c>
      <c r="B89" s="7">
        <f t="shared" ca="1" si="9"/>
        <v>233306.91066585373</v>
      </c>
      <c r="C89" s="8">
        <f t="shared" ca="1" si="10"/>
        <v>11371.058508014044</v>
      </c>
      <c r="D89" s="7">
        <f t="shared" ca="1" si="11"/>
        <v>3930682575.5289941</v>
      </c>
      <c r="E89" s="9"/>
    </row>
    <row r="90" spans="1:5" ht="15" x14ac:dyDescent="0.25">
      <c r="A90" s="6">
        <f t="shared" ca="1" si="8"/>
        <v>168.82711479345801</v>
      </c>
      <c r="B90" s="7">
        <f t="shared" ca="1" si="9"/>
        <v>293451.53565107333</v>
      </c>
      <c r="C90" s="8">
        <f t="shared" ca="1" si="10"/>
        <v>11634.315467686474</v>
      </c>
      <c r="D90" s="7">
        <f t="shared" ca="1" si="11"/>
        <v>4433799687.5308256</v>
      </c>
      <c r="E90" s="9"/>
    </row>
    <row r="91" spans="1:5" ht="15" x14ac:dyDescent="0.25">
      <c r="A91" s="6">
        <f t="shared" ca="1" si="8"/>
        <v>119.55145494425447</v>
      </c>
      <c r="B91" s="7">
        <f t="shared" ca="1" si="9"/>
        <v>241282.83012630834</v>
      </c>
      <c r="C91" s="8">
        <f t="shared" ca="1" si="10"/>
        <v>11743.212686710027</v>
      </c>
      <c r="D91" s="7">
        <f t="shared" ca="1" si="11"/>
        <v>2605702673.0266261</v>
      </c>
      <c r="E91" s="9"/>
    </row>
    <row r="92" spans="1:5" ht="15" x14ac:dyDescent="0.25">
      <c r="A92" s="6">
        <f t="shared" ca="1" si="8"/>
        <v>118.45571259286388</v>
      </c>
      <c r="B92" s="7">
        <f t="shared" ca="1" si="9"/>
        <v>223427.28562780257</v>
      </c>
      <c r="C92" s="8">
        <f t="shared" ca="1" si="10"/>
        <v>11499.244710343857</v>
      </c>
      <c r="D92" s="7">
        <f t="shared" ca="1" si="11"/>
        <v>2341090393.3757997</v>
      </c>
      <c r="E92" s="9"/>
    </row>
    <row r="93" spans="1:5" ht="15" x14ac:dyDescent="0.25">
      <c r="A93" s="6">
        <f t="shared" ca="1" si="8"/>
        <v>194.72583967165315</v>
      </c>
      <c r="B93" s="7">
        <f t="shared" ca="1" si="9"/>
        <v>246039.47960774717</v>
      </c>
      <c r="C93" s="8">
        <f t="shared" ca="1" si="10"/>
        <v>10848.798012385672</v>
      </c>
      <c r="D93" s="7">
        <f t="shared" ca="1" si="11"/>
        <v>3998219712.9992204</v>
      </c>
      <c r="E93" s="9"/>
    </row>
    <row r="94" spans="1:5" ht="15" x14ac:dyDescent="0.25">
      <c r="A94" s="6">
        <f t="shared" ca="1" si="8"/>
        <v>210.02900047414496</v>
      </c>
      <c r="B94" s="7">
        <f t="shared" ca="1" si="9"/>
        <v>232207.71716567615</v>
      </c>
      <c r="C94" s="8">
        <f t="shared" ca="1" si="10"/>
        <v>10488.096845457088</v>
      </c>
      <c r="D94" s="7">
        <f t="shared" ca="1" si="11"/>
        <v>3934678489.8975143</v>
      </c>
      <c r="E94" s="9"/>
    </row>
    <row r="95" spans="1:5" ht="15" x14ac:dyDescent="0.25">
      <c r="A95" s="6">
        <f t="shared" ca="1" si="8"/>
        <v>199.29399157242571</v>
      </c>
      <c r="B95" s="7">
        <f t="shared" ca="1" si="9"/>
        <v>233032.697546109</v>
      </c>
      <c r="C95" s="8">
        <f t="shared" ca="1" si="10"/>
        <v>10389.635763853079</v>
      </c>
      <c r="D95" s="7">
        <f t="shared" ca="1" si="11"/>
        <v>3711658732.0549293</v>
      </c>
      <c r="E95" s="9"/>
    </row>
    <row r="96" spans="1:5" ht="15" x14ac:dyDescent="0.25">
      <c r="A96" s="6">
        <f t="shared" ca="1" si="8"/>
        <v>218.0977352440739</v>
      </c>
      <c r="B96" s="7">
        <f t="shared" ca="1" si="9"/>
        <v>265038.43664502853</v>
      </c>
      <c r="C96" s="8">
        <f t="shared" ca="1" si="10"/>
        <v>10817.460809082977</v>
      </c>
      <c r="D96" s="7">
        <f t="shared" ca="1" si="11"/>
        <v>4809965874.0224705</v>
      </c>
      <c r="E96" s="9"/>
    </row>
    <row r="97" spans="1:5" ht="15" x14ac:dyDescent="0.25">
      <c r="A97" s="6">
        <f t="shared" ca="1" si="8"/>
        <v>193.04165574265107</v>
      </c>
      <c r="B97" s="7">
        <f t="shared" ca="1" si="9"/>
        <v>230522.02804841686</v>
      </c>
      <c r="C97" s="8">
        <f t="shared" ca="1" si="10"/>
        <v>11144.968608477539</v>
      </c>
      <c r="D97" s="7">
        <f t="shared" ca="1" si="11"/>
        <v>3815038832.0692782</v>
      </c>
      <c r="E97" s="9"/>
    </row>
    <row r="98" spans="1:5" ht="15" x14ac:dyDescent="0.25">
      <c r="A98" s="6">
        <f t="shared" ca="1" si="8"/>
        <v>204.30241119372138</v>
      </c>
      <c r="B98" s="7">
        <f t="shared" ca="1" si="9"/>
        <v>236081.75888962293</v>
      </c>
      <c r="C98" s="8">
        <f t="shared" ca="1" si="10"/>
        <v>11292.601899351692</v>
      </c>
      <c r="D98" s="7">
        <f t="shared" ca="1" si="11"/>
        <v>4189735341.7433085</v>
      </c>
      <c r="E98" s="9"/>
    </row>
    <row r="99" spans="1:5" ht="15" x14ac:dyDescent="0.25">
      <c r="A99" s="6">
        <f t="shared" ca="1" si="8"/>
        <v>215.68040394249789</v>
      </c>
      <c r="B99" s="7">
        <f t="shared" ca="1" si="9"/>
        <v>242082.38684232032</v>
      </c>
      <c r="C99" s="8">
        <f t="shared" ca="1" si="10"/>
        <v>10797.789467947865</v>
      </c>
      <c r="D99" s="7">
        <f t="shared" ca="1" si="11"/>
        <v>4336759955.0538998</v>
      </c>
      <c r="E99" s="9"/>
    </row>
    <row r="100" spans="1:5" ht="15" x14ac:dyDescent="0.25">
      <c r="A100" s="6">
        <f t="shared" ca="1" si="8"/>
        <v>190.30416938803927</v>
      </c>
      <c r="B100" s="7">
        <f t="shared" ca="1" si="9"/>
        <v>227318.95700043696</v>
      </c>
      <c r="C100" s="8">
        <f t="shared" ca="1" si="10"/>
        <v>11886.525172445829</v>
      </c>
      <c r="D100" s="7">
        <f t="shared" ref="D100:D131" ca="1" si="12">A100/130*B100*C100</f>
        <v>3955446549.5364685</v>
      </c>
      <c r="E100" s="9"/>
    </row>
    <row r="101" spans="1:5" ht="15" x14ac:dyDescent="0.25">
      <c r="A101" s="6">
        <f t="shared" ca="1" si="8"/>
        <v>229.65778196772996</v>
      </c>
      <c r="B101" s="7">
        <f t="shared" ca="1" si="9"/>
        <v>248312.52221801312</v>
      </c>
      <c r="C101" s="8">
        <f t="shared" ca="1" si="10"/>
        <v>11447.286079846181</v>
      </c>
      <c r="D101" s="7">
        <f t="shared" ca="1" si="12"/>
        <v>5021563645.3011465</v>
      </c>
      <c r="E101" s="9"/>
    </row>
    <row r="102" spans="1:5" ht="15" x14ac:dyDescent="0.25">
      <c r="A102" s="6">
        <f t="shared" ca="1" si="8"/>
        <v>188.59420789249521</v>
      </c>
      <c r="B102" s="7">
        <f t="shared" ca="1" si="9"/>
        <v>288508.4829564073</v>
      </c>
      <c r="C102" s="8">
        <f t="shared" ca="1" si="10"/>
        <v>10890.24283474072</v>
      </c>
      <c r="D102" s="7">
        <f t="shared" ca="1" si="12"/>
        <v>4558071666.6639767</v>
      </c>
      <c r="E102" s="9"/>
    </row>
    <row r="103" spans="1:5" ht="15" x14ac:dyDescent="0.25">
      <c r="A103" s="6">
        <f t="shared" ca="1" si="8"/>
        <v>166.67299066225189</v>
      </c>
      <c r="B103" s="7">
        <f t="shared" ca="1" si="9"/>
        <v>282830.1760987271</v>
      </c>
      <c r="C103" s="8">
        <f t="shared" ca="1" si="10"/>
        <v>10602.698438991163</v>
      </c>
      <c r="D103" s="7">
        <f t="shared" ca="1" si="12"/>
        <v>3844713912.3178673</v>
      </c>
      <c r="E103" s="9"/>
    </row>
  </sheetData>
  <mergeCells count="1">
    <mergeCell ref="D2:D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CostEstimate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Gerry</dc:creator>
  <cp:lastModifiedBy>Gerry</cp:lastModifiedBy>
  <dcterms:created xsi:type="dcterms:W3CDTF">2012-12-20T15:09:45Z</dcterms:created>
  <dcterms:modified xsi:type="dcterms:W3CDTF">2016-11-09T13:18:36Z</dcterms:modified>
</cp:coreProperties>
</file>