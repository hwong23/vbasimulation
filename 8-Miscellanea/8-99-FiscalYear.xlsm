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8-Miscellanea\"/>
    </mc:Choice>
  </mc:AlternateContent>
  <bookViews>
    <workbookView xWindow="-15" yWindow="-15" windowWidth="11970" windowHeight="2940"/>
  </bookViews>
  <sheets>
    <sheet name="FiscalYear" sheetId="26" r:id="rId1"/>
  </sheets>
  <calcPr calcId="152511" iterate="1" iterateCount="1" calcOnSave="0"/>
</workbook>
</file>

<file path=xl/calcChain.xml><?xml version="1.0" encoding="utf-8"?>
<calcChain xmlns="http://schemas.openxmlformats.org/spreadsheetml/2006/main">
  <c r="P24" i="26" l="1"/>
  <c r="O24" i="26"/>
  <c r="P23" i="26"/>
  <c r="O23" i="26"/>
  <c r="P22" i="26"/>
  <c r="O22" i="26"/>
  <c r="P21" i="26"/>
  <c r="O21" i="26"/>
  <c r="P20" i="26"/>
  <c r="O20" i="26"/>
  <c r="P19" i="26"/>
  <c r="O19" i="26"/>
  <c r="P18" i="26"/>
  <c r="O18" i="26"/>
  <c r="P17" i="26"/>
  <c r="O17" i="26"/>
  <c r="P16" i="26"/>
  <c r="O16" i="26"/>
  <c r="P15" i="26"/>
  <c r="O15" i="26"/>
  <c r="P14" i="26"/>
  <c r="O14" i="26"/>
  <c r="P13" i="26"/>
  <c r="O13" i="26"/>
  <c r="P12" i="26"/>
  <c r="O12" i="26"/>
  <c r="P11" i="26"/>
  <c r="O11" i="26"/>
  <c r="P10" i="26"/>
  <c r="O10" i="26"/>
  <c r="P9" i="26"/>
  <c r="O9" i="26"/>
  <c r="P8" i="26"/>
  <c r="O8" i="26"/>
  <c r="P7" i="26"/>
  <c r="O7" i="26"/>
  <c r="P6" i="26"/>
  <c r="O6" i="26"/>
  <c r="P5" i="26"/>
  <c r="O5" i="26"/>
  <c r="P4" i="26"/>
  <c r="O4" i="26"/>
  <c r="P3" i="26"/>
  <c r="O3" i="26"/>
  <c r="P2" i="26"/>
  <c r="O2" i="26"/>
  <c r="P1" i="26"/>
  <c r="O1" i="26"/>
</calcChain>
</file>

<file path=xl/sharedStrings.xml><?xml version="1.0" encoding="utf-8"?>
<sst xmlns="http://schemas.openxmlformats.org/spreadsheetml/2006/main" count="56" uniqueCount="26">
  <si>
    <t>Brown</t>
  </si>
  <si>
    <t>Account</t>
  </si>
  <si>
    <t>Young</t>
  </si>
  <si>
    <t>Jones</t>
  </si>
  <si>
    <t>Burke</t>
  </si>
  <si>
    <t>O'Brian</t>
  </si>
  <si>
    <t>Roberts</t>
  </si>
  <si>
    <t>Minsky</t>
  </si>
  <si>
    <t>Jenkins</t>
  </si>
  <si>
    <t>Russell</t>
  </si>
  <si>
    <t>Caruso</t>
  </si>
  <si>
    <t>Sale</t>
  </si>
  <si>
    <t>Date</t>
  </si>
  <si>
    <t>Starts in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</si>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</sst>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$-409]mmmm\ d\,\ yyyy;@"/>
  </numFmts>
  <fonts count="8" x14ac:knownFonts="1">
    <font>
      <sz val="10"/>
      <name val="Helv"/>
    </font>
    <font>
      <sz val="10"/>
      <name val="Helv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name val="Helv"/>
    </font>
    <font>
      <b/>
      <sz val="11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0" fontId="7" fillId="2" borderId="2" applyNumberFormat="0" applyAlignment="0" applyProtection="0"/>
  </cellStyleXfs>
  <cellXfs count="21">
    <xf numFmtId="0" fontId="0" fillId="0" borderId="0" xfId="0"/>
    <xf numFmtId="0" fontId="4" fillId="0" borderId="0" xfId="4" applyFont="1"/>
    <xf numFmtId="0" fontId="4" fillId="0" borderId="0" xfId="4" applyFont="1" applyAlignment="1">
      <alignment horizontal="center"/>
    </xf>
    <xf numFmtId="0" fontId="5" fillId="0" borderId="0" xfId="1" applyFont="1"/>
    <xf numFmtId="44" fontId="4" fillId="0" borderId="0" xfId="5" applyFont="1"/>
    <xf numFmtId="164" fontId="4" fillId="0" borderId="0" xfId="4" applyNumberFormat="1" applyFont="1"/>
    <xf numFmtId="0" fontId="3" fillId="0" borderId="0" xfId="4" applyFont="1" applyProtection="1">
      <protection locked="0"/>
    </xf>
    <xf numFmtId="0" fontId="3" fillId="0" borderId="3" xfId="4" applyFont="1" applyFill="1" applyBorder="1" applyAlignment="1" applyProtection="1">
      <alignment horizontal="center"/>
      <protection locked="0"/>
    </xf>
    <xf numFmtId="0" fontId="3" fillId="0" borderId="4" xfId="4" applyFont="1" applyFill="1" applyBorder="1" applyAlignment="1" applyProtection="1">
      <alignment horizontal="center"/>
      <protection locked="0"/>
    </xf>
    <xf numFmtId="0" fontId="3" fillId="0" borderId="4" xfId="4" applyFont="1" applyFill="1" applyBorder="1" applyAlignment="1" applyProtection="1">
      <alignment horizontal="center"/>
    </xf>
    <xf numFmtId="0" fontId="3" fillId="0" borderId="5" xfId="4" applyFont="1" applyBorder="1" applyAlignment="1" applyProtection="1">
      <alignment vertical="center"/>
    </xf>
    <xf numFmtId="0" fontId="7" fillId="2" borderId="2" xfId="7" applyAlignment="1" applyProtection="1">
      <alignment horizontal="center"/>
      <protection locked="0"/>
    </xf>
    <xf numFmtId="0" fontId="3" fillId="0" borderId="6" xfId="4" applyFont="1" applyFill="1" applyBorder="1" applyAlignment="1" applyProtection="1">
      <alignment horizontal="center"/>
      <protection locked="0"/>
    </xf>
    <xf numFmtId="0" fontId="3" fillId="0" borderId="0" xfId="4" applyFont="1" applyFill="1" applyBorder="1" applyAlignment="1" applyProtection="1">
      <alignment horizontal="center"/>
      <protection locked="0"/>
    </xf>
    <xf numFmtId="0" fontId="3" fillId="0" borderId="0" xfId="4" applyFont="1" applyFill="1" applyBorder="1" applyAlignment="1" applyProtection="1">
      <alignment horizontal="center"/>
    </xf>
    <xf numFmtId="0" fontId="3" fillId="0" borderId="7" xfId="4" applyFont="1" applyBorder="1" applyAlignment="1" applyProtection="1">
      <alignment vertical="center"/>
    </xf>
    <xf numFmtId="0" fontId="3" fillId="0" borderId="8" xfId="4" applyFont="1" applyFill="1" applyBorder="1" applyAlignment="1" applyProtection="1">
      <alignment horizontal="center"/>
      <protection locked="0"/>
    </xf>
    <xf numFmtId="0" fontId="3" fillId="0" borderId="1" xfId="4" applyFont="1" applyFill="1" applyBorder="1" applyAlignment="1" applyProtection="1">
      <alignment horizontal="center"/>
      <protection locked="0"/>
    </xf>
    <xf numFmtId="0" fontId="3" fillId="0" borderId="1" xfId="4" applyFont="1" applyFill="1" applyBorder="1" applyAlignment="1" applyProtection="1">
      <alignment horizontal="center"/>
    </xf>
    <xf numFmtId="0" fontId="3" fillId="0" borderId="9" xfId="4" applyFont="1" applyBorder="1" applyAlignment="1" applyProtection="1">
      <alignment vertical="center"/>
    </xf>
    <xf numFmtId="0" fontId="6" fillId="0" borderId="0" xfId="6" applyFont="1" applyFill="1" applyBorder="1" applyAlignment="1">
      <alignment horizontal="center"/>
    </xf>
  </cellXfs>
  <cellStyles count="8">
    <cellStyle name="Check Cell" xfId="7" builtinId="23"/>
    <cellStyle name="Currency 2" xfId="2"/>
    <cellStyle name="Currency_A4-DateFunctions" xfId="5"/>
    <cellStyle name="Normal" xfId="0" builtinId="0"/>
    <cellStyle name="Normal 2" xfId="3"/>
    <cellStyle name="Normal_A4-DateFunctions" xfId="4"/>
    <cellStyle name="Normal_D1-DB-Arranging" xfId="6"/>
    <cellStyle name="Normal_PivotFormulas" xfId="1"/>
  </cellStyles>
  <dxfs count="1">
    <dxf>
      <fill>
        <patternFill>
          <bgColor rgb="FFFFC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9526</xdr:colOff>
      <xdr:row>3</xdr:row>
      <xdr:rowOff>76199</xdr:rowOff>
    </xdr:from>
    <xdr:to>
      <xdr:col>10</xdr:col>
      <xdr:colOff>581026</xdr:colOff>
      <xdr:row>11</xdr:row>
      <xdr:rowOff>142874</xdr:rowOff>
    </xdr:to>
    <xdr:sp macro="" textlink="">
      <xdr:nvSpPr>
        <xdr:cNvPr id="2" name="Rounded Rectangle 1"/>
        <xdr:cNvSpPr/>
      </xdr:nvSpPr>
      <xdr:spPr>
        <a:xfrm>
          <a:off x="4324351" y="685799"/>
          <a:ext cx="2724150" cy="1590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For a regular year:</a:t>
          </a:r>
        </a:p>
        <a:p>
          <a:pPr algn="ctr"/>
          <a:r>
            <a:rPr lang="en-US" sz="2000" b="1"/>
            <a:t>Ctrl + Shift + R</a:t>
          </a:r>
        </a:p>
        <a:p>
          <a:pPr algn="ctr"/>
          <a:r>
            <a:rPr lang="en-US" sz="2000" b="1"/>
            <a:t>For a fiscal year:</a:t>
          </a:r>
        </a:p>
        <a:p>
          <a:pPr algn="ctr"/>
          <a:r>
            <a:rPr lang="en-US" sz="2000" b="1"/>
            <a:t>Ctrl + Shift + 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9"/>
  <sheetViews>
    <sheetView tabSelected="1" zoomScaleNormal="100" workbookViewId="0">
      <selection activeCell="K2" sqref="K2"/>
    </sheetView>
  </sheetViews>
  <sheetFormatPr defaultRowHeight="15" x14ac:dyDescent="0.25"/>
  <cols>
    <col min="1" max="1" width="9.140625" style="1"/>
    <col min="2" max="2" width="10" style="1" bestFit="1" customWidth="1"/>
    <col min="3" max="3" width="20.42578125" style="1" bestFit="1" customWidth="1"/>
    <col min="4" max="4" width="11.140625" style="2" bestFit="1" customWidth="1"/>
    <col min="5" max="8" width="7" style="2" customWidth="1"/>
    <col min="9" max="13" width="9.140625" style="1"/>
    <col min="14" max="14" width="11" style="1" bestFit="1" customWidth="1"/>
    <col min="15" max="255" width="9.140625" style="1"/>
    <col min="256" max="256" width="18.28515625" style="1" bestFit="1" customWidth="1"/>
    <col min="257" max="257" width="9.140625" style="1"/>
    <col min="258" max="258" width="16.42578125" style="1" bestFit="1" customWidth="1"/>
    <col min="259" max="260" width="9.140625" style="1"/>
    <col min="261" max="261" width="11" style="1" bestFit="1" customWidth="1"/>
    <col min="262" max="511" width="9.140625" style="1"/>
    <col min="512" max="512" width="18.28515625" style="1" bestFit="1" customWidth="1"/>
    <col min="513" max="513" width="9.140625" style="1"/>
    <col min="514" max="514" width="16.42578125" style="1" bestFit="1" customWidth="1"/>
    <col min="515" max="516" width="9.140625" style="1"/>
    <col min="517" max="517" width="11" style="1" bestFit="1" customWidth="1"/>
    <col min="518" max="767" width="9.140625" style="1"/>
    <col min="768" max="768" width="18.28515625" style="1" bestFit="1" customWidth="1"/>
    <col min="769" max="769" width="9.140625" style="1"/>
    <col min="770" max="770" width="16.42578125" style="1" bestFit="1" customWidth="1"/>
    <col min="771" max="772" width="9.140625" style="1"/>
    <col min="773" max="773" width="11" style="1" bestFit="1" customWidth="1"/>
    <col min="774" max="1023" width="9.140625" style="1"/>
    <col min="1024" max="1024" width="18.28515625" style="1" bestFit="1" customWidth="1"/>
    <col min="1025" max="1025" width="9.140625" style="1"/>
    <col min="1026" max="1026" width="16.42578125" style="1" bestFit="1" customWidth="1"/>
    <col min="1027" max="1028" width="9.140625" style="1"/>
    <col min="1029" max="1029" width="11" style="1" bestFit="1" customWidth="1"/>
    <col min="1030" max="1279" width="9.140625" style="1"/>
    <col min="1280" max="1280" width="18.28515625" style="1" bestFit="1" customWidth="1"/>
    <col min="1281" max="1281" width="9.140625" style="1"/>
    <col min="1282" max="1282" width="16.42578125" style="1" bestFit="1" customWidth="1"/>
    <col min="1283" max="1284" width="9.140625" style="1"/>
    <col min="1285" max="1285" width="11" style="1" bestFit="1" customWidth="1"/>
    <col min="1286" max="1535" width="9.140625" style="1"/>
    <col min="1536" max="1536" width="18.28515625" style="1" bestFit="1" customWidth="1"/>
    <col min="1537" max="1537" width="9.140625" style="1"/>
    <col min="1538" max="1538" width="16.42578125" style="1" bestFit="1" customWidth="1"/>
    <col min="1539" max="1540" width="9.140625" style="1"/>
    <col min="1541" max="1541" width="11" style="1" bestFit="1" customWidth="1"/>
    <col min="1542" max="1791" width="9.140625" style="1"/>
    <col min="1792" max="1792" width="18.28515625" style="1" bestFit="1" customWidth="1"/>
    <col min="1793" max="1793" width="9.140625" style="1"/>
    <col min="1794" max="1794" width="16.42578125" style="1" bestFit="1" customWidth="1"/>
    <col min="1795" max="1796" width="9.140625" style="1"/>
    <col min="1797" max="1797" width="11" style="1" bestFit="1" customWidth="1"/>
    <col min="1798" max="2047" width="9.140625" style="1"/>
    <col min="2048" max="2048" width="18.28515625" style="1" bestFit="1" customWidth="1"/>
    <col min="2049" max="2049" width="9.140625" style="1"/>
    <col min="2050" max="2050" width="16.42578125" style="1" bestFit="1" customWidth="1"/>
    <col min="2051" max="2052" width="9.140625" style="1"/>
    <col min="2053" max="2053" width="11" style="1" bestFit="1" customWidth="1"/>
    <col min="2054" max="2303" width="9.140625" style="1"/>
    <col min="2304" max="2304" width="18.28515625" style="1" bestFit="1" customWidth="1"/>
    <col min="2305" max="2305" width="9.140625" style="1"/>
    <col min="2306" max="2306" width="16.42578125" style="1" bestFit="1" customWidth="1"/>
    <col min="2307" max="2308" width="9.140625" style="1"/>
    <col min="2309" max="2309" width="11" style="1" bestFit="1" customWidth="1"/>
    <col min="2310" max="2559" width="9.140625" style="1"/>
    <col min="2560" max="2560" width="18.28515625" style="1" bestFit="1" customWidth="1"/>
    <col min="2561" max="2561" width="9.140625" style="1"/>
    <col min="2562" max="2562" width="16.42578125" style="1" bestFit="1" customWidth="1"/>
    <col min="2563" max="2564" width="9.140625" style="1"/>
    <col min="2565" max="2565" width="11" style="1" bestFit="1" customWidth="1"/>
    <col min="2566" max="2815" width="9.140625" style="1"/>
    <col min="2816" max="2816" width="18.28515625" style="1" bestFit="1" customWidth="1"/>
    <col min="2817" max="2817" width="9.140625" style="1"/>
    <col min="2818" max="2818" width="16.42578125" style="1" bestFit="1" customWidth="1"/>
    <col min="2819" max="2820" width="9.140625" style="1"/>
    <col min="2821" max="2821" width="11" style="1" bestFit="1" customWidth="1"/>
    <col min="2822" max="3071" width="9.140625" style="1"/>
    <col min="3072" max="3072" width="18.28515625" style="1" bestFit="1" customWidth="1"/>
    <col min="3073" max="3073" width="9.140625" style="1"/>
    <col min="3074" max="3074" width="16.42578125" style="1" bestFit="1" customWidth="1"/>
    <col min="3075" max="3076" width="9.140625" style="1"/>
    <col min="3077" max="3077" width="11" style="1" bestFit="1" customWidth="1"/>
    <col min="3078" max="3327" width="9.140625" style="1"/>
    <col min="3328" max="3328" width="18.28515625" style="1" bestFit="1" customWidth="1"/>
    <col min="3329" max="3329" width="9.140625" style="1"/>
    <col min="3330" max="3330" width="16.42578125" style="1" bestFit="1" customWidth="1"/>
    <col min="3331" max="3332" width="9.140625" style="1"/>
    <col min="3333" max="3333" width="11" style="1" bestFit="1" customWidth="1"/>
    <col min="3334" max="3583" width="9.140625" style="1"/>
    <col min="3584" max="3584" width="18.28515625" style="1" bestFit="1" customWidth="1"/>
    <col min="3585" max="3585" width="9.140625" style="1"/>
    <col min="3586" max="3586" width="16.42578125" style="1" bestFit="1" customWidth="1"/>
    <col min="3587" max="3588" width="9.140625" style="1"/>
    <col min="3589" max="3589" width="11" style="1" bestFit="1" customWidth="1"/>
    <col min="3590" max="3839" width="9.140625" style="1"/>
    <col min="3840" max="3840" width="18.28515625" style="1" bestFit="1" customWidth="1"/>
    <col min="3841" max="3841" width="9.140625" style="1"/>
    <col min="3842" max="3842" width="16.42578125" style="1" bestFit="1" customWidth="1"/>
    <col min="3843" max="3844" width="9.140625" style="1"/>
    <col min="3845" max="3845" width="11" style="1" bestFit="1" customWidth="1"/>
    <col min="3846" max="4095" width="9.140625" style="1"/>
    <col min="4096" max="4096" width="18.28515625" style="1" bestFit="1" customWidth="1"/>
    <col min="4097" max="4097" width="9.140625" style="1"/>
    <col min="4098" max="4098" width="16.42578125" style="1" bestFit="1" customWidth="1"/>
    <col min="4099" max="4100" width="9.140625" style="1"/>
    <col min="4101" max="4101" width="11" style="1" bestFit="1" customWidth="1"/>
    <col min="4102" max="4351" width="9.140625" style="1"/>
    <col min="4352" max="4352" width="18.28515625" style="1" bestFit="1" customWidth="1"/>
    <col min="4353" max="4353" width="9.140625" style="1"/>
    <col min="4354" max="4354" width="16.42578125" style="1" bestFit="1" customWidth="1"/>
    <col min="4355" max="4356" width="9.140625" style="1"/>
    <col min="4357" max="4357" width="11" style="1" bestFit="1" customWidth="1"/>
    <col min="4358" max="4607" width="9.140625" style="1"/>
    <col min="4608" max="4608" width="18.28515625" style="1" bestFit="1" customWidth="1"/>
    <col min="4609" max="4609" width="9.140625" style="1"/>
    <col min="4610" max="4610" width="16.42578125" style="1" bestFit="1" customWidth="1"/>
    <col min="4611" max="4612" width="9.140625" style="1"/>
    <col min="4613" max="4613" width="11" style="1" bestFit="1" customWidth="1"/>
    <col min="4614" max="4863" width="9.140625" style="1"/>
    <col min="4864" max="4864" width="18.28515625" style="1" bestFit="1" customWidth="1"/>
    <col min="4865" max="4865" width="9.140625" style="1"/>
    <col min="4866" max="4866" width="16.42578125" style="1" bestFit="1" customWidth="1"/>
    <col min="4867" max="4868" width="9.140625" style="1"/>
    <col min="4869" max="4869" width="11" style="1" bestFit="1" customWidth="1"/>
    <col min="4870" max="5119" width="9.140625" style="1"/>
    <col min="5120" max="5120" width="18.28515625" style="1" bestFit="1" customWidth="1"/>
    <col min="5121" max="5121" width="9.140625" style="1"/>
    <col min="5122" max="5122" width="16.42578125" style="1" bestFit="1" customWidth="1"/>
    <col min="5123" max="5124" width="9.140625" style="1"/>
    <col min="5125" max="5125" width="11" style="1" bestFit="1" customWidth="1"/>
    <col min="5126" max="5375" width="9.140625" style="1"/>
    <col min="5376" max="5376" width="18.28515625" style="1" bestFit="1" customWidth="1"/>
    <col min="5377" max="5377" width="9.140625" style="1"/>
    <col min="5378" max="5378" width="16.42578125" style="1" bestFit="1" customWidth="1"/>
    <col min="5379" max="5380" width="9.140625" style="1"/>
    <col min="5381" max="5381" width="11" style="1" bestFit="1" customWidth="1"/>
    <col min="5382" max="5631" width="9.140625" style="1"/>
    <col min="5632" max="5632" width="18.28515625" style="1" bestFit="1" customWidth="1"/>
    <col min="5633" max="5633" width="9.140625" style="1"/>
    <col min="5634" max="5634" width="16.42578125" style="1" bestFit="1" customWidth="1"/>
    <col min="5635" max="5636" width="9.140625" style="1"/>
    <col min="5637" max="5637" width="11" style="1" bestFit="1" customWidth="1"/>
    <col min="5638" max="5887" width="9.140625" style="1"/>
    <col min="5888" max="5888" width="18.28515625" style="1" bestFit="1" customWidth="1"/>
    <col min="5889" max="5889" width="9.140625" style="1"/>
    <col min="5890" max="5890" width="16.42578125" style="1" bestFit="1" customWidth="1"/>
    <col min="5891" max="5892" width="9.140625" style="1"/>
    <col min="5893" max="5893" width="11" style="1" bestFit="1" customWidth="1"/>
    <col min="5894" max="6143" width="9.140625" style="1"/>
    <col min="6144" max="6144" width="18.28515625" style="1" bestFit="1" customWidth="1"/>
    <col min="6145" max="6145" width="9.140625" style="1"/>
    <col min="6146" max="6146" width="16.42578125" style="1" bestFit="1" customWidth="1"/>
    <col min="6147" max="6148" width="9.140625" style="1"/>
    <col min="6149" max="6149" width="11" style="1" bestFit="1" customWidth="1"/>
    <col min="6150" max="6399" width="9.140625" style="1"/>
    <col min="6400" max="6400" width="18.28515625" style="1" bestFit="1" customWidth="1"/>
    <col min="6401" max="6401" width="9.140625" style="1"/>
    <col min="6402" max="6402" width="16.42578125" style="1" bestFit="1" customWidth="1"/>
    <col min="6403" max="6404" width="9.140625" style="1"/>
    <col min="6405" max="6405" width="11" style="1" bestFit="1" customWidth="1"/>
    <col min="6406" max="6655" width="9.140625" style="1"/>
    <col min="6656" max="6656" width="18.28515625" style="1" bestFit="1" customWidth="1"/>
    <col min="6657" max="6657" width="9.140625" style="1"/>
    <col min="6658" max="6658" width="16.42578125" style="1" bestFit="1" customWidth="1"/>
    <col min="6659" max="6660" width="9.140625" style="1"/>
    <col min="6661" max="6661" width="11" style="1" bestFit="1" customWidth="1"/>
    <col min="6662" max="6911" width="9.140625" style="1"/>
    <col min="6912" max="6912" width="18.28515625" style="1" bestFit="1" customWidth="1"/>
    <col min="6913" max="6913" width="9.140625" style="1"/>
    <col min="6914" max="6914" width="16.42578125" style="1" bestFit="1" customWidth="1"/>
    <col min="6915" max="6916" width="9.140625" style="1"/>
    <col min="6917" max="6917" width="11" style="1" bestFit="1" customWidth="1"/>
    <col min="6918" max="7167" width="9.140625" style="1"/>
    <col min="7168" max="7168" width="18.28515625" style="1" bestFit="1" customWidth="1"/>
    <col min="7169" max="7169" width="9.140625" style="1"/>
    <col min="7170" max="7170" width="16.42578125" style="1" bestFit="1" customWidth="1"/>
    <col min="7171" max="7172" width="9.140625" style="1"/>
    <col min="7173" max="7173" width="11" style="1" bestFit="1" customWidth="1"/>
    <col min="7174" max="7423" width="9.140625" style="1"/>
    <col min="7424" max="7424" width="18.28515625" style="1" bestFit="1" customWidth="1"/>
    <col min="7425" max="7425" width="9.140625" style="1"/>
    <col min="7426" max="7426" width="16.42578125" style="1" bestFit="1" customWidth="1"/>
    <col min="7427" max="7428" width="9.140625" style="1"/>
    <col min="7429" max="7429" width="11" style="1" bestFit="1" customWidth="1"/>
    <col min="7430" max="7679" width="9.140625" style="1"/>
    <col min="7680" max="7680" width="18.28515625" style="1" bestFit="1" customWidth="1"/>
    <col min="7681" max="7681" width="9.140625" style="1"/>
    <col min="7682" max="7682" width="16.42578125" style="1" bestFit="1" customWidth="1"/>
    <col min="7683" max="7684" width="9.140625" style="1"/>
    <col min="7685" max="7685" width="11" style="1" bestFit="1" customWidth="1"/>
    <col min="7686" max="7935" width="9.140625" style="1"/>
    <col min="7936" max="7936" width="18.28515625" style="1" bestFit="1" customWidth="1"/>
    <col min="7937" max="7937" width="9.140625" style="1"/>
    <col min="7938" max="7938" width="16.42578125" style="1" bestFit="1" customWidth="1"/>
    <col min="7939" max="7940" width="9.140625" style="1"/>
    <col min="7941" max="7941" width="11" style="1" bestFit="1" customWidth="1"/>
    <col min="7942" max="8191" width="9.140625" style="1"/>
    <col min="8192" max="8192" width="18.28515625" style="1" bestFit="1" customWidth="1"/>
    <col min="8193" max="8193" width="9.140625" style="1"/>
    <col min="8194" max="8194" width="16.42578125" style="1" bestFit="1" customWidth="1"/>
    <col min="8195" max="8196" width="9.140625" style="1"/>
    <col min="8197" max="8197" width="11" style="1" bestFit="1" customWidth="1"/>
    <col min="8198" max="8447" width="9.140625" style="1"/>
    <col min="8448" max="8448" width="18.28515625" style="1" bestFit="1" customWidth="1"/>
    <col min="8449" max="8449" width="9.140625" style="1"/>
    <col min="8450" max="8450" width="16.42578125" style="1" bestFit="1" customWidth="1"/>
    <col min="8451" max="8452" width="9.140625" style="1"/>
    <col min="8453" max="8453" width="11" style="1" bestFit="1" customWidth="1"/>
    <col min="8454" max="8703" width="9.140625" style="1"/>
    <col min="8704" max="8704" width="18.28515625" style="1" bestFit="1" customWidth="1"/>
    <col min="8705" max="8705" width="9.140625" style="1"/>
    <col min="8706" max="8706" width="16.42578125" style="1" bestFit="1" customWidth="1"/>
    <col min="8707" max="8708" width="9.140625" style="1"/>
    <col min="8709" max="8709" width="11" style="1" bestFit="1" customWidth="1"/>
    <col min="8710" max="8959" width="9.140625" style="1"/>
    <col min="8960" max="8960" width="18.28515625" style="1" bestFit="1" customWidth="1"/>
    <col min="8961" max="8961" width="9.140625" style="1"/>
    <col min="8962" max="8962" width="16.42578125" style="1" bestFit="1" customWidth="1"/>
    <col min="8963" max="8964" width="9.140625" style="1"/>
    <col min="8965" max="8965" width="11" style="1" bestFit="1" customWidth="1"/>
    <col min="8966" max="9215" width="9.140625" style="1"/>
    <col min="9216" max="9216" width="18.28515625" style="1" bestFit="1" customWidth="1"/>
    <col min="9217" max="9217" width="9.140625" style="1"/>
    <col min="9218" max="9218" width="16.42578125" style="1" bestFit="1" customWidth="1"/>
    <col min="9219" max="9220" width="9.140625" style="1"/>
    <col min="9221" max="9221" width="11" style="1" bestFit="1" customWidth="1"/>
    <col min="9222" max="9471" width="9.140625" style="1"/>
    <col min="9472" max="9472" width="18.28515625" style="1" bestFit="1" customWidth="1"/>
    <col min="9473" max="9473" width="9.140625" style="1"/>
    <col min="9474" max="9474" width="16.42578125" style="1" bestFit="1" customWidth="1"/>
    <col min="9475" max="9476" width="9.140625" style="1"/>
    <col min="9477" max="9477" width="11" style="1" bestFit="1" customWidth="1"/>
    <col min="9478" max="9727" width="9.140625" style="1"/>
    <col min="9728" max="9728" width="18.28515625" style="1" bestFit="1" customWidth="1"/>
    <col min="9729" max="9729" width="9.140625" style="1"/>
    <col min="9730" max="9730" width="16.42578125" style="1" bestFit="1" customWidth="1"/>
    <col min="9731" max="9732" width="9.140625" style="1"/>
    <col min="9733" max="9733" width="11" style="1" bestFit="1" customWidth="1"/>
    <col min="9734" max="9983" width="9.140625" style="1"/>
    <col min="9984" max="9984" width="18.28515625" style="1" bestFit="1" customWidth="1"/>
    <col min="9985" max="9985" width="9.140625" style="1"/>
    <col min="9986" max="9986" width="16.42578125" style="1" bestFit="1" customWidth="1"/>
    <col min="9987" max="9988" width="9.140625" style="1"/>
    <col min="9989" max="9989" width="11" style="1" bestFit="1" customWidth="1"/>
    <col min="9990" max="10239" width="9.140625" style="1"/>
    <col min="10240" max="10240" width="18.28515625" style="1" bestFit="1" customWidth="1"/>
    <col min="10241" max="10241" width="9.140625" style="1"/>
    <col min="10242" max="10242" width="16.42578125" style="1" bestFit="1" customWidth="1"/>
    <col min="10243" max="10244" width="9.140625" style="1"/>
    <col min="10245" max="10245" width="11" style="1" bestFit="1" customWidth="1"/>
    <col min="10246" max="10495" width="9.140625" style="1"/>
    <col min="10496" max="10496" width="18.28515625" style="1" bestFit="1" customWidth="1"/>
    <col min="10497" max="10497" width="9.140625" style="1"/>
    <col min="10498" max="10498" width="16.42578125" style="1" bestFit="1" customWidth="1"/>
    <col min="10499" max="10500" width="9.140625" style="1"/>
    <col min="10501" max="10501" width="11" style="1" bestFit="1" customWidth="1"/>
    <col min="10502" max="10751" width="9.140625" style="1"/>
    <col min="10752" max="10752" width="18.28515625" style="1" bestFit="1" customWidth="1"/>
    <col min="10753" max="10753" width="9.140625" style="1"/>
    <col min="10754" max="10754" width="16.42578125" style="1" bestFit="1" customWidth="1"/>
    <col min="10755" max="10756" width="9.140625" style="1"/>
    <col min="10757" max="10757" width="11" style="1" bestFit="1" customWidth="1"/>
    <col min="10758" max="11007" width="9.140625" style="1"/>
    <col min="11008" max="11008" width="18.28515625" style="1" bestFit="1" customWidth="1"/>
    <col min="11009" max="11009" width="9.140625" style="1"/>
    <col min="11010" max="11010" width="16.42578125" style="1" bestFit="1" customWidth="1"/>
    <col min="11011" max="11012" width="9.140625" style="1"/>
    <col min="11013" max="11013" width="11" style="1" bestFit="1" customWidth="1"/>
    <col min="11014" max="11263" width="9.140625" style="1"/>
    <col min="11264" max="11264" width="18.28515625" style="1" bestFit="1" customWidth="1"/>
    <col min="11265" max="11265" width="9.140625" style="1"/>
    <col min="11266" max="11266" width="16.42578125" style="1" bestFit="1" customWidth="1"/>
    <col min="11267" max="11268" width="9.140625" style="1"/>
    <col min="11269" max="11269" width="11" style="1" bestFit="1" customWidth="1"/>
    <col min="11270" max="11519" width="9.140625" style="1"/>
    <col min="11520" max="11520" width="18.28515625" style="1" bestFit="1" customWidth="1"/>
    <col min="11521" max="11521" width="9.140625" style="1"/>
    <col min="11522" max="11522" width="16.42578125" style="1" bestFit="1" customWidth="1"/>
    <col min="11523" max="11524" width="9.140625" style="1"/>
    <col min="11525" max="11525" width="11" style="1" bestFit="1" customWidth="1"/>
    <col min="11526" max="11775" width="9.140625" style="1"/>
    <col min="11776" max="11776" width="18.28515625" style="1" bestFit="1" customWidth="1"/>
    <col min="11777" max="11777" width="9.140625" style="1"/>
    <col min="11778" max="11778" width="16.42578125" style="1" bestFit="1" customWidth="1"/>
    <col min="11779" max="11780" width="9.140625" style="1"/>
    <col min="11781" max="11781" width="11" style="1" bestFit="1" customWidth="1"/>
    <col min="11782" max="12031" width="9.140625" style="1"/>
    <col min="12032" max="12032" width="18.28515625" style="1" bestFit="1" customWidth="1"/>
    <col min="12033" max="12033" width="9.140625" style="1"/>
    <col min="12034" max="12034" width="16.42578125" style="1" bestFit="1" customWidth="1"/>
    <col min="12035" max="12036" width="9.140625" style="1"/>
    <col min="12037" max="12037" width="11" style="1" bestFit="1" customWidth="1"/>
    <col min="12038" max="12287" width="9.140625" style="1"/>
    <col min="12288" max="12288" width="18.28515625" style="1" bestFit="1" customWidth="1"/>
    <col min="12289" max="12289" width="9.140625" style="1"/>
    <col min="12290" max="12290" width="16.42578125" style="1" bestFit="1" customWidth="1"/>
    <col min="12291" max="12292" width="9.140625" style="1"/>
    <col min="12293" max="12293" width="11" style="1" bestFit="1" customWidth="1"/>
    <col min="12294" max="12543" width="9.140625" style="1"/>
    <col min="12544" max="12544" width="18.28515625" style="1" bestFit="1" customWidth="1"/>
    <col min="12545" max="12545" width="9.140625" style="1"/>
    <col min="12546" max="12546" width="16.42578125" style="1" bestFit="1" customWidth="1"/>
    <col min="12547" max="12548" width="9.140625" style="1"/>
    <col min="12549" max="12549" width="11" style="1" bestFit="1" customWidth="1"/>
    <col min="12550" max="12799" width="9.140625" style="1"/>
    <col min="12800" max="12800" width="18.28515625" style="1" bestFit="1" customWidth="1"/>
    <col min="12801" max="12801" width="9.140625" style="1"/>
    <col min="12802" max="12802" width="16.42578125" style="1" bestFit="1" customWidth="1"/>
    <col min="12803" max="12804" width="9.140625" style="1"/>
    <col min="12805" max="12805" width="11" style="1" bestFit="1" customWidth="1"/>
    <col min="12806" max="13055" width="9.140625" style="1"/>
    <col min="13056" max="13056" width="18.28515625" style="1" bestFit="1" customWidth="1"/>
    <col min="13057" max="13057" width="9.140625" style="1"/>
    <col min="13058" max="13058" width="16.42578125" style="1" bestFit="1" customWidth="1"/>
    <col min="13059" max="13060" width="9.140625" style="1"/>
    <col min="13061" max="13061" width="11" style="1" bestFit="1" customWidth="1"/>
    <col min="13062" max="13311" width="9.140625" style="1"/>
    <col min="13312" max="13312" width="18.28515625" style="1" bestFit="1" customWidth="1"/>
    <col min="13313" max="13313" width="9.140625" style="1"/>
    <col min="13314" max="13314" width="16.42578125" style="1" bestFit="1" customWidth="1"/>
    <col min="13315" max="13316" width="9.140625" style="1"/>
    <col min="13317" max="13317" width="11" style="1" bestFit="1" customWidth="1"/>
    <col min="13318" max="13567" width="9.140625" style="1"/>
    <col min="13568" max="13568" width="18.28515625" style="1" bestFit="1" customWidth="1"/>
    <col min="13569" max="13569" width="9.140625" style="1"/>
    <col min="13570" max="13570" width="16.42578125" style="1" bestFit="1" customWidth="1"/>
    <col min="13571" max="13572" width="9.140625" style="1"/>
    <col min="13573" max="13573" width="11" style="1" bestFit="1" customWidth="1"/>
    <col min="13574" max="13823" width="9.140625" style="1"/>
    <col min="13824" max="13824" width="18.28515625" style="1" bestFit="1" customWidth="1"/>
    <col min="13825" max="13825" width="9.140625" style="1"/>
    <col min="13826" max="13826" width="16.42578125" style="1" bestFit="1" customWidth="1"/>
    <col min="13827" max="13828" width="9.140625" style="1"/>
    <col min="13829" max="13829" width="11" style="1" bestFit="1" customWidth="1"/>
    <col min="13830" max="14079" width="9.140625" style="1"/>
    <col min="14080" max="14080" width="18.28515625" style="1" bestFit="1" customWidth="1"/>
    <col min="14081" max="14081" width="9.140625" style="1"/>
    <col min="14082" max="14082" width="16.42578125" style="1" bestFit="1" customWidth="1"/>
    <col min="14083" max="14084" width="9.140625" style="1"/>
    <col min="14085" max="14085" width="11" style="1" bestFit="1" customWidth="1"/>
    <col min="14086" max="14335" width="9.140625" style="1"/>
    <col min="14336" max="14336" width="18.28515625" style="1" bestFit="1" customWidth="1"/>
    <col min="14337" max="14337" width="9.140625" style="1"/>
    <col min="14338" max="14338" width="16.42578125" style="1" bestFit="1" customWidth="1"/>
    <col min="14339" max="14340" width="9.140625" style="1"/>
    <col min="14341" max="14341" width="11" style="1" bestFit="1" customWidth="1"/>
    <col min="14342" max="14591" width="9.140625" style="1"/>
    <col min="14592" max="14592" width="18.28515625" style="1" bestFit="1" customWidth="1"/>
    <col min="14593" max="14593" width="9.140625" style="1"/>
    <col min="14594" max="14594" width="16.42578125" style="1" bestFit="1" customWidth="1"/>
    <col min="14595" max="14596" width="9.140625" style="1"/>
    <col min="14597" max="14597" width="11" style="1" bestFit="1" customWidth="1"/>
    <col min="14598" max="14847" width="9.140625" style="1"/>
    <col min="14848" max="14848" width="18.28515625" style="1" bestFit="1" customWidth="1"/>
    <col min="14849" max="14849" width="9.140625" style="1"/>
    <col min="14850" max="14850" width="16.42578125" style="1" bestFit="1" customWidth="1"/>
    <col min="14851" max="14852" width="9.140625" style="1"/>
    <col min="14853" max="14853" width="11" style="1" bestFit="1" customWidth="1"/>
    <col min="14854" max="15103" width="9.140625" style="1"/>
    <col min="15104" max="15104" width="18.28515625" style="1" bestFit="1" customWidth="1"/>
    <col min="15105" max="15105" width="9.140625" style="1"/>
    <col min="15106" max="15106" width="16.42578125" style="1" bestFit="1" customWidth="1"/>
    <col min="15107" max="15108" width="9.140625" style="1"/>
    <col min="15109" max="15109" width="11" style="1" bestFit="1" customWidth="1"/>
    <col min="15110" max="15359" width="9.140625" style="1"/>
    <col min="15360" max="15360" width="18.28515625" style="1" bestFit="1" customWidth="1"/>
    <col min="15361" max="15361" width="9.140625" style="1"/>
    <col min="15362" max="15362" width="16.42578125" style="1" bestFit="1" customWidth="1"/>
    <col min="15363" max="15364" width="9.140625" style="1"/>
    <col min="15365" max="15365" width="11" style="1" bestFit="1" customWidth="1"/>
    <col min="15366" max="15615" width="9.140625" style="1"/>
    <col min="15616" max="15616" width="18.28515625" style="1" bestFit="1" customWidth="1"/>
    <col min="15617" max="15617" width="9.140625" style="1"/>
    <col min="15618" max="15618" width="16.42578125" style="1" bestFit="1" customWidth="1"/>
    <col min="15619" max="15620" width="9.140625" style="1"/>
    <col min="15621" max="15621" width="11" style="1" bestFit="1" customWidth="1"/>
    <col min="15622" max="15871" width="9.140625" style="1"/>
    <col min="15872" max="15872" width="18.28515625" style="1" bestFit="1" customWidth="1"/>
    <col min="15873" max="15873" width="9.140625" style="1"/>
    <col min="15874" max="15874" width="16.42578125" style="1" bestFit="1" customWidth="1"/>
    <col min="15875" max="15876" width="9.140625" style="1"/>
    <col min="15877" max="15877" width="11" style="1" bestFit="1" customWidth="1"/>
    <col min="15878" max="16127" width="9.140625" style="1"/>
    <col min="16128" max="16128" width="18.28515625" style="1" bestFit="1" customWidth="1"/>
    <col min="16129" max="16129" width="9.140625" style="1"/>
    <col min="16130" max="16130" width="16.42578125" style="1" bestFit="1" customWidth="1"/>
    <col min="16131" max="16132" width="9.140625" style="1"/>
    <col min="16133" max="16133" width="11" style="1" bestFit="1" customWidth="1"/>
    <col min="16134" max="16384" width="9.140625" style="1"/>
  </cols>
  <sheetData>
    <row r="1" spans="1:16" ht="15.75" thickBot="1" x14ac:dyDescent="0.3">
      <c r="A1" s="1" t="s">
        <v>1</v>
      </c>
      <c r="B1" s="1" t="s">
        <v>11</v>
      </c>
      <c r="C1" s="1" t="s">
        <v>12</v>
      </c>
      <c r="K1" s="6" t="s">
        <v>13</v>
      </c>
      <c r="L1" s="6"/>
      <c r="M1" s="7">
        <v>1</v>
      </c>
      <c r="N1" s="8" t="s">
        <v>14</v>
      </c>
      <c r="O1" s="9">
        <f t="shared" ref="O1:O24" si="0">INT(1+MOD(M1-$K$2,12)/3)</f>
        <v>2</v>
      </c>
      <c r="P1" s="10">
        <f ca="1">YEAR(TODAY())+COUNTIF($M$1:M1,$K$2)</f>
        <v>2016</v>
      </c>
    </row>
    <row r="2" spans="1:16" ht="16.5" thickTop="1" thickBot="1" x14ac:dyDescent="0.3">
      <c r="A2" s="3" t="s">
        <v>2</v>
      </c>
      <c r="B2" s="4">
        <v>146.91</v>
      </c>
      <c r="C2" s="5">
        <v>36925</v>
      </c>
      <c r="D2" s="20">
        <v>2001</v>
      </c>
      <c r="E2" s="20">
        <v>2</v>
      </c>
      <c r="F2" s="20"/>
      <c r="G2" s="20"/>
      <c r="H2" s="20"/>
      <c r="K2" s="11">
        <v>10</v>
      </c>
      <c r="L2" s="6"/>
      <c r="M2" s="12">
        <v>2</v>
      </c>
      <c r="N2" s="13" t="s">
        <v>15</v>
      </c>
      <c r="O2" s="14">
        <f t="shared" si="0"/>
        <v>2</v>
      </c>
      <c r="P2" s="15">
        <f ca="1">YEAR(TODAY())+COUNTIF($M$1:M2,$K$2)</f>
        <v>2016</v>
      </c>
    </row>
    <row r="3" spans="1:16" ht="15.75" thickTop="1" x14ac:dyDescent="0.25">
      <c r="A3" s="3" t="s">
        <v>3</v>
      </c>
      <c r="B3" s="4">
        <v>155.05000000000001</v>
      </c>
      <c r="C3" s="5">
        <v>36996</v>
      </c>
      <c r="D3" s="20">
        <v>2001</v>
      </c>
      <c r="E3" s="20">
        <v>3</v>
      </c>
      <c r="F3" s="20"/>
      <c r="G3" s="20"/>
      <c r="H3" s="20"/>
      <c r="K3" s="6"/>
      <c r="L3" s="6"/>
      <c r="M3" s="12">
        <v>3</v>
      </c>
      <c r="N3" s="13" t="s">
        <v>16</v>
      </c>
      <c r="O3" s="14">
        <f t="shared" si="0"/>
        <v>2</v>
      </c>
      <c r="P3" s="15">
        <f ca="1">YEAR(TODAY())+COUNTIF($M$1:M3,$K$2)</f>
        <v>2016</v>
      </c>
    </row>
    <row r="4" spans="1:16" x14ac:dyDescent="0.25">
      <c r="A4" s="3" t="s">
        <v>4</v>
      </c>
      <c r="B4" s="4">
        <v>41.55</v>
      </c>
      <c r="C4" s="5">
        <v>37067</v>
      </c>
      <c r="D4" s="20">
        <v>2001</v>
      </c>
      <c r="E4" s="20">
        <v>3</v>
      </c>
      <c r="F4" s="20"/>
      <c r="G4" s="20"/>
      <c r="H4" s="20"/>
      <c r="K4" s="6"/>
      <c r="L4" s="6"/>
      <c r="M4" s="12">
        <v>4</v>
      </c>
      <c r="N4" s="13" t="s">
        <v>17</v>
      </c>
      <c r="O4" s="14">
        <f t="shared" si="0"/>
        <v>3</v>
      </c>
      <c r="P4" s="15">
        <f ca="1">YEAR(TODAY())+COUNTIF($M$1:M4,$K$2)</f>
        <v>2016</v>
      </c>
    </row>
    <row r="5" spans="1:16" x14ac:dyDescent="0.25">
      <c r="A5" s="3" t="s">
        <v>5</v>
      </c>
      <c r="B5" s="4">
        <v>172.39</v>
      </c>
      <c r="C5" s="5">
        <v>37138</v>
      </c>
      <c r="D5" s="20">
        <v>2001</v>
      </c>
      <c r="E5" s="20">
        <v>4</v>
      </c>
      <c r="F5" s="20"/>
      <c r="G5" s="20"/>
      <c r="H5" s="20"/>
      <c r="K5" s="6"/>
      <c r="L5" s="6"/>
      <c r="M5" s="12">
        <v>5</v>
      </c>
      <c r="N5" s="13" t="s">
        <v>18</v>
      </c>
      <c r="O5" s="14">
        <f t="shared" si="0"/>
        <v>3</v>
      </c>
      <c r="P5" s="15">
        <f ca="1">YEAR(TODAY())+COUNTIF($M$1:M5,$K$2)</f>
        <v>2016</v>
      </c>
    </row>
    <row r="6" spans="1:16" x14ac:dyDescent="0.25">
      <c r="A6" s="3" t="s">
        <v>0</v>
      </c>
      <c r="B6" s="4">
        <v>189.73</v>
      </c>
      <c r="C6" s="5">
        <v>37209</v>
      </c>
      <c r="D6" s="20">
        <v>2002</v>
      </c>
      <c r="E6" s="20">
        <v>1</v>
      </c>
      <c r="F6" s="20"/>
      <c r="G6" s="20"/>
      <c r="H6" s="20"/>
      <c r="K6" s="6"/>
      <c r="L6" s="6"/>
      <c r="M6" s="12">
        <v>6</v>
      </c>
      <c r="N6" s="13" t="s">
        <v>19</v>
      </c>
      <c r="O6" s="14">
        <f t="shared" si="0"/>
        <v>3</v>
      </c>
      <c r="P6" s="15">
        <f ca="1">YEAR(TODAY())+COUNTIF($M$1:M6,$K$2)</f>
        <v>2016</v>
      </c>
    </row>
    <row r="7" spans="1:16" x14ac:dyDescent="0.25">
      <c r="A7" s="3" t="s">
        <v>0</v>
      </c>
      <c r="B7" s="4">
        <v>219.95</v>
      </c>
      <c r="C7" s="5">
        <v>37226</v>
      </c>
      <c r="D7" s="20">
        <v>2002</v>
      </c>
      <c r="E7" s="20">
        <v>1</v>
      </c>
      <c r="F7" s="20"/>
      <c r="G7" s="20"/>
      <c r="H7" s="20"/>
      <c r="K7" s="6"/>
      <c r="L7" s="6"/>
      <c r="M7" s="12">
        <v>7</v>
      </c>
      <c r="N7" s="13" t="s">
        <v>20</v>
      </c>
      <c r="O7" s="14">
        <f t="shared" si="0"/>
        <v>4</v>
      </c>
      <c r="P7" s="15">
        <f ca="1">YEAR(TODAY())+COUNTIF($M$1:M7,$K$2)</f>
        <v>2016</v>
      </c>
    </row>
    <row r="8" spans="1:16" x14ac:dyDescent="0.25">
      <c r="A8" s="3" t="s">
        <v>6</v>
      </c>
      <c r="B8" s="4">
        <v>115.55</v>
      </c>
      <c r="C8" s="5">
        <v>37280</v>
      </c>
      <c r="D8" s="20">
        <v>2002</v>
      </c>
      <c r="E8" s="20">
        <v>2</v>
      </c>
      <c r="F8" s="20"/>
      <c r="G8" s="20"/>
      <c r="H8" s="20"/>
      <c r="K8" s="6"/>
      <c r="L8" s="6"/>
      <c r="M8" s="12">
        <v>8</v>
      </c>
      <c r="N8" s="13" t="s">
        <v>21</v>
      </c>
      <c r="O8" s="14">
        <f t="shared" si="0"/>
        <v>4</v>
      </c>
      <c r="P8" s="15">
        <f ca="1">YEAR(TODAY())+COUNTIF($M$1:M8,$K$2)</f>
        <v>2016</v>
      </c>
    </row>
    <row r="9" spans="1:16" x14ac:dyDescent="0.25">
      <c r="A9" s="3" t="s">
        <v>0</v>
      </c>
      <c r="B9" s="4">
        <v>15.27</v>
      </c>
      <c r="C9" s="5">
        <v>37351</v>
      </c>
      <c r="D9" s="20">
        <v>2002</v>
      </c>
      <c r="E9" s="20">
        <v>3</v>
      </c>
      <c r="F9" s="20"/>
      <c r="G9" s="20"/>
      <c r="H9" s="20"/>
      <c r="K9" s="6"/>
      <c r="L9" s="6"/>
      <c r="M9" s="12">
        <v>9</v>
      </c>
      <c r="N9" s="13" t="s">
        <v>22</v>
      </c>
      <c r="O9" s="14">
        <f t="shared" si="0"/>
        <v>4</v>
      </c>
      <c r="P9" s="15">
        <f ca="1">YEAR(TODAY())+COUNTIF($M$1:M9,$K$2)</f>
        <v>2016</v>
      </c>
    </row>
    <row r="10" spans="1:16" x14ac:dyDescent="0.25">
      <c r="A10" s="3" t="s">
        <v>2</v>
      </c>
      <c r="B10" s="4">
        <v>56.45</v>
      </c>
      <c r="C10" s="5">
        <v>37422</v>
      </c>
      <c r="D10" s="20">
        <v>2002</v>
      </c>
      <c r="E10" s="20">
        <v>3</v>
      </c>
      <c r="F10" s="20"/>
      <c r="G10" s="20"/>
      <c r="H10" s="20"/>
      <c r="K10" s="6"/>
      <c r="L10" s="6"/>
      <c r="M10" s="12">
        <v>10</v>
      </c>
      <c r="N10" s="13" t="s">
        <v>23</v>
      </c>
      <c r="O10" s="14">
        <f t="shared" si="0"/>
        <v>1</v>
      </c>
      <c r="P10" s="15">
        <f ca="1">YEAR(TODAY())+COUNTIF($M$1:M10,$K$2)</f>
        <v>2017</v>
      </c>
    </row>
    <row r="11" spans="1:16" x14ac:dyDescent="0.25">
      <c r="A11" s="3" t="s">
        <v>3</v>
      </c>
      <c r="B11" s="4">
        <v>103.95</v>
      </c>
      <c r="C11" s="5">
        <v>37493</v>
      </c>
      <c r="D11" s="20">
        <v>2002</v>
      </c>
      <c r="E11" s="20">
        <v>4</v>
      </c>
      <c r="F11" s="20"/>
      <c r="G11" s="20"/>
      <c r="H11" s="20"/>
      <c r="K11" s="6"/>
      <c r="L11" s="6"/>
      <c r="M11" s="12">
        <v>11</v>
      </c>
      <c r="N11" s="13" t="s">
        <v>24</v>
      </c>
      <c r="O11" s="14">
        <f t="shared" si="0"/>
        <v>1</v>
      </c>
      <c r="P11" s="15">
        <f ca="1">YEAR(TODAY())+COUNTIF($M$1:M11,$K$2)</f>
        <v>2017</v>
      </c>
    </row>
    <row r="12" spans="1:16" x14ac:dyDescent="0.25">
      <c r="A12" s="3" t="s">
        <v>7</v>
      </c>
      <c r="B12" s="4">
        <v>163.96</v>
      </c>
      <c r="C12" s="5">
        <v>37564</v>
      </c>
      <c r="D12" s="20">
        <v>2003</v>
      </c>
      <c r="E12" s="20">
        <v>1</v>
      </c>
      <c r="F12" s="20"/>
      <c r="G12" s="20"/>
      <c r="H12" s="20"/>
      <c r="K12" s="6"/>
      <c r="L12" s="6"/>
      <c r="M12" s="12">
        <v>12</v>
      </c>
      <c r="N12" s="13" t="s">
        <v>25</v>
      </c>
      <c r="O12" s="14">
        <f t="shared" si="0"/>
        <v>1</v>
      </c>
      <c r="P12" s="15">
        <f ca="1">YEAR(TODAY())+COUNTIF($M$1:M12,$K$2)</f>
        <v>2017</v>
      </c>
    </row>
    <row r="13" spans="1:16" x14ac:dyDescent="0.25">
      <c r="A13" s="3" t="s">
        <v>7</v>
      </c>
      <c r="B13" s="4">
        <v>63.96</v>
      </c>
      <c r="C13" s="5">
        <v>37564</v>
      </c>
      <c r="D13" s="20">
        <v>2003</v>
      </c>
      <c r="E13" s="20">
        <v>1</v>
      </c>
      <c r="F13" s="20"/>
      <c r="G13" s="20"/>
      <c r="H13" s="20"/>
      <c r="K13" s="6"/>
      <c r="L13" s="6"/>
      <c r="M13" s="12">
        <v>1</v>
      </c>
      <c r="N13" s="13" t="s">
        <v>14</v>
      </c>
      <c r="O13" s="14">
        <f t="shared" si="0"/>
        <v>2</v>
      </c>
      <c r="P13" s="15">
        <f ca="1">YEAR(TODAY())+COUNTIF($M$1:M13,$K$2)</f>
        <v>2017</v>
      </c>
    </row>
    <row r="14" spans="1:16" x14ac:dyDescent="0.25">
      <c r="A14" s="3" t="s">
        <v>8</v>
      </c>
      <c r="B14" s="4">
        <v>48.29</v>
      </c>
      <c r="C14" s="5">
        <v>37635</v>
      </c>
      <c r="D14" s="20">
        <v>2003</v>
      </c>
      <c r="E14" s="20">
        <v>2</v>
      </c>
      <c r="F14" s="20"/>
      <c r="G14" s="20"/>
      <c r="H14" s="20"/>
      <c r="K14" s="6"/>
      <c r="L14" s="6"/>
      <c r="M14" s="12">
        <v>2</v>
      </c>
      <c r="N14" s="13" t="s">
        <v>15</v>
      </c>
      <c r="O14" s="14">
        <f t="shared" si="0"/>
        <v>2</v>
      </c>
      <c r="P14" s="15">
        <f ca="1">YEAR(TODAY())+COUNTIF($M$1:M14,$K$2)</f>
        <v>2017</v>
      </c>
    </row>
    <row r="15" spans="1:16" x14ac:dyDescent="0.25">
      <c r="A15" s="3" t="s">
        <v>8</v>
      </c>
      <c r="B15" s="4">
        <v>88.19</v>
      </c>
      <c r="C15" s="5">
        <v>37694</v>
      </c>
      <c r="D15" s="20">
        <v>2003</v>
      </c>
      <c r="E15" s="20">
        <v>2</v>
      </c>
      <c r="F15" s="20"/>
      <c r="G15" s="20"/>
      <c r="H15" s="20"/>
      <c r="K15" s="6"/>
      <c r="L15" s="6"/>
      <c r="M15" s="12">
        <v>3</v>
      </c>
      <c r="N15" s="13" t="s">
        <v>16</v>
      </c>
      <c r="O15" s="14">
        <f t="shared" si="0"/>
        <v>2</v>
      </c>
      <c r="P15" s="15">
        <f ca="1">YEAR(TODAY())+COUNTIF($M$1:M15,$K$2)</f>
        <v>2017</v>
      </c>
    </row>
    <row r="16" spans="1:16" x14ac:dyDescent="0.25">
      <c r="A16" s="3" t="s">
        <v>9</v>
      </c>
      <c r="B16" s="4">
        <v>19.43</v>
      </c>
      <c r="C16" s="5">
        <v>37706</v>
      </c>
      <c r="D16" s="20">
        <v>2003</v>
      </c>
      <c r="E16" s="20">
        <v>2</v>
      </c>
      <c r="F16" s="20"/>
      <c r="G16" s="20"/>
      <c r="H16" s="20"/>
      <c r="K16" s="6"/>
      <c r="L16" s="6"/>
      <c r="M16" s="12">
        <v>4</v>
      </c>
      <c r="N16" s="13" t="s">
        <v>17</v>
      </c>
      <c r="O16" s="14">
        <f t="shared" si="0"/>
        <v>3</v>
      </c>
      <c r="P16" s="15">
        <f ca="1">YEAR(TODAY())+COUNTIF($M$1:M16,$K$2)</f>
        <v>2017</v>
      </c>
    </row>
    <row r="17" spans="1:16" x14ac:dyDescent="0.25">
      <c r="A17" s="3" t="s">
        <v>10</v>
      </c>
      <c r="B17" s="4">
        <v>109.4</v>
      </c>
      <c r="C17" s="5">
        <v>37777</v>
      </c>
      <c r="D17" s="20">
        <v>2003</v>
      </c>
      <c r="E17" s="20">
        <v>3</v>
      </c>
      <c r="F17" s="20"/>
      <c r="G17" s="20"/>
      <c r="H17" s="20"/>
      <c r="K17" s="6"/>
      <c r="L17" s="6"/>
      <c r="M17" s="12">
        <v>5</v>
      </c>
      <c r="N17" s="13" t="s">
        <v>18</v>
      </c>
      <c r="O17" s="14">
        <f t="shared" si="0"/>
        <v>3</v>
      </c>
      <c r="P17" s="15">
        <f ca="1">YEAR(TODAY())+COUNTIF($M$1:M17,$K$2)</f>
        <v>2017</v>
      </c>
    </row>
    <row r="18" spans="1:16" x14ac:dyDescent="0.25">
      <c r="A18" s="3" t="s">
        <v>9</v>
      </c>
      <c r="B18" s="4">
        <v>171.92</v>
      </c>
      <c r="C18" s="5">
        <v>37848</v>
      </c>
      <c r="D18" s="20">
        <v>2003</v>
      </c>
      <c r="E18" s="20">
        <v>4</v>
      </c>
      <c r="F18" s="20"/>
      <c r="G18" s="20"/>
      <c r="H18" s="20"/>
      <c r="K18" s="6"/>
      <c r="L18" s="6"/>
      <c r="M18" s="12">
        <v>6</v>
      </c>
      <c r="N18" s="13" t="s">
        <v>19</v>
      </c>
      <c r="O18" s="14">
        <f t="shared" si="0"/>
        <v>3</v>
      </c>
      <c r="P18" s="15">
        <f ca="1">YEAR(TODAY())+COUNTIF($M$1:M18,$K$2)</f>
        <v>2017</v>
      </c>
    </row>
    <row r="19" spans="1:16" x14ac:dyDescent="0.25">
      <c r="A19" s="3" t="s">
        <v>6</v>
      </c>
      <c r="B19" s="4">
        <v>45.77</v>
      </c>
      <c r="C19" s="5">
        <v>37919</v>
      </c>
      <c r="D19" s="20">
        <v>2004</v>
      </c>
      <c r="E19" s="20">
        <v>1</v>
      </c>
      <c r="F19" s="20"/>
      <c r="G19" s="20"/>
      <c r="H19" s="20"/>
      <c r="K19" s="6"/>
      <c r="L19" s="6"/>
      <c r="M19" s="12">
        <v>7</v>
      </c>
      <c r="N19" s="13" t="s">
        <v>20</v>
      </c>
      <c r="O19" s="14">
        <f t="shared" si="0"/>
        <v>4</v>
      </c>
      <c r="P19" s="15">
        <f ca="1">YEAR(TODAY())+COUNTIF($M$1:M19,$K$2)</f>
        <v>2017</v>
      </c>
    </row>
    <row r="20" spans="1:16" x14ac:dyDescent="0.25">
      <c r="A20" s="3" t="s">
        <v>5</v>
      </c>
      <c r="B20" s="4">
        <v>146.32</v>
      </c>
      <c r="C20" s="5">
        <v>37990</v>
      </c>
      <c r="D20" s="20">
        <v>2004</v>
      </c>
      <c r="E20" s="20">
        <v>2</v>
      </c>
      <c r="F20" s="20"/>
      <c r="G20" s="20"/>
      <c r="H20" s="20"/>
      <c r="K20" s="6"/>
      <c r="L20" s="6"/>
      <c r="M20" s="12">
        <v>8</v>
      </c>
      <c r="N20" s="13" t="s">
        <v>21</v>
      </c>
      <c r="O20" s="14">
        <f t="shared" si="0"/>
        <v>4</v>
      </c>
      <c r="P20" s="15">
        <f ca="1">YEAR(TODAY())+COUNTIF($M$1:M20,$K$2)</f>
        <v>2017</v>
      </c>
    </row>
    <row r="21" spans="1:16" x14ac:dyDescent="0.25">
      <c r="A21" s="3" t="s">
        <v>3</v>
      </c>
      <c r="B21" s="4">
        <v>65.92</v>
      </c>
      <c r="C21" s="5">
        <v>38061</v>
      </c>
      <c r="D21" s="20">
        <v>2004</v>
      </c>
      <c r="E21" s="20">
        <v>2</v>
      </c>
      <c r="F21" s="20"/>
      <c r="G21" s="20"/>
      <c r="H21" s="20"/>
      <c r="K21" s="6"/>
      <c r="L21" s="6"/>
      <c r="M21" s="12">
        <v>9</v>
      </c>
      <c r="N21" s="13" t="s">
        <v>22</v>
      </c>
      <c r="O21" s="14">
        <f t="shared" si="0"/>
        <v>4</v>
      </c>
      <c r="P21" s="15">
        <f ca="1">YEAR(TODAY())+COUNTIF($M$1:M21,$K$2)</f>
        <v>2017</v>
      </c>
    </row>
    <row r="22" spans="1:16" x14ac:dyDescent="0.25">
      <c r="A22" s="3" t="s">
        <v>2</v>
      </c>
      <c r="B22" s="4">
        <v>37.880000000000003</v>
      </c>
      <c r="C22" s="5">
        <v>38132</v>
      </c>
      <c r="D22" s="20">
        <v>2004</v>
      </c>
      <c r="E22" s="20">
        <v>3</v>
      </c>
      <c r="F22" s="20"/>
      <c r="G22" s="20"/>
      <c r="H22" s="20"/>
      <c r="K22" s="6"/>
      <c r="L22" s="6"/>
      <c r="M22" s="12">
        <v>10</v>
      </c>
      <c r="N22" s="13" t="s">
        <v>23</v>
      </c>
      <c r="O22" s="14">
        <f t="shared" si="0"/>
        <v>1</v>
      </c>
      <c r="P22" s="15">
        <f ca="1">YEAR(TODAY())+COUNTIF($M$1:M22,$K$2)</f>
        <v>2018</v>
      </c>
    </row>
    <row r="23" spans="1:16" x14ac:dyDescent="0.25">
      <c r="A23" s="3" t="s">
        <v>3</v>
      </c>
      <c r="B23" s="4">
        <v>93.87</v>
      </c>
      <c r="C23" s="5">
        <v>38203</v>
      </c>
      <c r="D23" s="20">
        <v>2004</v>
      </c>
      <c r="E23" s="20">
        <v>4</v>
      </c>
      <c r="F23" s="20"/>
      <c r="G23" s="20"/>
      <c r="H23" s="20"/>
      <c r="K23" s="6"/>
      <c r="L23" s="6"/>
      <c r="M23" s="12">
        <v>11</v>
      </c>
      <c r="N23" s="13" t="s">
        <v>24</v>
      </c>
      <c r="O23" s="14">
        <f t="shared" si="0"/>
        <v>1</v>
      </c>
      <c r="P23" s="15">
        <f ca="1">YEAR(TODAY())+COUNTIF($M$1:M23,$K$2)</f>
        <v>2018</v>
      </c>
    </row>
    <row r="24" spans="1:16" ht="15.75" thickBot="1" x14ac:dyDescent="0.3">
      <c r="A24" s="3" t="s">
        <v>4</v>
      </c>
      <c r="B24" s="4">
        <v>77.510000000000005</v>
      </c>
      <c r="C24" s="5">
        <v>38274</v>
      </c>
      <c r="D24" s="20">
        <v>2005</v>
      </c>
      <c r="E24" s="20">
        <v>1</v>
      </c>
      <c r="F24" s="20"/>
      <c r="G24" s="20"/>
      <c r="H24" s="20"/>
      <c r="K24" s="6"/>
      <c r="L24" s="6"/>
      <c r="M24" s="16">
        <v>12</v>
      </c>
      <c r="N24" s="17" t="s">
        <v>25</v>
      </c>
      <c r="O24" s="18">
        <f t="shared" si="0"/>
        <v>1</v>
      </c>
      <c r="P24" s="19">
        <f ca="1">YEAR(TODAY())+COUNTIF($M$1:M24,$K$2)</f>
        <v>2018</v>
      </c>
    </row>
    <row r="25" spans="1:16" x14ac:dyDescent="0.25">
      <c r="A25" s="3" t="s">
        <v>5</v>
      </c>
      <c r="B25" s="4">
        <v>224.22</v>
      </c>
      <c r="C25" s="5">
        <v>38345</v>
      </c>
      <c r="D25" s="20">
        <v>2005</v>
      </c>
      <c r="E25" s="20">
        <v>1</v>
      </c>
      <c r="F25" s="20"/>
      <c r="G25" s="20"/>
      <c r="H25" s="20"/>
    </row>
    <row r="26" spans="1:16" x14ac:dyDescent="0.25">
      <c r="A26" s="3" t="s">
        <v>0</v>
      </c>
      <c r="B26" s="4">
        <v>144.15</v>
      </c>
      <c r="C26" s="5">
        <v>38416</v>
      </c>
      <c r="D26" s="20">
        <v>2005</v>
      </c>
      <c r="E26" s="20">
        <v>2</v>
      </c>
      <c r="F26" s="20"/>
      <c r="G26" s="20"/>
      <c r="H26" s="20"/>
    </row>
    <row r="27" spans="1:16" x14ac:dyDescent="0.25">
      <c r="A27" s="3" t="s">
        <v>6</v>
      </c>
      <c r="B27" s="4">
        <v>24.67</v>
      </c>
      <c r="C27" s="5">
        <v>38487</v>
      </c>
      <c r="D27" s="20">
        <v>2005</v>
      </c>
      <c r="E27" s="20">
        <v>3</v>
      </c>
      <c r="F27" s="20"/>
      <c r="G27" s="20"/>
      <c r="H27" s="20"/>
    </row>
    <row r="28" spans="1:16" x14ac:dyDescent="0.25">
      <c r="A28" s="3" t="s">
        <v>0</v>
      </c>
      <c r="B28" s="4">
        <v>257.14</v>
      </c>
      <c r="C28" s="5">
        <v>38558</v>
      </c>
      <c r="D28" s="20">
        <v>2005</v>
      </c>
      <c r="E28" s="20">
        <v>4</v>
      </c>
      <c r="F28" s="20"/>
      <c r="G28" s="20"/>
      <c r="H28" s="20"/>
    </row>
    <row r="29" spans="1:16" x14ac:dyDescent="0.25">
      <c r="A29" s="3" t="s">
        <v>3</v>
      </c>
      <c r="B29" s="4">
        <v>18.13</v>
      </c>
      <c r="C29" s="5">
        <v>38629</v>
      </c>
      <c r="D29" s="20">
        <v>2006</v>
      </c>
      <c r="E29" s="20">
        <v>1</v>
      </c>
      <c r="F29" s="20"/>
      <c r="G29" s="20"/>
      <c r="H29" s="20"/>
    </row>
  </sheetData>
  <conditionalFormatting sqref="M1:P24">
    <cfRule type="expression" dxfId="0" priority="1">
      <formula>AND(ROW()&gt;=$K$2,ROW()&lt;$K$2+12)</formula>
    </cfRule>
  </conditionalFormatting>
  <dataValidations count="1">
    <dataValidation type="list" allowBlank="1" showInputMessage="1" showErrorMessage="1" error="Not a valid month!" sqref="K2">
      <formula1>$M$1:$M$12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FiscalYear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Verschuuren</dc:creator>
  <cp:lastModifiedBy>Gerry</cp:lastModifiedBy>
  <dcterms:created xsi:type="dcterms:W3CDTF">2001-10-25T11:26:22Z</dcterms:created>
  <dcterms:modified xsi:type="dcterms:W3CDTF">2016-11-12T12:58:51Z</dcterms:modified>
</cp:coreProperties>
</file>