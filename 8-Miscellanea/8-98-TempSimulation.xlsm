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8-Miscellanea\"/>
    </mc:Choice>
  </mc:AlternateContent>
  <bookViews>
    <workbookView xWindow="0" yWindow="0" windowWidth="24000" windowHeight="11025"/>
  </bookViews>
  <sheets>
    <sheet name="Temps" sheetId="1" r:id="rId1"/>
  </sheets>
  <externalReferences>
    <externalReference r:id="rId2"/>
    <externalReference r:id="rId3"/>
  </externalReferences>
  <definedNames>
    <definedName name="C_">#REF!</definedName>
    <definedName name="count">[1]Formulas!$P$2</definedName>
    <definedName name="countnew">'[1]Formulas (2)'!$P$2</definedName>
    <definedName name="Hb">#REF!</definedName>
    <definedName name="L_">#REF!</definedName>
    <definedName name="Oxygen">#REF!</definedName>
    <definedName name="Pressures">#REF!</definedName>
    <definedName name="q_t_">#REF!</definedName>
    <definedName name="q0">#REF!</definedName>
    <definedName name="R_">#REF!</definedName>
    <definedName name="SE">[1]Formulas!$P$6</definedName>
    <definedName name="SEnew">'[1]Formulas (2)'!$P$6</definedName>
    <definedName name="signif">0.05</definedName>
    <definedName name="SSxx">[1]Formulas!$P$4</definedName>
    <definedName name="SSxxNew">'[1]Formulas (2)'!$P$4</definedName>
    <definedName name="t_">#REF!</definedName>
    <definedName name="Table">OFFSET([2]StockMarket!$A$1,0,0,COUNTA([2]StockMarket!$A:$A),COUNTA([2]StockMarket!$1:$1))</definedName>
    <definedName name="tVal">[1]Formulas!$P$5</definedName>
    <definedName name="tVal1">'[1]Formulas (2)'!$P$5</definedName>
    <definedName name="Xmean">[1]Formulas!$P$3</definedName>
    <definedName name="Xmeannew">'[1]Formulas (2)'!$P$3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2" i="1"/>
  <c r="F6" i="1" l="1"/>
  <c r="F45" i="1"/>
  <c r="F13" i="1"/>
  <c r="F44" i="1"/>
  <c r="F12" i="1"/>
  <c r="F31" i="1"/>
  <c r="E46" i="1"/>
  <c r="E30" i="1"/>
  <c r="E29" i="1"/>
  <c r="E55" i="1"/>
  <c r="D2" i="1"/>
  <c r="F2" i="1" s="1"/>
  <c r="D6" i="1"/>
  <c r="D10" i="1"/>
  <c r="F10" i="1" s="1"/>
  <c r="D14" i="1"/>
  <c r="F14" i="1" s="1"/>
  <c r="D18" i="1"/>
  <c r="F18" i="1" s="1"/>
  <c r="D22" i="1"/>
  <c r="F22" i="1" s="1"/>
  <c r="D26" i="1"/>
  <c r="F26" i="1" s="1"/>
  <c r="D30" i="1"/>
  <c r="F30" i="1" s="1"/>
  <c r="D34" i="1"/>
  <c r="F34" i="1" s="1"/>
  <c r="D38" i="1"/>
  <c r="F38" i="1" s="1"/>
  <c r="D42" i="1"/>
  <c r="F42" i="1" s="1"/>
  <c r="D46" i="1"/>
  <c r="F46" i="1" s="1"/>
  <c r="D50" i="1"/>
  <c r="F50" i="1" s="1"/>
  <c r="D62" i="1"/>
  <c r="F62" i="1" s="1"/>
  <c r="D7" i="1"/>
  <c r="F7" i="1" s="1"/>
  <c r="D11" i="1"/>
  <c r="F11" i="1" s="1"/>
  <c r="D19" i="1"/>
  <c r="F19" i="1" s="1"/>
  <c r="D27" i="1"/>
  <c r="F27" i="1" s="1"/>
  <c r="D35" i="1"/>
  <c r="F35" i="1" s="1"/>
  <c r="D43" i="1"/>
  <c r="F43" i="1" s="1"/>
  <c r="D51" i="1"/>
  <c r="F51" i="1" s="1"/>
  <c r="D59" i="1"/>
  <c r="F59" i="1" s="1"/>
  <c r="D4" i="1"/>
  <c r="F4" i="1" s="1"/>
  <c r="D8" i="1"/>
  <c r="F8" i="1" s="1"/>
  <c r="D12" i="1"/>
  <c r="D16" i="1"/>
  <c r="F16" i="1" s="1"/>
  <c r="D20" i="1"/>
  <c r="F20" i="1" s="1"/>
  <c r="D24" i="1"/>
  <c r="F24" i="1" s="1"/>
  <c r="D28" i="1"/>
  <c r="F28" i="1" s="1"/>
  <c r="D32" i="1"/>
  <c r="F32" i="1" s="1"/>
  <c r="D36" i="1"/>
  <c r="F36" i="1" s="1"/>
  <c r="D40" i="1"/>
  <c r="F40" i="1" s="1"/>
  <c r="D44" i="1"/>
  <c r="D48" i="1"/>
  <c r="F48" i="1" s="1"/>
  <c r="D52" i="1"/>
  <c r="F52" i="1" s="1"/>
  <c r="D56" i="1"/>
  <c r="F56" i="1" s="1"/>
  <c r="D60" i="1"/>
  <c r="F60" i="1" s="1"/>
  <c r="D64" i="1"/>
  <c r="F64" i="1" s="1"/>
  <c r="D5" i="1"/>
  <c r="F5" i="1" s="1"/>
  <c r="D9" i="1"/>
  <c r="F9" i="1" s="1"/>
  <c r="D13" i="1"/>
  <c r="D17" i="1"/>
  <c r="F17" i="1" s="1"/>
  <c r="D21" i="1"/>
  <c r="F21" i="1" s="1"/>
  <c r="D25" i="1"/>
  <c r="F25" i="1" s="1"/>
  <c r="D29" i="1"/>
  <c r="F29" i="1" s="1"/>
  <c r="D33" i="1"/>
  <c r="F33" i="1" s="1"/>
  <c r="D37" i="1"/>
  <c r="F37" i="1" s="1"/>
  <c r="D41" i="1"/>
  <c r="F41" i="1" s="1"/>
  <c r="D45" i="1"/>
  <c r="D49" i="1"/>
  <c r="F49" i="1" s="1"/>
  <c r="D53" i="1"/>
  <c r="F53" i="1" s="1"/>
  <c r="D57" i="1"/>
  <c r="F57" i="1" s="1"/>
  <c r="D61" i="1"/>
  <c r="F61" i="1" s="1"/>
  <c r="D65" i="1"/>
  <c r="F65" i="1" s="1"/>
  <c r="D54" i="1"/>
  <c r="F54" i="1" s="1"/>
  <c r="D58" i="1"/>
  <c r="F58" i="1" s="1"/>
  <c r="D66" i="1"/>
  <c r="F66" i="1" s="1"/>
  <c r="D3" i="1"/>
  <c r="F3" i="1" s="1"/>
  <c r="D15" i="1"/>
  <c r="F15" i="1" s="1"/>
  <c r="D23" i="1"/>
  <c r="F23" i="1" s="1"/>
  <c r="D31" i="1"/>
  <c r="D39" i="1"/>
  <c r="F39" i="1" s="1"/>
  <c r="D47" i="1"/>
  <c r="F47" i="1" s="1"/>
  <c r="D55" i="1"/>
  <c r="F55" i="1" s="1"/>
  <c r="D63" i="1"/>
  <c r="F63" i="1" s="1"/>
  <c r="C2" i="1"/>
  <c r="E2" i="1" s="1"/>
  <c r="C6" i="1"/>
  <c r="E6" i="1" s="1"/>
  <c r="C10" i="1"/>
  <c r="E10" i="1" s="1"/>
  <c r="C14" i="1"/>
  <c r="E14" i="1" s="1"/>
  <c r="C18" i="1"/>
  <c r="E18" i="1" s="1"/>
  <c r="C22" i="1"/>
  <c r="E22" i="1" s="1"/>
  <c r="C26" i="1"/>
  <c r="E26" i="1" s="1"/>
  <c r="C30" i="1"/>
  <c r="C34" i="1"/>
  <c r="E34" i="1" s="1"/>
  <c r="C38" i="1"/>
  <c r="E38" i="1" s="1"/>
  <c r="C42" i="1"/>
  <c r="E42" i="1" s="1"/>
  <c r="C46" i="1"/>
  <c r="C50" i="1"/>
  <c r="E50" i="1" s="1"/>
  <c r="C54" i="1"/>
  <c r="E54" i="1" s="1"/>
  <c r="C58" i="1"/>
  <c r="E58" i="1" s="1"/>
  <c r="C62" i="1"/>
  <c r="E62" i="1" s="1"/>
  <c r="C66" i="1"/>
  <c r="E66" i="1" s="1"/>
  <c r="C3" i="1"/>
  <c r="E3" i="1" s="1"/>
  <c r="C7" i="1"/>
  <c r="E7" i="1" s="1"/>
  <c r="C11" i="1"/>
  <c r="E11" i="1" s="1"/>
  <c r="C15" i="1"/>
  <c r="E15" i="1" s="1"/>
  <c r="C19" i="1"/>
  <c r="E19" i="1" s="1"/>
  <c r="C23" i="1"/>
  <c r="E23" i="1" s="1"/>
  <c r="C27" i="1"/>
  <c r="E27" i="1" s="1"/>
  <c r="C31" i="1"/>
  <c r="E31" i="1" s="1"/>
  <c r="C39" i="1"/>
  <c r="E39" i="1" s="1"/>
  <c r="C47" i="1"/>
  <c r="E47" i="1" s="1"/>
  <c r="C55" i="1"/>
  <c r="C63" i="1"/>
  <c r="E63" i="1" s="1"/>
  <c r="C4" i="1"/>
  <c r="E4" i="1" s="1"/>
  <c r="C8" i="1"/>
  <c r="E8" i="1" s="1"/>
  <c r="C12" i="1"/>
  <c r="E12" i="1" s="1"/>
  <c r="C16" i="1"/>
  <c r="E16" i="1" s="1"/>
  <c r="C20" i="1"/>
  <c r="E20" i="1" s="1"/>
  <c r="C24" i="1"/>
  <c r="E24" i="1" s="1"/>
  <c r="C28" i="1"/>
  <c r="E28" i="1" s="1"/>
  <c r="C32" i="1"/>
  <c r="E32" i="1" s="1"/>
  <c r="C36" i="1"/>
  <c r="E36" i="1" s="1"/>
  <c r="C40" i="1"/>
  <c r="E40" i="1" s="1"/>
  <c r="C44" i="1"/>
  <c r="E44" i="1" s="1"/>
  <c r="C48" i="1"/>
  <c r="E48" i="1" s="1"/>
  <c r="C52" i="1"/>
  <c r="E52" i="1" s="1"/>
  <c r="C56" i="1"/>
  <c r="E56" i="1" s="1"/>
  <c r="C60" i="1"/>
  <c r="E60" i="1" s="1"/>
  <c r="C64" i="1"/>
  <c r="E64" i="1" s="1"/>
  <c r="C5" i="1"/>
  <c r="E5" i="1" s="1"/>
  <c r="C9" i="1"/>
  <c r="E9" i="1" s="1"/>
  <c r="C13" i="1"/>
  <c r="E13" i="1" s="1"/>
  <c r="C17" i="1"/>
  <c r="E17" i="1" s="1"/>
  <c r="C21" i="1"/>
  <c r="E21" i="1" s="1"/>
  <c r="C25" i="1"/>
  <c r="E25" i="1" s="1"/>
  <c r="C29" i="1"/>
  <c r="C33" i="1"/>
  <c r="E33" i="1" s="1"/>
  <c r="C37" i="1"/>
  <c r="E37" i="1" s="1"/>
  <c r="C41" i="1"/>
  <c r="E41" i="1" s="1"/>
  <c r="C45" i="1"/>
  <c r="E45" i="1" s="1"/>
  <c r="C49" i="1"/>
  <c r="E49" i="1" s="1"/>
  <c r="C53" i="1"/>
  <c r="E53" i="1" s="1"/>
  <c r="C57" i="1"/>
  <c r="E57" i="1" s="1"/>
  <c r="C61" i="1"/>
  <c r="E61" i="1" s="1"/>
  <c r="C65" i="1"/>
  <c r="E65" i="1" s="1"/>
  <c r="C35" i="1"/>
  <c r="E35" i="1" s="1"/>
  <c r="C43" i="1"/>
  <c r="E43" i="1" s="1"/>
  <c r="C51" i="1"/>
  <c r="E51" i="1" s="1"/>
  <c r="C59" i="1"/>
  <c r="E59" i="1" s="1"/>
</calcChain>
</file>

<file path=xl/sharedStrings.xml><?xml version="1.0" encoding="utf-8"?>
<sst xmlns="http://schemas.openxmlformats.org/spreadsheetml/2006/main" count="2" uniqueCount="2">
  <si>
    <t>year</t>
  </si>
  <si>
    <r>
      <t>temp in F</t>
    </r>
    <r>
      <rPr>
        <vertAlign val="superscript"/>
        <sz val="11"/>
        <color theme="1"/>
        <rFont val="Calibri"/>
        <family val="2"/>
        <scheme val="minor"/>
      </rPr>
      <t>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</si>
</sst>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7">
    <xf numFmtId="0" fontId="0" fillId="0" borderId="0" xfId="0"/>
    <xf numFmtId="0" fontId="0" fillId="0" borderId="0" xfId="0" applyProtection="1">
      <protection locked="0"/>
    </xf>
    <xf numFmtId="9" fontId="3" fillId="0" borderId="0" xfId="0" applyNumberFormat="1" applyFont="1" applyProtection="1"/>
    <xf numFmtId="0" fontId="3" fillId="0" borderId="0" xfId="0" applyFont="1" applyProtection="1"/>
    <xf numFmtId="2" fontId="3" fillId="0" borderId="0" xfId="0" applyNumberFormat="1" applyFont="1" applyProtection="1"/>
    <xf numFmtId="0" fontId="0" fillId="0" borderId="0" xfId="0" applyProtection="1"/>
    <xf numFmtId="2" fontId="0" fillId="0" borderId="0" xfId="0" applyNumberFormat="1" applyProtection="1"/>
  </cellXfs>
  <cellStyles count="2">
    <cellStyle name="Normal" xfId="0" builtinId="0"/>
    <cellStyle name="Normal 2 3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Temps!$B$1</c:f>
              <c:strCache>
                <c:ptCount val="1"/>
                <c:pt idx="0">
                  <c:v>temp in Fo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Temps!$A$2:$A$66</c:f>
              <c:numCache>
                <c:formatCode>General</c:formatCode>
                <c:ptCount val="65"/>
                <c:pt idx="0">
                  <c:v>1950</c:v>
                </c:pt>
                <c:pt idx="1">
                  <c:v>1951</c:v>
                </c:pt>
                <c:pt idx="2">
                  <c:v>1952</c:v>
                </c:pt>
                <c:pt idx="3">
                  <c:v>1953</c:v>
                </c:pt>
                <c:pt idx="4">
                  <c:v>1954</c:v>
                </c:pt>
                <c:pt idx="5">
                  <c:v>1955</c:v>
                </c:pt>
                <c:pt idx="6">
                  <c:v>1956</c:v>
                </c:pt>
                <c:pt idx="7">
                  <c:v>1957</c:v>
                </c:pt>
                <c:pt idx="8">
                  <c:v>1958</c:v>
                </c:pt>
                <c:pt idx="9">
                  <c:v>1959</c:v>
                </c:pt>
                <c:pt idx="10">
                  <c:v>1960</c:v>
                </c:pt>
                <c:pt idx="11">
                  <c:v>1961</c:v>
                </c:pt>
                <c:pt idx="12">
                  <c:v>1962</c:v>
                </c:pt>
                <c:pt idx="13">
                  <c:v>1963</c:v>
                </c:pt>
                <c:pt idx="14">
                  <c:v>1964</c:v>
                </c:pt>
                <c:pt idx="15">
                  <c:v>1965</c:v>
                </c:pt>
                <c:pt idx="16">
                  <c:v>1966</c:v>
                </c:pt>
                <c:pt idx="17">
                  <c:v>1967</c:v>
                </c:pt>
                <c:pt idx="18">
                  <c:v>1968</c:v>
                </c:pt>
                <c:pt idx="19">
                  <c:v>1969</c:v>
                </c:pt>
                <c:pt idx="20">
                  <c:v>1970</c:v>
                </c:pt>
                <c:pt idx="21">
                  <c:v>1971</c:v>
                </c:pt>
                <c:pt idx="22">
                  <c:v>1972</c:v>
                </c:pt>
                <c:pt idx="23">
                  <c:v>1973</c:v>
                </c:pt>
                <c:pt idx="24">
                  <c:v>1974</c:v>
                </c:pt>
                <c:pt idx="25">
                  <c:v>1975</c:v>
                </c:pt>
                <c:pt idx="26">
                  <c:v>1976</c:v>
                </c:pt>
                <c:pt idx="27">
                  <c:v>1977</c:v>
                </c:pt>
                <c:pt idx="28">
                  <c:v>1978</c:v>
                </c:pt>
                <c:pt idx="29">
                  <c:v>1979</c:v>
                </c:pt>
                <c:pt idx="30">
                  <c:v>1980</c:v>
                </c:pt>
                <c:pt idx="31">
                  <c:v>1981</c:v>
                </c:pt>
                <c:pt idx="32">
                  <c:v>1982</c:v>
                </c:pt>
                <c:pt idx="33">
                  <c:v>1983</c:v>
                </c:pt>
                <c:pt idx="34">
                  <c:v>1984</c:v>
                </c:pt>
                <c:pt idx="35">
                  <c:v>1985</c:v>
                </c:pt>
                <c:pt idx="36">
                  <c:v>1986</c:v>
                </c:pt>
                <c:pt idx="37">
                  <c:v>1987</c:v>
                </c:pt>
                <c:pt idx="38">
                  <c:v>1988</c:v>
                </c:pt>
                <c:pt idx="39">
                  <c:v>1989</c:v>
                </c:pt>
                <c:pt idx="40">
                  <c:v>1990</c:v>
                </c:pt>
                <c:pt idx="41">
                  <c:v>1991</c:v>
                </c:pt>
                <c:pt idx="42">
                  <c:v>1992</c:v>
                </c:pt>
                <c:pt idx="43">
                  <c:v>1993</c:v>
                </c:pt>
                <c:pt idx="44">
                  <c:v>1994</c:v>
                </c:pt>
                <c:pt idx="45">
                  <c:v>1995</c:v>
                </c:pt>
                <c:pt idx="46">
                  <c:v>1996</c:v>
                </c:pt>
                <c:pt idx="47">
                  <c:v>1997</c:v>
                </c:pt>
                <c:pt idx="48">
                  <c:v>1998</c:v>
                </c:pt>
                <c:pt idx="49">
                  <c:v>1999</c:v>
                </c:pt>
                <c:pt idx="50">
                  <c:v>2000</c:v>
                </c:pt>
                <c:pt idx="51">
                  <c:v>2001</c:v>
                </c:pt>
                <c:pt idx="52">
                  <c:v>2002</c:v>
                </c:pt>
                <c:pt idx="53">
                  <c:v>2003</c:v>
                </c:pt>
                <c:pt idx="54">
                  <c:v>2004</c:v>
                </c:pt>
                <c:pt idx="55">
                  <c:v>2005</c:v>
                </c:pt>
                <c:pt idx="56">
                  <c:v>2006</c:v>
                </c:pt>
                <c:pt idx="57">
                  <c:v>2007</c:v>
                </c:pt>
                <c:pt idx="58">
                  <c:v>2008</c:v>
                </c:pt>
                <c:pt idx="59">
                  <c:v>2009</c:v>
                </c:pt>
                <c:pt idx="60">
                  <c:v>2010</c:v>
                </c:pt>
                <c:pt idx="61">
                  <c:v>2011</c:v>
                </c:pt>
                <c:pt idx="62">
                  <c:v>2012</c:v>
                </c:pt>
                <c:pt idx="63">
                  <c:v>2013</c:v>
                </c:pt>
                <c:pt idx="64">
                  <c:v>2014</c:v>
                </c:pt>
              </c:numCache>
            </c:numRef>
          </c:cat>
          <c:val>
            <c:numRef>
              <c:f>Temps!$B$2:$B$66</c:f>
              <c:numCache>
                <c:formatCode>0.00</c:formatCode>
                <c:ptCount val="65"/>
                <c:pt idx="0">
                  <c:v>60.247068052945849</c:v>
                </c:pt>
                <c:pt idx="1">
                  <c:v>53.933885404013033</c:v>
                </c:pt>
                <c:pt idx="2">
                  <c:v>61.1670191139523</c:v>
                </c:pt>
                <c:pt idx="3">
                  <c:v>71.518445530879916</c:v>
                </c:pt>
                <c:pt idx="4">
                  <c:v>70.112260773560848</c:v>
                </c:pt>
                <c:pt idx="5">
                  <c:v>74.336604657160109</c:v>
                </c:pt>
                <c:pt idx="6">
                  <c:v>71.978958085188282</c:v>
                </c:pt>
                <c:pt idx="7">
                  <c:v>50.857213220286589</c:v>
                </c:pt>
                <c:pt idx="8">
                  <c:v>59.956858859682079</c:v>
                </c:pt>
                <c:pt idx="9">
                  <c:v>75.73768328367558</c:v>
                </c:pt>
                <c:pt idx="10">
                  <c:v>52.199411218559852</c:v>
                </c:pt>
                <c:pt idx="11">
                  <c:v>74.29921875296327</c:v>
                </c:pt>
                <c:pt idx="12">
                  <c:v>70.067973586132183</c:v>
                </c:pt>
                <c:pt idx="13">
                  <c:v>59.297203575511347</c:v>
                </c:pt>
                <c:pt idx="14">
                  <c:v>55.196007549671528</c:v>
                </c:pt>
                <c:pt idx="15">
                  <c:v>78.164058422211681</c:v>
                </c:pt>
                <c:pt idx="16">
                  <c:v>62.167697568533093</c:v>
                </c:pt>
                <c:pt idx="17">
                  <c:v>60.754084957368804</c:v>
                </c:pt>
                <c:pt idx="18">
                  <c:v>63.691028771107803</c:v>
                </c:pt>
                <c:pt idx="19">
                  <c:v>88.221767783250186</c:v>
                </c:pt>
                <c:pt idx="20">
                  <c:v>81.662064479507407</c:v>
                </c:pt>
                <c:pt idx="21">
                  <c:v>67.232487190931238</c:v>
                </c:pt>
                <c:pt idx="22">
                  <c:v>64.473586828414156</c:v>
                </c:pt>
                <c:pt idx="23">
                  <c:v>89.053331860786869</c:v>
                </c:pt>
                <c:pt idx="24">
                  <c:v>77.844276579763346</c:v>
                </c:pt>
                <c:pt idx="25">
                  <c:v>78.289616422361817</c:v>
                </c:pt>
                <c:pt idx="26">
                  <c:v>62.788147530914877</c:v>
                </c:pt>
                <c:pt idx="27">
                  <c:v>58.09820270893195</c:v>
                </c:pt>
                <c:pt idx="28">
                  <c:v>65.555889048154981</c:v>
                </c:pt>
                <c:pt idx="29">
                  <c:v>55.640515269139229</c:v>
                </c:pt>
                <c:pt idx="30">
                  <c:v>61.855868308212841</c:v>
                </c:pt>
                <c:pt idx="31">
                  <c:v>63.987386383918263</c:v>
                </c:pt>
                <c:pt idx="32">
                  <c:v>56.987091303236681</c:v>
                </c:pt>
                <c:pt idx="33">
                  <c:v>76.149784619769264</c:v>
                </c:pt>
                <c:pt idx="34">
                  <c:v>64.560245982670708</c:v>
                </c:pt>
                <c:pt idx="35">
                  <c:v>61.22630173353518</c:v>
                </c:pt>
                <c:pt idx="36">
                  <c:v>59.69832208872041</c:v>
                </c:pt>
                <c:pt idx="37">
                  <c:v>74.79637089490268</c:v>
                </c:pt>
                <c:pt idx="38">
                  <c:v>78.338736246235399</c:v>
                </c:pt>
                <c:pt idx="39">
                  <c:v>61.529472766849082</c:v>
                </c:pt>
                <c:pt idx="40">
                  <c:v>60.277333146490555</c:v>
                </c:pt>
                <c:pt idx="41">
                  <c:v>58.069678103102085</c:v>
                </c:pt>
                <c:pt idx="42">
                  <c:v>65.125702085482104</c:v>
                </c:pt>
                <c:pt idx="43">
                  <c:v>55.306847214888727</c:v>
                </c:pt>
                <c:pt idx="44">
                  <c:v>65.774599098947448</c:v>
                </c:pt>
                <c:pt idx="45">
                  <c:v>62.106760256197006</c:v>
                </c:pt>
                <c:pt idx="46">
                  <c:v>77.489348459240745</c:v>
                </c:pt>
                <c:pt idx="47">
                  <c:v>72.590014552920266</c:v>
                </c:pt>
                <c:pt idx="48">
                  <c:v>78.220311393361243</c:v>
                </c:pt>
                <c:pt idx="49">
                  <c:v>57.222729472048691</c:v>
                </c:pt>
                <c:pt idx="50">
                  <c:v>76.012088413214741</c:v>
                </c:pt>
                <c:pt idx="51">
                  <c:v>50.594002828643127</c:v>
                </c:pt>
                <c:pt idx="52">
                  <c:v>72.372562911898129</c:v>
                </c:pt>
                <c:pt idx="53">
                  <c:v>86.786470371003418</c:v>
                </c:pt>
                <c:pt idx="54">
                  <c:v>58.558286905703724</c:v>
                </c:pt>
                <c:pt idx="55">
                  <c:v>52.594766590054036</c:v>
                </c:pt>
                <c:pt idx="56">
                  <c:v>48.167587437657772</c:v>
                </c:pt>
                <c:pt idx="57">
                  <c:v>63.190618323211808</c:v>
                </c:pt>
                <c:pt idx="58">
                  <c:v>49.790907308637031</c:v>
                </c:pt>
                <c:pt idx="59">
                  <c:v>65.571731016673141</c:v>
                </c:pt>
                <c:pt idx="60">
                  <c:v>58.018722620019176</c:v>
                </c:pt>
                <c:pt idx="61">
                  <c:v>67.175757637786404</c:v>
                </c:pt>
                <c:pt idx="62">
                  <c:v>56.210627488489656</c:v>
                </c:pt>
                <c:pt idx="63">
                  <c:v>62.114330990706002</c:v>
                </c:pt>
                <c:pt idx="64">
                  <c:v>68.827192209906329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Temps!$C$2:$C$66</c:f>
              <c:numCache>
                <c:formatCode>0.00</c:formatCode>
                <c:ptCount val="65"/>
                <c:pt idx="0">
                  <c:v>80.997398832852994</c:v>
                </c:pt>
                <c:pt idx="1">
                  <c:v>80.997398832852994</c:v>
                </c:pt>
                <c:pt idx="2">
                  <c:v>80.997398832852994</c:v>
                </c:pt>
                <c:pt idx="3">
                  <c:v>80.997398832852994</c:v>
                </c:pt>
                <c:pt idx="4">
                  <c:v>80.997398832852994</c:v>
                </c:pt>
                <c:pt idx="5">
                  <c:v>80.997398832852994</c:v>
                </c:pt>
                <c:pt idx="6">
                  <c:v>80.997398832852994</c:v>
                </c:pt>
                <c:pt idx="7">
                  <c:v>80.997398832852994</c:v>
                </c:pt>
                <c:pt idx="8">
                  <c:v>80.997398832852994</c:v>
                </c:pt>
                <c:pt idx="9">
                  <c:v>80.997398832852994</c:v>
                </c:pt>
                <c:pt idx="10">
                  <c:v>80.997398832852994</c:v>
                </c:pt>
                <c:pt idx="11">
                  <c:v>80.997398832852994</c:v>
                </c:pt>
                <c:pt idx="12">
                  <c:v>80.997398832852994</c:v>
                </c:pt>
                <c:pt idx="13">
                  <c:v>80.997398832852994</c:v>
                </c:pt>
                <c:pt idx="14">
                  <c:v>80.997398832852994</c:v>
                </c:pt>
                <c:pt idx="15">
                  <c:v>80.997398832852994</c:v>
                </c:pt>
                <c:pt idx="16">
                  <c:v>80.997398832852994</c:v>
                </c:pt>
                <c:pt idx="17">
                  <c:v>80.997398832852994</c:v>
                </c:pt>
                <c:pt idx="18">
                  <c:v>80.997398832852994</c:v>
                </c:pt>
                <c:pt idx="19">
                  <c:v>80.997398832852994</c:v>
                </c:pt>
                <c:pt idx="20">
                  <c:v>80.997398832852994</c:v>
                </c:pt>
                <c:pt idx="21">
                  <c:v>80.997398832852994</c:v>
                </c:pt>
                <c:pt idx="22">
                  <c:v>80.997398832852994</c:v>
                </c:pt>
                <c:pt idx="23">
                  <c:v>80.997398832852994</c:v>
                </c:pt>
                <c:pt idx="24">
                  <c:v>80.997398832852994</c:v>
                </c:pt>
                <c:pt idx="25">
                  <c:v>80.997398832852994</c:v>
                </c:pt>
                <c:pt idx="26">
                  <c:v>80.997398832852994</c:v>
                </c:pt>
                <c:pt idx="27">
                  <c:v>80.997398832852994</c:v>
                </c:pt>
                <c:pt idx="28">
                  <c:v>80.997398832852994</c:v>
                </c:pt>
                <c:pt idx="29">
                  <c:v>80.997398832852994</c:v>
                </c:pt>
                <c:pt idx="30">
                  <c:v>80.997398832852994</c:v>
                </c:pt>
                <c:pt idx="31">
                  <c:v>80.997398832852994</c:v>
                </c:pt>
                <c:pt idx="32">
                  <c:v>80.997398832852994</c:v>
                </c:pt>
                <c:pt idx="33">
                  <c:v>80.997398832852994</c:v>
                </c:pt>
                <c:pt idx="34">
                  <c:v>80.997398832852994</c:v>
                </c:pt>
                <c:pt idx="35">
                  <c:v>80.997398832852994</c:v>
                </c:pt>
                <c:pt idx="36">
                  <c:v>80.997398832852994</c:v>
                </c:pt>
                <c:pt idx="37">
                  <c:v>80.997398832852994</c:v>
                </c:pt>
                <c:pt idx="38">
                  <c:v>80.997398832852994</c:v>
                </c:pt>
                <c:pt idx="39">
                  <c:v>80.997398832852994</c:v>
                </c:pt>
                <c:pt idx="40">
                  <c:v>80.997398832852994</c:v>
                </c:pt>
                <c:pt idx="41">
                  <c:v>80.997398832852994</c:v>
                </c:pt>
                <c:pt idx="42">
                  <c:v>80.997398832852994</c:v>
                </c:pt>
                <c:pt idx="43">
                  <c:v>80.997398832852994</c:v>
                </c:pt>
                <c:pt idx="44">
                  <c:v>80.997398832852994</c:v>
                </c:pt>
                <c:pt idx="45">
                  <c:v>80.997398832852994</c:v>
                </c:pt>
                <c:pt idx="46">
                  <c:v>80.997398832852994</c:v>
                </c:pt>
                <c:pt idx="47">
                  <c:v>80.997398832852994</c:v>
                </c:pt>
                <c:pt idx="48">
                  <c:v>80.997398832852994</c:v>
                </c:pt>
                <c:pt idx="49">
                  <c:v>80.997398832852994</c:v>
                </c:pt>
                <c:pt idx="50">
                  <c:v>80.997398832852994</c:v>
                </c:pt>
                <c:pt idx="51">
                  <c:v>80.997398832852994</c:v>
                </c:pt>
                <c:pt idx="52">
                  <c:v>80.997398832852994</c:v>
                </c:pt>
                <c:pt idx="53">
                  <c:v>80.997398832852994</c:v>
                </c:pt>
                <c:pt idx="54">
                  <c:v>80.997398832852994</c:v>
                </c:pt>
                <c:pt idx="55">
                  <c:v>80.997398832852994</c:v>
                </c:pt>
                <c:pt idx="56">
                  <c:v>80.997398832852994</c:v>
                </c:pt>
                <c:pt idx="57">
                  <c:v>80.997398832852994</c:v>
                </c:pt>
                <c:pt idx="58">
                  <c:v>80.997398832852994</c:v>
                </c:pt>
                <c:pt idx="59">
                  <c:v>80.997398832852994</c:v>
                </c:pt>
                <c:pt idx="60">
                  <c:v>80.997398832852994</c:v>
                </c:pt>
                <c:pt idx="61">
                  <c:v>80.997398832852994</c:v>
                </c:pt>
                <c:pt idx="62">
                  <c:v>80.997398832852994</c:v>
                </c:pt>
                <c:pt idx="63">
                  <c:v>80.997398832852994</c:v>
                </c:pt>
                <c:pt idx="64">
                  <c:v>80.997398832852994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Temps!$D$2:$D$66</c:f>
              <c:numCache>
                <c:formatCode>0.00</c:formatCode>
                <c:ptCount val="65"/>
                <c:pt idx="0">
                  <c:v>51.125652819941244</c:v>
                </c:pt>
                <c:pt idx="1">
                  <c:v>51.125652819941244</c:v>
                </c:pt>
                <c:pt idx="2">
                  <c:v>51.125652819941244</c:v>
                </c:pt>
                <c:pt idx="3">
                  <c:v>51.125652819941244</c:v>
                </c:pt>
                <c:pt idx="4">
                  <c:v>51.125652819941244</c:v>
                </c:pt>
                <c:pt idx="5">
                  <c:v>51.125652819941244</c:v>
                </c:pt>
                <c:pt idx="6">
                  <c:v>51.125652819941244</c:v>
                </c:pt>
                <c:pt idx="7">
                  <c:v>51.125652819941244</c:v>
                </c:pt>
                <c:pt idx="8">
                  <c:v>51.125652819941244</c:v>
                </c:pt>
                <c:pt idx="9">
                  <c:v>51.125652819941244</c:v>
                </c:pt>
                <c:pt idx="10">
                  <c:v>51.125652819941244</c:v>
                </c:pt>
                <c:pt idx="11">
                  <c:v>51.125652819941244</c:v>
                </c:pt>
                <c:pt idx="12">
                  <c:v>51.125652819941244</c:v>
                </c:pt>
                <c:pt idx="13">
                  <c:v>51.125652819941244</c:v>
                </c:pt>
                <c:pt idx="14">
                  <c:v>51.125652819941244</c:v>
                </c:pt>
                <c:pt idx="15">
                  <c:v>51.125652819941244</c:v>
                </c:pt>
                <c:pt idx="16">
                  <c:v>51.125652819941244</c:v>
                </c:pt>
                <c:pt idx="17">
                  <c:v>51.125652819941244</c:v>
                </c:pt>
                <c:pt idx="18">
                  <c:v>51.125652819941244</c:v>
                </c:pt>
                <c:pt idx="19">
                  <c:v>51.125652819941244</c:v>
                </c:pt>
                <c:pt idx="20">
                  <c:v>51.125652819941244</c:v>
                </c:pt>
                <c:pt idx="21">
                  <c:v>51.125652819941244</c:v>
                </c:pt>
                <c:pt idx="22">
                  <c:v>51.125652819941244</c:v>
                </c:pt>
                <c:pt idx="23">
                  <c:v>51.125652819941244</c:v>
                </c:pt>
                <c:pt idx="24">
                  <c:v>51.125652819941244</c:v>
                </c:pt>
                <c:pt idx="25">
                  <c:v>51.125652819941244</c:v>
                </c:pt>
                <c:pt idx="26">
                  <c:v>51.125652819941244</c:v>
                </c:pt>
                <c:pt idx="27">
                  <c:v>51.125652819941244</c:v>
                </c:pt>
                <c:pt idx="28">
                  <c:v>51.125652819941244</c:v>
                </c:pt>
                <c:pt idx="29">
                  <c:v>51.125652819941244</c:v>
                </c:pt>
                <c:pt idx="30">
                  <c:v>51.125652819941244</c:v>
                </c:pt>
                <c:pt idx="31">
                  <c:v>51.125652819941244</c:v>
                </c:pt>
                <c:pt idx="32">
                  <c:v>51.125652819941244</c:v>
                </c:pt>
                <c:pt idx="33">
                  <c:v>51.125652819941244</c:v>
                </c:pt>
                <c:pt idx="34">
                  <c:v>51.125652819941244</c:v>
                </c:pt>
                <c:pt idx="35">
                  <c:v>51.125652819941244</c:v>
                </c:pt>
                <c:pt idx="36">
                  <c:v>51.125652819941244</c:v>
                </c:pt>
                <c:pt idx="37">
                  <c:v>51.125652819941244</c:v>
                </c:pt>
                <c:pt idx="38">
                  <c:v>51.125652819941244</c:v>
                </c:pt>
                <c:pt idx="39">
                  <c:v>51.125652819941244</c:v>
                </c:pt>
                <c:pt idx="40">
                  <c:v>51.125652819941244</c:v>
                </c:pt>
                <c:pt idx="41">
                  <c:v>51.125652819941244</c:v>
                </c:pt>
                <c:pt idx="42">
                  <c:v>51.125652819941244</c:v>
                </c:pt>
                <c:pt idx="43">
                  <c:v>51.125652819941244</c:v>
                </c:pt>
                <c:pt idx="44">
                  <c:v>51.125652819941244</c:v>
                </c:pt>
                <c:pt idx="45">
                  <c:v>51.125652819941244</c:v>
                </c:pt>
                <c:pt idx="46">
                  <c:v>51.125652819941244</c:v>
                </c:pt>
                <c:pt idx="47">
                  <c:v>51.125652819941244</c:v>
                </c:pt>
                <c:pt idx="48">
                  <c:v>51.125652819941244</c:v>
                </c:pt>
                <c:pt idx="49">
                  <c:v>51.125652819941244</c:v>
                </c:pt>
                <c:pt idx="50">
                  <c:v>51.125652819941244</c:v>
                </c:pt>
                <c:pt idx="51">
                  <c:v>51.125652819941244</c:v>
                </c:pt>
                <c:pt idx="52">
                  <c:v>51.125652819941244</c:v>
                </c:pt>
                <c:pt idx="53">
                  <c:v>51.125652819941244</c:v>
                </c:pt>
                <c:pt idx="54">
                  <c:v>51.125652819941244</c:v>
                </c:pt>
                <c:pt idx="55">
                  <c:v>51.125652819941244</c:v>
                </c:pt>
                <c:pt idx="56">
                  <c:v>51.125652819941244</c:v>
                </c:pt>
                <c:pt idx="57">
                  <c:v>51.125652819941244</c:v>
                </c:pt>
                <c:pt idx="58">
                  <c:v>51.125652819941244</c:v>
                </c:pt>
                <c:pt idx="59">
                  <c:v>51.125652819941244</c:v>
                </c:pt>
                <c:pt idx="60">
                  <c:v>51.125652819941244</c:v>
                </c:pt>
                <c:pt idx="61">
                  <c:v>51.125652819941244</c:v>
                </c:pt>
                <c:pt idx="62">
                  <c:v>51.125652819941244</c:v>
                </c:pt>
                <c:pt idx="63">
                  <c:v>51.125652819941244</c:v>
                </c:pt>
                <c:pt idx="64">
                  <c:v>51.125652819941244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val>
            <c:numRef>
              <c:f>Temps!$E$2:$E$66</c:f>
              <c:numCache>
                <c:formatCode>General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88.221767783250186</c:v>
                </c:pt>
                <c:pt idx="20">
                  <c:v>81.662064479507407</c:v>
                </c:pt>
                <c:pt idx="21">
                  <c:v>#N/A</c:v>
                </c:pt>
                <c:pt idx="22">
                  <c:v>#N/A</c:v>
                </c:pt>
                <c:pt idx="23">
                  <c:v>89.053331860786869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86.786470371003418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</c:numCache>
            </c:numRef>
          </c:val>
          <c:smooth val="0"/>
        </c:ser>
        <c:ser>
          <c:idx val="4"/>
          <c:order val="4"/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val>
            <c:numRef>
              <c:f>Temps!$F$2:$F$66</c:f>
              <c:numCache>
                <c:formatCode>General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50.857213220286589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50.594002828643127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48.167587437657772</c:v>
                </c:pt>
                <c:pt idx="57">
                  <c:v>#N/A</c:v>
                </c:pt>
                <c:pt idx="58">
                  <c:v>49.790907308637031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746640"/>
        <c:axId val="293747200"/>
      </c:lineChart>
      <c:catAx>
        <c:axId val="29374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43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747200"/>
        <c:crosses val="autoZero"/>
        <c:auto val="1"/>
        <c:lblAlgn val="ctr"/>
        <c:lblOffset val="100"/>
        <c:noMultiLvlLbl val="0"/>
      </c:catAx>
      <c:valAx>
        <c:axId val="293747200"/>
        <c:scaling>
          <c:orientation val="minMax"/>
          <c:max val="10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74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0</xdr:row>
      <xdr:rowOff>104774</xdr:rowOff>
    </xdr:from>
    <xdr:to>
      <xdr:col>22</xdr:col>
      <xdr:colOff>347662</xdr:colOff>
      <xdr:row>33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76200</xdr:colOff>
      <xdr:row>1</xdr:row>
      <xdr:rowOff>85725</xdr:rowOff>
    </xdr:from>
    <xdr:to>
      <xdr:col>5</xdr:col>
      <xdr:colOff>523875</xdr:colOff>
      <xdr:row>5</xdr:row>
      <xdr:rowOff>104775</xdr:rowOff>
    </xdr:to>
    <xdr:sp macro="" textlink="">
      <xdr:nvSpPr>
        <xdr:cNvPr id="4" name="Rounded Rectangle 3"/>
        <xdr:cNvSpPr/>
      </xdr:nvSpPr>
      <xdr:spPr>
        <a:xfrm>
          <a:off x="1076325" y="304800"/>
          <a:ext cx="2105025" cy="781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YouTube%20Videos/Excel/YouTube-Predictabilit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XL-Simulations/FilesDone/8-Extras-D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Plotted"/>
      <sheetName val="Prediction"/>
      <sheetName val="Confidence"/>
      <sheetName val="Formulas (2)"/>
      <sheetName val="Plotted (2)"/>
      <sheetName val="More"/>
    </sheetNames>
    <sheetDataSet>
      <sheetData sheetId="0">
        <row r="2">
          <cell r="P2">
            <v>15</v>
          </cell>
        </row>
        <row r="3">
          <cell r="P3">
            <v>7.5133333333333336</v>
          </cell>
        </row>
        <row r="4">
          <cell r="P4">
            <v>36.437333333333335</v>
          </cell>
        </row>
        <row r="5">
          <cell r="P5">
            <v>2.1603686564627926</v>
          </cell>
        </row>
        <row r="6">
          <cell r="P6">
            <v>5.8809001092390423</v>
          </cell>
        </row>
      </sheetData>
      <sheetData sheetId="1" refreshError="1"/>
      <sheetData sheetId="2" refreshError="1"/>
      <sheetData sheetId="3" refreshError="1"/>
      <sheetData sheetId="4">
        <row r="2">
          <cell r="P2">
            <v>29</v>
          </cell>
        </row>
        <row r="3">
          <cell r="P3">
            <v>7.4862068965517237</v>
          </cell>
        </row>
        <row r="4">
          <cell r="P4">
            <v>63.874482758620694</v>
          </cell>
        </row>
        <row r="5">
          <cell r="P5">
            <v>2.0518305164802859</v>
          </cell>
        </row>
        <row r="6">
          <cell r="P6">
            <v>3.5156737656415089</v>
          </cell>
        </row>
      </sheetData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CodeFinder"/>
      <sheetName val="MarkOverMean"/>
      <sheetName val="Outliers"/>
      <sheetName val="FalsePositives"/>
      <sheetName val="Beliefs"/>
      <sheetName val="SampleTechniques"/>
      <sheetName val="AutoNumber"/>
      <sheetName val="FiscalYear"/>
      <sheetName val="StockMarket"/>
      <sheetName val="WeatherForeca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Month</v>
          </cell>
          <cell r="B1" t="str">
            <v>Traditional</v>
          </cell>
          <cell r="C1" t="str">
            <v>S&amp;P 500</v>
          </cell>
          <cell r="E1" t="str">
            <v>Month</v>
          </cell>
          <cell r="F1" t="str">
            <v>Traditional</v>
          </cell>
          <cell r="G1" t="str">
            <v>Trad-3mo</v>
          </cell>
          <cell r="H1" t="str">
            <v>BenchMark</v>
          </cell>
          <cell r="I1" t="str">
            <v>S&amp;P500</v>
          </cell>
          <cell r="J1" t="str">
            <v>S&amp;P-3mo</v>
          </cell>
          <cell r="K1" t="str">
            <v>BenchMark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6"/>
  <sheetViews>
    <sheetView tabSelected="1" workbookViewId="0"/>
  </sheetViews>
  <sheetFormatPr defaultRowHeight="15" x14ac:dyDescent="0.25"/>
  <cols>
    <col min="1" max="1" width="5" style="5" bestFit="1" customWidth="1"/>
    <col min="2" max="2" width="10" style="5" bestFit="1" customWidth="1"/>
    <col min="3" max="6" width="8.28515625" style="3" customWidth="1"/>
    <col min="7" max="7" width="6" style="1" customWidth="1"/>
    <col min="8" max="16384" width="9.140625" style="1"/>
  </cols>
  <sheetData>
    <row r="1" spans="1:6" ht="17.25" x14ac:dyDescent="0.25">
      <c r="A1" s="5" t="s">
        <v>0</v>
      </c>
      <c r="B1" s="5" t="s">
        <v>1</v>
      </c>
      <c r="C1" s="2">
        <v>0.95</v>
      </c>
      <c r="D1" s="2">
        <v>0.05</v>
      </c>
    </row>
    <row r="2" spans="1:6" x14ac:dyDescent="0.25">
      <c r="A2" s="5">
        <v>1950</v>
      </c>
      <c r="B2" s="6">
        <f ca="1">NORMINV(RAND(),65,10)</f>
        <v>60.247068052945849</v>
      </c>
      <c r="C2" s="4">
        <f t="shared" ref="C2:C33" ca="1" si="0">PERCENTILE($B$2:$B$66,$C$1)</f>
        <v>80.997398832852994</v>
      </c>
      <c r="D2" s="4">
        <f t="shared" ref="D2:D33" ca="1" si="1">PERCENTILE($B$2:$B$66,$D$1)</f>
        <v>51.125652819941244</v>
      </c>
      <c r="E2" s="3" t="e">
        <f t="shared" ref="E2:E33" ca="1" si="2">IF(B2&gt;C2,B2,NA())</f>
        <v>#N/A</v>
      </c>
      <c r="F2" s="3" t="e">
        <f t="shared" ref="F2:F33" ca="1" si="3">IF(B2&lt;D2,B2,NA())</f>
        <v>#N/A</v>
      </c>
    </row>
    <row r="3" spans="1:6" x14ac:dyDescent="0.25">
      <c r="A3" s="5">
        <v>1951</v>
      </c>
      <c r="B3" s="6">
        <f t="shared" ref="B3:B66" ca="1" si="4">NORMINV(RAND(),65,10)</f>
        <v>53.933885404013033</v>
      </c>
      <c r="C3" s="4">
        <f t="shared" ca="1" si="0"/>
        <v>80.997398832852994</v>
      </c>
      <c r="D3" s="4">
        <f t="shared" ca="1" si="1"/>
        <v>51.125652819941244</v>
      </c>
      <c r="E3" s="3" t="e">
        <f t="shared" ca="1" si="2"/>
        <v>#N/A</v>
      </c>
      <c r="F3" s="3" t="e">
        <f t="shared" ca="1" si="3"/>
        <v>#N/A</v>
      </c>
    </row>
    <row r="4" spans="1:6" x14ac:dyDescent="0.25">
      <c r="A4" s="5">
        <v>1952</v>
      </c>
      <c r="B4" s="6">
        <f t="shared" ca="1" si="4"/>
        <v>61.1670191139523</v>
      </c>
      <c r="C4" s="4">
        <f t="shared" ca="1" si="0"/>
        <v>80.997398832852994</v>
      </c>
      <c r="D4" s="4">
        <f t="shared" ca="1" si="1"/>
        <v>51.125652819941244</v>
      </c>
      <c r="E4" s="3" t="e">
        <f t="shared" ca="1" si="2"/>
        <v>#N/A</v>
      </c>
      <c r="F4" s="3" t="e">
        <f t="shared" ca="1" si="3"/>
        <v>#N/A</v>
      </c>
    </row>
    <row r="5" spans="1:6" x14ac:dyDescent="0.25">
      <c r="A5" s="5">
        <v>1953</v>
      </c>
      <c r="B5" s="6">
        <f t="shared" ca="1" si="4"/>
        <v>71.518445530879916</v>
      </c>
      <c r="C5" s="4">
        <f t="shared" ca="1" si="0"/>
        <v>80.997398832852994</v>
      </c>
      <c r="D5" s="4">
        <f t="shared" ca="1" si="1"/>
        <v>51.125652819941244</v>
      </c>
      <c r="E5" s="3" t="e">
        <f t="shared" ca="1" si="2"/>
        <v>#N/A</v>
      </c>
      <c r="F5" s="3" t="e">
        <f t="shared" ca="1" si="3"/>
        <v>#N/A</v>
      </c>
    </row>
    <row r="6" spans="1:6" x14ac:dyDescent="0.25">
      <c r="A6" s="5">
        <v>1954</v>
      </c>
      <c r="B6" s="6">
        <f t="shared" ca="1" si="4"/>
        <v>70.112260773560848</v>
      </c>
      <c r="C6" s="4">
        <f t="shared" ca="1" si="0"/>
        <v>80.997398832852994</v>
      </c>
      <c r="D6" s="4">
        <f t="shared" ca="1" si="1"/>
        <v>51.125652819941244</v>
      </c>
      <c r="E6" s="3" t="e">
        <f t="shared" ca="1" si="2"/>
        <v>#N/A</v>
      </c>
      <c r="F6" s="3" t="e">
        <f t="shared" ca="1" si="3"/>
        <v>#N/A</v>
      </c>
    </row>
    <row r="7" spans="1:6" x14ac:dyDescent="0.25">
      <c r="A7" s="5">
        <v>1955</v>
      </c>
      <c r="B7" s="6">
        <f t="shared" ca="1" si="4"/>
        <v>74.336604657160109</v>
      </c>
      <c r="C7" s="4">
        <f t="shared" ca="1" si="0"/>
        <v>80.997398832852994</v>
      </c>
      <c r="D7" s="4">
        <f t="shared" ca="1" si="1"/>
        <v>51.125652819941244</v>
      </c>
      <c r="E7" s="3" t="e">
        <f t="shared" ca="1" si="2"/>
        <v>#N/A</v>
      </c>
      <c r="F7" s="3" t="e">
        <f t="shared" ca="1" si="3"/>
        <v>#N/A</v>
      </c>
    </row>
    <row r="8" spans="1:6" x14ac:dyDescent="0.25">
      <c r="A8" s="5">
        <v>1956</v>
      </c>
      <c r="B8" s="6">
        <f t="shared" ca="1" si="4"/>
        <v>71.978958085188282</v>
      </c>
      <c r="C8" s="4">
        <f t="shared" ca="1" si="0"/>
        <v>80.997398832852994</v>
      </c>
      <c r="D8" s="4">
        <f t="shared" ca="1" si="1"/>
        <v>51.125652819941244</v>
      </c>
      <c r="E8" s="3" t="e">
        <f t="shared" ca="1" si="2"/>
        <v>#N/A</v>
      </c>
      <c r="F8" s="3" t="e">
        <f t="shared" ca="1" si="3"/>
        <v>#N/A</v>
      </c>
    </row>
    <row r="9" spans="1:6" x14ac:dyDescent="0.25">
      <c r="A9" s="5">
        <v>1957</v>
      </c>
      <c r="B9" s="6">
        <f t="shared" ca="1" si="4"/>
        <v>50.857213220286589</v>
      </c>
      <c r="C9" s="4">
        <f t="shared" ca="1" si="0"/>
        <v>80.997398832852994</v>
      </c>
      <c r="D9" s="4">
        <f t="shared" ca="1" si="1"/>
        <v>51.125652819941244</v>
      </c>
      <c r="E9" s="3" t="e">
        <f t="shared" ca="1" si="2"/>
        <v>#N/A</v>
      </c>
      <c r="F9" s="3">
        <f t="shared" ca="1" si="3"/>
        <v>50.857213220286589</v>
      </c>
    </row>
    <row r="10" spans="1:6" x14ac:dyDescent="0.25">
      <c r="A10" s="5">
        <v>1958</v>
      </c>
      <c r="B10" s="6">
        <f t="shared" ca="1" si="4"/>
        <v>59.956858859682079</v>
      </c>
      <c r="C10" s="4">
        <f t="shared" ca="1" si="0"/>
        <v>80.997398832852994</v>
      </c>
      <c r="D10" s="4">
        <f t="shared" ca="1" si="1"/>
        <v>51.125652819941244</v>
      </c>
      <c r="E10" s="3" t="e">
        <f t="shared" ca="1" si="2"/>
        <v>#N/A</v>
      </c>
      <c r="F10" s="3" t="e">
        <f t="shared" ca="1" si="3"/>
        <v>#N/A</v>
      </c>
    </row>
    <row r="11" spans="1:6" x14ac:dyDescent="0.25">
      <c r="A11" s="5">
        <v>1959</v>
      </c>
      <c r="B11" s="6">
        <f t="shared" ca="1" si="4"/>
        <v>75.73768328367558</v>
      </c>
      <c r="C11" s="4">
        <f t="shared" ca="1" si="0"/>
        <v>80.997398832852994</v>
      </c>
      <c r="D11" s="4">
        <f t="shared" ca="1" si="1"/>
        <v>51.125652819941244</v>
      </c>
      <c r="E11" s="3" t="e">
        <f t="shared" ca="1" si="2"/>
        <v>#N/A</v>
      </c>
      <c r="F11" s="3" t="e">
        <f t="shared" ca="1" si="3"/>
        <v>#N/A</v>
      </c>
    </row>
    <row r="12" spans="1:6" x14ac:dyDescent="0.25">
      <c r="A12" s="5">
        <v>1960</v>
      </c>
      <c r="B12" s="6">
        <f t="shared" ca="1" si="4"/>
        <v>52.199411218559852</v>
      </c>
      <c r="C12" s="4">
        <f t="shared" ca="1" si="0"/>
        <v>80.997398832852994</v>
      </c>
      <c r="D12" s="4">
        <f t="shared" ca="1" si="1"/>
        <v>51.125652819941244</v>
      </c>
      <c r="E12" s="3" t="e">
        <f t="shared" ca="1" si="2"/>
        <v>#N/A</v>
      </c>
      <c r="F12" s="3" t="e">
        <f t="shared" ca="1" si="3"/>
        <v>#N/A</v>
      </c>
    </row>
    <row r="13" spans="1:6" x14ac:dyDescent="0.25">
      <c r="A13" s="5">
        <v>1961</v>
      </c>
      <c r="B13" s="6">
        <f t="shared" ca="1" si="4"/>
        <v>74.29921875296327</v>
      </c>
      <c r="C13" s="4">
        <f t="shared" ca="1" si="0"/>
        <v>80.997398832852994</v>
      </c>
      <c r="D13" s="4">
        <f t="shared" ca="1" si="1"/>
        <v>51.125652819941244</v>
      </c>
      <c r="E13" s="3" t="e">
        <f t="shared" ca="1" si="2"/>
        <v>#N/A</v>
      </c>
      <c r="F13" s="3" t="e">
        <f t="shared" ca="1" si="3"/>
        <v>#N/A</v>
      </c>
    </row>
    <row r="14" spans="1:6" x14ac:dyDescent="0.25">
      <c r="A14" s="5">
        <v>1962</v>
      </c>
      <c r="B14" s="6">
        <f t="shared" ca="1" si="4"/>
        <v>70.067973586132183</v>
      </c>
      <c r="C14" s="4">
        <f t="shared" ca="1" si="0"/>
        <v>80.997398832852994</v>
      </c>
      <c r="D14" s="4">
        <f t="shared" ca="1" si="1"/>
        <v>51.125652819941244</v>
      </c>
      <c r="E14" s="3" t="e">
        <f t="shared" ca="1" si="2"/>
        <v>#N/A</v>
      </c>
      <c r="F14" s="3" t="e">
        <f t="shared" ca="1" si="3"/>
        <v>#N/A</v>
      </c>
    </row>
    <row r="15" spans="1:6" x14ac:dyDescent="0.25">
      <c r="A15" s="5">
        <v>1963</v>
      </c>
      <c r="B15" s="6">
        <f t="shared" ca="1" si="4"/>
        <v>59.297203575511347</v>
      </c>
      <c r="C15" s="4">
        <f t="shared" ca="1" si="0"/>
        <v>80.997398832852994</v>
      </c>
      <c r="D15" s="4">
        <f t="shared" ca="1" si="1"/>
        <v>51.125652819941244</v>
      </c>
      <c r="E15" s="3" t="e">
        <f t="shared" ca="1" si="2"/>
        <v>#N/A</v>
      </c>
      <c r="F15" s="3" t="e">
        <f t="shared" ca="1" si="3"/>
        <v>#N/A</v>
      </c>
    </row>
    <row r="16" spans="1:6" x14ac:dyDescent="0.25">
      <c r="A16" s="5">
        <v>1964</v>
      </c>
      <c r="B16" s="6">
        <f t="shared" ca="1" si="4"/>
        <v>55.196007549671528</v>
      </c>
      <c r="C16" s="4">
        <f t="shared" ca="1" si="0"/>
        <v>80.997398832852994</v>
      </c>
      <c r="D16" s="4">
        <f t="shared" ca="1" si="1"/>
        <v>51.125652819941244</v>
      </c>
      <c r="E16" s="3" t="e">
        <f t="shared" ca="1" si="2"/>
        <v>#N/A</v>
      </c>
      <c r="F16" s="3" t="e">
        <f t="shared" ca="1" si="3"/>
        <v>#N/A</v>
      </c>
    </row>
    <row r="17" spans="1:6" x14ac:dyDescent="0.25">
      <c r="A17" s="5">
        <v>1965</v>
      </c>
      <c r="B17" s="6">
        <f t="shared" ca="1" si="4"/>
        <v>78.164058422211681</v>
      </c>
      <c r="C17" s="4">
        <f t="shared" ca="1" si="0"/>
        <v>80.997398832852994</v>
      </c>
      <c r="D17" s="4">
        <f t="shared" ca="1" si="1"/>
        <v>51.125652819941244</v>
      </c>
      <c r="E17" s="3" t="e">
        <f t="shared" ca="1" si="2"/>
        <v>#N/A</v>
      </c>
      <c r="F17" s="3" t="e">
        <f t="shared" ca="1" si="3"/>
        <v>#N/A</v>
      </c>
    </row>
    <row r="18" spans="1:6" x14ac:dyDescent="0.25">
      <c r="A18" s="5">
        <v>1966</v>
      </c>
      <c r="B18" s="6">
        <f t="shared" ca="1" si="4"/>
        <v>62.167697568533093</v>
      </c>
      <c r="C18" s="4">
        <f t="shared" ca="1" si="0"/>
        <v>80.997398832852994</v>
      </c>
      <c r="D18" s="4">
        <f t="shared" ca="1" si="1"/>
        <v>51.125652819941244</v>
      </c>
      <c r="E18" s="3" t="e">
        <f t="shared" ca="1" si="2"/>
        <v>#N/A</v>
      </c>
      <c r="F18" s="3" t="e">
        <f t="shared" ca="1" si="3"/>
        <v>#N/A</v>
      </c>
    </row>
    <row r="19" spans="1:6" x14ac:dyDescent="0.25">
      <c r="A19" s="5">
        <v>1967</v>
      </c>
      <c r="B19" s="6">
        <f t="shared" ca="1" si="4"/>
        <v>60.754084957368804</v>
      </c>
      <c r="C19" s="4">
        <f t="shared" ca="1" si="0"/>
        <v>80.997398832852994</v>
      </c>
      <c r="D19" s="4">
        <f t="shared" ca="1" si="1"/>
        <v>51.125652819941244</v>
      </c>
      <c r="E19" s="3" t="e">
        <f t="shared" ca="1" si="2"/>
        <v>#N/A</v>
      </c>
      <c r="F19" s="3" t="e">
        <f t="shared" ca="1" si="3"/>
        <v>#N/A</v>
      </c>
    </row>
    <row r="20" spans="1:6" x14ac:dyDescent="0.25">
      <c r="A20" s="5">
        <v>1968</v>
      </c>
      <c r="B20" s="6">
        <f t="shared" ca="1" si="4"/>
        <v>63.691028771107803</v>
      </c>
      <c r="C20" s="4">
        <f t="shared" ca="1" si="0"/>
        <v>80.997398832852994</v>
      </c>
      <c r="D20" s="4">
        <f t="shared" ca="1" si="1"/>
        <v>51.125652819941244</v>
      </c>
      <c r="E20" s="3" t="e">
        <f t="shared" ca="1" si="2"/>
        <v>#N/A</v>
      </c>
      <c r="F20" s="3" t="e">
        <f t="shared" ca="1" si="3"/>
        <v>#N/A</v>
      </c>
    </row>
    <row r="21" spans="1:6" x14ac:dyDescent="0.25">
      <c r="A21" s="5">
        <v>1969</v>
      </c>
      <c r="B21" s="6">
        <f t="shared" ca="1" si="4"/>
        <v>88.221767783250186</v>
      </c>
      <c r="C21" s="4">
        <f t="shared" ca="1" si="0"/>
        <v>80.997398832852994</v>
      </c>
      <c r="D21" s="4">
        <f t="shared" ca="1" si="1"/>
        <v>51.125652819941244</v>
      </c>
      <c r="E21" s="3">
        <f t="shared" ca="1" si="2"/>
        <v>88.221767783250186</v>
      </c>
      <c r="F21" s="3" t="e">
        <f t="shared" ca="1" si="3"/>
        <v>#N/A</v>
      </c>
    </row>
    <row r="22" spans="1:6" x14ac:dyDescent="0.25">
      <c r="A22" s="5">
        <v>1970</v>
      </c>
      <c r="B22" s="6">
        <f t="shared" ca="1" si="4"/>
        <v>81.662064479507407</v>
      </c>
      <c r="C22" s="4">
        <f t="shared" ca="1" si="0"/>
        <v>80.997398832852994</v>
      </c>
      <c r="D22" s="4">
        <f t="shared" ca="1" si="1"/>
        <v>51.125652819941244</v>
      </c>
      <c r="E22" s="3">
        <f t="shared" ca="1" si="2"/>
        <v>81.662064479507407</v>
      </c>
      <c r="F22" s="3" t="e">
        <f t="shared" ca="1" si="3"/>
        <v>#N/A</v>
      </c>
    </row>
    <row r="23" spans="1:6" x14ac:dyDescent="0.25">
      <c r="A23" s="5">
        <v>1971</v>
      </c>
      <c r="B23" s="6">
        <f t="shared" ca="1" si="4"/>
        <v>67.232487190931238</v>
      </c>
      <c r="C23" s="4">
        <f t="shared" ca="1" si="0"/>
        <v>80.997398832852994</v>
      </c>
      <c r="D23" s="4">
        <f t="shared" ca="1" si="1"/>
        <v>51.125652819941244</v>
      </c>
      <c r="E23" s="3" t="e">
        <f t="shared" ca="1" si="2"/>
        <v>#N/A</v>
      </c>
      <c r="F23" s="3" t="e">
        <f t="shared" ca="1" si="3"/>
        <v>#N/A</v>
      </c>
    </row>
    <row r="24" spans="1:6" x14ac:dyDescent="0.25">
      <c r="A24" s="5">
        <v>1972</v>
      </c>
      <c r="B24" s="6">
        <f t="shared" ca="1" si="4"/>
        <v>64.473586828414156</v>
      </c>
      <c r="C24" s="4">
        <f t="shared" ca="1" si="0"/>
        <v>80.997398832852994</v>
      </c>
      <c r="D24" s="4">
        <f t="shared" ca="1" si="1"/>
        <v>51.125652819941244</v>
      </c>
      <c r="E24" s="3" t="e">
        <f t="shared" ca="1" si="2"/>
        <v>#N/A</v>
      </c>
      <c r="F24" s="3" t="e">
        <f t="shared" ca="1" si="3"/>
        <v>#N/A</v>
      </c>
    </row>
    <row r="25" spans="1:6" x14ac:dyDescent="0.25">
      <c r="A25" s="5">
        <v>1973</v>
      </c>
      <c r="B25" s="6">
        <f t="shared" ca="1" si="4"/>
        <v>89.053331860786869</v>
      </c>
      <c r="C25" s="4">
        <f t="shared" ca="1" si="0"/>
        <v>80.997398832852994</v>
      </c>
      <c r="D25" s="4">
        <f t="shared" ca="1" si="1"/>
        <v>51.125652819941244</v>
      </c>
      <c r="E25" s="3">
        <f t="shared" ca="1" si="2"/>
        <v>89.053331860786869</v>
      </c>
      <c r="F25" s="3" t="e">
        <f t="shared" ca="1" si="3"/>
        <v>#N/A</v>
      </c>
    </row>
    <row r="26" spans="1:6" x14ac:dyDescent="0.25">
      <c r="A26" s="5">
        <v>1974</v>
      </c>
      <c r="B26" s="6">
        <f t="shared" ca="1" si="4"/>
        <v>77.844276579763346</v>
      </c>
      <c r="C26" s="4">
        <f t="shared" ca="1" si="0"/>
        <v>80.997398832852994</v>
      </c>
      <c r="D26" s="4">
        <f t="shared" ca="1" si="1"/>
        <v>51.125652819941244</v>
      </c>
      <c r="E26" s="3" t="e">
        <f t="shared" ca="1" si="2"/>
        <v>#N/A</v>
      </c>
      <c r="F26" s="3" t="e">
        <f t="shared" ca="1" si="3"/>
        <v>#N/A</v>
      </c>
    </row>
    <row r="27" spans="1:6" x14ac:dyDescent="0.25">
      <c r="A27" s="5">
        <v>1975</v>
      </c>
      <c r="B27" s="6">
        <f t="shared" ca="1" si="4"/>
        <v>78.289616422361817</v>
      </c>
      <c r="C27" s="4">
        <f t="shared" ca="1" si="0"/>
        <v>80.997398832852994</v>
      </c>
      <c r="D27" s="4">
        <f t="shared" ca="1" si="1"/>
        <v>51.125652819941244</v>
      </c>
      <c r="E27" s="3" t="e">
        <f t="shared" ca="1" si="2"/>
        <v>#N/A</v>
      </c>
      <c r="F27" s="3" t="e">
        <f t="shared" ca="1" si="3"/>
        <v>#N/A</v>
      </c>
    </row>
    <row r="28" spans="1:6" x14ac:dyDescent="0.25">
      <c r="A28" s="5">
        <v>1976</v>
      </c>
      <c r="B28" s="6">
        <f t="shared" ca="1" si="4"/>
        <v>62.788147530914877</v>
      </c>
      <c r="C28" s="4">
        <f t="shared" ca="1" si="0"/>
        <v>80.997398832852994</v>
      </c>
      <c r="D28" s="4">
        <f t="shared" ca="1" si="1"/>
        <v>51.125652819941244</v>
      </c>
      <c r="E28" s="3" t="e">
        <f t="shared" ca="1" si="2"/>
        <v>#N/A</v>
      </c>
      <c r="F28" s="3" t="e">
        <f t="shared" ca="1" si="3"/>
        <v>#N/A</v>
      </c>
    </row>
    <row r="29" spans="1:6" x14ac:dyDescent="0.25">
      <c r="A29" s="5">
        <v>1977</v>
      </c>
      <c r="B29" s="6">
        <f t="shared" ca="1" si="4"/>
        <v>58.09820270893195</v>
      </c>
      <c r="C29" s="4">
        <f t="shared" ca="1" si="0"/>
        <v>80.997398832852994</v>
      </c>
      <c r="D29" s="4">
        <f t="shared" ca="1" si="1"/>
        <v>51.125652819941244</v>
      </c>
      <c r="E29" s="3" t="e">
        <f t="shared" ca="1" si="2"/>
        <v>#N/A</v>
      </c>
      <c r="F29" s="3" t="e">
        <f t="shared" ca="1" si="3"/>
        <v>#N/A</v>
      </c>
    </row>
    <row r="30" spans="1:6" x14ac:dyDescent="0.25">
      <c r="A30" s="5">
        <v>1978</v>
      </c>
      <c r="B30" s="6">
        <f t="shared" ca="1" si="4"/>
        <v>65.555889048154981</v>
      </c>
      <c r="C30" s="4">
        <f t="shared" ca="1" si="0"/>
        <v>80.997398832852994</v>
      </c>
      <c r="D30" s="4">
        <f t="shared" ca="1" si="1"/>
        <v>51.125652819941244</v>
      </c>
      <c r="E30" s="3" t="e">
        <f t="shared" ca="1" si="2"/>
        <v>#N/A</v>
      </c>
      <c r="F30" s="3" t="e">
        <f t="shared" ca="1" si="3"/>
        <v>#N/A</v>
      </c>
    </row>
    <row r="31" spans="1:6" x14ac:dyDescent="0.25">
      <c r="A31" s="5">
        <v>1979</v>
      </c>
      <c r="B31" s="6">
        <f t="shared" ca="1" si="4"/>
        <v>55.640515269139229</v>
      </c>
      <c r="C31" s="4">
        <f t="shared" ca="1" si="0"/>
        <v>80.997398832852994</v>
      </c>
      <c r="D31" s="4">
        <f t="shared" ca="1" si="1"/>
        <v>51.125652819941244</v>
      </c>
      <c r="E31" s="3" t="e">
        <f t="shared" ca="1" si="2"/>
        <v>#N/A</v>
      </c>
      <c r="F31" s="3" t="e">
        <f t="shared" ca="1" si="3"/>
        <v>#N/A</v>
      </c>
    </row>
    <row r="32" spans="1:6" x14ac:dyDescent="0.25">
      <c r="A32" s="5">
        <v>1980</v>
      </c>
      <c r="B32" s="6">
        <f t="shared" ca="1" si="4"/>
        <v>61.855868308212841</v>
      </c>
      <c r="C32" s="4">
        <f t="shared" ca="1" si="0"/>
        <v>80.997398832852994</v>
      </c>
      <c r="D32" s="4">
        <f t="shared" ca="1" si="1"/>
        <v>51.125652819941244</v>
      </c>
      <c r="E32" s="3" t="e">
        <f t="shared" ca="1" si="2"/>
        <v>#N/A</v>
      </c>
      <c r="F32" s="3" t="e">
        <f t="shared" ca="1" si="3"/>
        <v>#N/A</v>
      </c>
    </row>
    <row r="33" spans="1:6" x14ac:dyDescent="0.25">
      <c r="A33" s="5">
        <v>1981</v>
      </c>
      <c r="B33" s="6">
        <f t="shared" ca="1" si="4"/>
        <v>63.987386383918263</v>
      </c>
      <c r="C33" s="4">
        <f t="shared" ca="1" si="0"/>
        <v>80.997398832852994</v>
      </c>
      <c r="D33" s="4">
        <f t="shared" ca="1" si="1"/>
        <v>51.125652819941244</v>
      </c>
      <c r="E33" s="3" t="e">
        <f t="shared" ca="1" si="2"/>
        <v>#N/A</v>
      </c>
      <c r="F33" s="3" t="e">
        <f t="shared" ca="1" si="3"/>
        <v>#N/A</v>
      </c>
    </row>
    <row r="34" spans="1:6" x14ac:dyDescent="0.25">
      <c r="A34" s="5">
        <v>1982</v>
      </c>
      <c r="B34" s="6">
        <f t="shared" ca="1" si="4"/>
        <v>56.987091303236681</v>
      </c>
      <c r="C34" s="4">
        <f t="shared" ref="C34:C66" ca="1" si="5">PERCENTILE($B$2:$B$66,$C$1)</f>
        <v>80.997398832852994</v>
      </c>
      <c r="D34" s="4">
        <f t="shared" ref="D34:D66" ca="1" si="6">PERCENTILE($B$2:$B$66,$D$1)</f>
        <v>51.125652819941244</v>
      </c>
      <c r="E34" s="3" t="e">
        <f t="shared" ref="E34:E66" ca="1" si="7">IF(B34&gt;C34,B34,NA())</f>
        <v>#N/A</v>
      </c>
      <c r="F34" s="3" t="e">
        <f t="shared" ref="F34:F66" ca="1" si="8">IF(B34&lt;D34,B34,NA())</f>
        <v>#N/A</v>
      </c>
    </row>
    <row r="35" spans="1:6" x14ac:dyDescent="0.25">
      <c r="A35" s="5">
        <v>1983</v>
      </c>
      <c r="B35" s="6">
        <f t="shared" ca="1" si="4"/>
        <v>76.149784619769264</v>
      </c>
      <c r="C35" s="4">
        <f t="shared" ca="1" si="5"/>
        <v>80.997398832852994</v>
      </c>
      <c r="D35" s="4">
        <f t="shared" ca="1" si="6"/>
        <v>51.125652819941244</v>
      </c>
      <c r="E35" s="3" t="e">
        <f t="shared" ca="1" si="7"/>
        <v>#N/A</v>
      </c>
      <c r="F35" s="3" t="e">
        <f t="shared" ca="1" si="8"/>
        <v>#N/A</v>
      </c>
    </row>
    <row r="36" spans="1:6" x14ac:dyDescent="0.25">
      <c r="A36" s="5">
        <v>1984</v>
      </c>
      <c r="B36" s="6">
        <f t="shared" ca="1" si="4"/>
        <v>64.560245982670708</v>
      </c>
      <c r="C36" s="4">
        <f t="shared" ca="1" si="5"/>
        <v>80.997398832852994</v>
      </c>
      <c r="D36" s="4">
        <f t="shared" ca="1" si="6"/>
        <v>51.125652819941244</v>
      </c>
      <c r="E36" s="3" t="e">
        <f t="shared" ca="1" si="7"/>
        <v>#N/A</v>
      </c>
      <c r="F36" s="3" t="e">
        <f t="shared" ca="1" si="8"/>
        <v>#N/A</v>
      </c>
    </row>
    <row r="37" spans="1:6" x14ac:dyDescent="0.25">
      <c r="A37" s="5">
        <v>1985</v>
      </c>
      <c r="B37" s="6">
        <f t="shared" ca="1" si="4"/>
        <v>61.22630173353518</v>
      </c>
      <c r="C37" s="4">
        <f t="shared" ca="1" si="5"/>
        <v>80.997398832852994</v>
      </c>
      <c r="D37" s="4">
        <f t="shared" ca="1" si="6"/>
        <v>51.125652819941244</v>
      </c>
      <c r="E37" s="3" t="e">
        <f t="shared" ca="1" si="7"/>
        <v>#N/A</v>
      </c>
      <c r="F37" s="3" t="e">
        <f t="shared" ca="1" si="8"/>
        <v>#N/A</v>
      </c>
    </row>
    <row r="38" spans="1:6" x14ac:dyDescent="0.25">
      <c r="A38" s="5">
        <v>1986</v>
      </c>
      <c r="B38" s="6">
        <f t="shared" ca="1" si="4"/>
        <v>59.69832208872041</v>
      </c>
      <c r="C38" s="4">
        <f t="shared" ca="1" si="5"/>
        <v>80.997398832852994</v>
      </c>
      <c r="D38" s="4">
        <f t="shared" ca="1" si="6"/>
        <v>51.125652819941244</v>
      </c>
      <c r="E38" s="3" t="e">
        <f t="shared" ca="1" si="7"/>
        <v>#N/A</v>
      </c>
      <c r="F38" s="3" t="e">
        <f t="shared" ca="1" si="8"/>
        <v>#N/A</v>
      </c>
    </row>
    <row r="39" spans="1:6" x14ac:dyDescent="0.25">
      <c r="A39" s="5">
        <v>1987</v>
      </c>
      <c r="B39" s="6">
        <f t="shared" ca="1" si="4"/>
        <v>74.79637089490268</v>
      </c>
      <c r="C39" s="4">
        <f t="shared" ca="1" si="5"/>
        <v>80.997398832852994</v>
      </c>
      <c r="D39" s="4">
        <f t="shared" ca="1" si="6"/>
        <v>51.125652819941244</v>
      </c>
      <c r="E39" s="3" t="e">
        <f t="shared" ca="1" si="7"/>
        <v>#N/A</v>
      </c>
      <c r="F39" s="3" t="e">
        <f t="shared" ca="1" si="8"/>
        <v>#N/A</v>
      </c>
    </row>
    <row r="40" spans="1:6" x14ac:dyDescent="0.25">
      <c r="A40" s="5">
        <v>1988</v>
      </c>
      <c r="B40" s="6">
        <f t="shared" ca="1" si="4"/>
        <v>78.338736246235399</v>
      </c>
      <c r="C40" s="4">
        <f t="shared" ca="1" si="5"/>
        <v>80.997398832852994</v>
      </c>
      <c r="D40" s="4">
        <f t="shared" ca="1" si="6"/>
        <v>51.125652819941244</v>
      </c>
      <c r="E40" s="3" t="e">
        <f t="shared" ca="1" si="7"/>
        <v>#N/A</v>
      </c>
      <c r="F40" s="3" t="e">
        <f t="shared" ca="1" si="8"/>
        <v>#N/A</v>
      </c>
    </row>
    <row r="41" spans="1:6" x14ac:dyDescent="0.25">
      <c r="A41" s="5">
        <v>1989</v>
      </c>
      <c r="B41" s="6">
        <f t="shared" ca="1" si="4"/>
        <v>61.529472766849082</v>
      </c>
      <c r="C41" s="4">
        <f t="shared" ca="1" si="5"/>
        <v>80.997398832852994</v>
      </c>
      <c r="D41" s="4">
        <f t="shared" ca="1" si="6"/>
        <v>51.125652819941244</v>
      </c>
      <c r="E41" s="3" t="e">
        <f t="shared" ca="1" si="7"/>
        <v>#N/A</v>
      </c>
      <c r="F41" s="3" t="e">
        <f t="shared" ca="1" si="8"/>
        <v>#N/A</v>
      </c>
    </row>
    <row r="42" spans="1:6" x14ac:dyDescent="0.25">
      <c r="A42" s="5">
        <v>1990</v>
      </c>
      <c r="B42" s="6">
        <f t="shared" ca="1" si="4"/>
        <v>60.277333146490555</v>
      </c>
      <c r="C42" s="4">
        <f t="shared" ca="1" si="5"/>
        <v>80.997398832852994</v>
      </c>
      <c r="D42" s="4">
        <f t="shared" ca="1" si="6"/>
        <v>51.125652819941244</v>
      </c>
      <c r="E42" s="3" t="e">
        <f t="shared" ca="1" si="7"/>
        <v>#N/A</v>
      </c>
      <c r="F42" s="3" t="e">
        <f t="shared" ca="1" si="8"/>
        <v>#N/A</v>
      </c>
    </row>
    <row r="43" spans="1:6" x14ac:dyDescent="0.25">
      <c r="A43" s="5">
        <v>1991</v>
      </c>
      <c r="B43" s="6">
        <f t="shared" ca="1" si="4"/>
        <v>58.069678103102085</v>
      </c>
      <c r="C43" s="4">
        <f t="shared" ca="1" si="5"/>
        <v>80.997398832852994</v>
      </c>
      <c r="D43" s="4">
        <f t="shared" ca="1" si="6"/>
        <v>51.125652819941244</v>
      </c>
      <c r="E43" s="3" t="e">
        <f t="shared" ca="1" si="7"/>
        <v>#N/A</v>
      </c>
      <c r="F43" s="3" t="e">
        <f t="shared" ca="1" si="8"/>
        <v>#N/A</v>
      </c>
    </row>
    <row r="44" spans="1:6" x14ac:dyDescent="0.25">
      <c r="A44" s="5">
        <v>1992</v>
      </c>
      <c r="B44" s="6">
        <f t="shared" ca="1" si="4"/>
        <v>65.125702085482104</v>
      </c>
      <c r="C44" s="4">
        <f t="shared" ca="1" si="5"/>
        <v>80.997398832852994</v>
      </c>
      <c r="D44" s="4">
        <f t="shared" ca="1" si="6"/>
        <v>51.125652819941244</v>
      </c>
      <c r="E44" s="3" t="e">
        <f t="shared" ca="1" si="7"/>
        <v>#N/A</v>
      </c>
      <c r="F44" s="3" t="e">
        <f t="shared" ca="1" si="8"/>
        <v>#N/A</v>
      </c>
    </row>
    <row r="45" spans="1:6" x14ac:dyDescent="0.25">
      <c r="A45" s="5">
        <v>1993</v>
      </c>
      <c r="B45" s="6">
        <f t="shared" ca="1" si="4"/>
        <v>55.306847214888727</v>
      </c>
      <c r="C45" s="4">
        <f t="shared" ca="1" si="5"/>
        <v>80.997398832852994</v>
      </c>
      <c r="D45" s="4">
        <f t="shared" ca="1" si="6"/>
        <v>51.125652819941244</v>
      </c>
      <c r="E45" s="3" t="e">
        <f t="shared" ca="1" si="7"/>
        <v>#N/A</v>
      </c>
      <c r="F45" s="3" t="e">
        <f t="shared" ca="1" si="8"/>
        <v>#N/A</v>
      </c>
    </row>
    <row r="46" spans="1:6" x14ac:dyDescent="0.25">
      <c r="A46" s="5">
        <v>1994</v>
      </c>
      <c r="B46" s="6">
        <f t="shared" ca="1" si="4"/>
        <v>65.774599098947448</v>
      </c>
      <c r="C46" s="4">
        <f t="shared" ca="1" si="5"/>
        <v>80.997398832852994</v>
      </c>
      <c r="D46" s="4">
        <f t="shared" ca="1" si="6"/>
        <v>51.125652819941244</v>
      </c>
      <c r="E46" s="3" t="e">
        <f t="shared" ca="1" si="7"/>
        <v>#N/A</v>
      </c>
      <c r="F46" s="3" t="e">
        <f t="shared" ca="1" si="8"/>
        <v>#N/A</v>
      </c>
    </row>
    <row r="47" spans="1:6" x14ac:dyDescent="0.25">
      <c r="A47" s="5">
        <v>1995</v>
      </c>
      <c r="B47" s="6">
        <f t="shared" ca="1" si="4"/>
        <v>62.106760256197006</v>
      </c>
      <c r="C47" s="4">
        <f t="shared" ca="1" si="5"/>
        <v>80.997398832852994</v>
      </c>
      <c r="D47" s="4">
        <f t="shared" ca="1" si="6"/>
        <v>51.125652819941244</v>
      </c>
      <c r="E47" s="3" t="e">
        <f t="shared" ca="1" si="7"/>
        <v>#N/A</v>
      </c>
      <c r="F47" s="3" t="e">
        <f t="shared" ca="1" si="8"/>
        <v>#N/A</v>
      </c>
    </row>
    <row r="48" spans="1:6" x14ac:dyDescent="0.25">
      <c r="A48" s="5">
        <v>1996</v>
      </c>
      <c r="B48" s="6">
        <f t="shared" ca="1" si="4"/>
        <v>77.489348459240745</v>
      </c>
      <c r="C48" s="4">
        <f t="shared" ca="1" si="5"/>
        <v>80.997398832852994</v>
      </c>
      <c r="D48" s="4">
        <f t="shared" ca="1" si="6"/>
        <v>51.125652819941244</v>
      </c>
      <c r="E48" s="3" t="e">
        <f t="shared" ca="1" si="7"/>
        <v>#N/A</v>
      </c>
      <c r="F48" s="3" t="e">
        <f t="shared" ca="1" si="8"/>
        <v>#N/A</v>
      </c>
    </row>
    <row r="49" spans="1:6" x14ac:dyDescent="0.25">
      <c r="A49" s="5">
        <v>1997</v>
      </c>
      <c r="B49" s="6">
        <f t="shared" ca="1" si="4"/>
        <v>72.590014552920266</v>
      </c>
      <c r="C49" s="4">
        <f t="shared" ca="1" si="5"/>
        <v>80.997398832852994</v>
      </c>
      <c r="D49" s="4">
        <f t="shared" ca="1" si="6"/>
        <v>51.125652819941244</v>
      </c>
      <c r="E49" s="3" t="e">
        <f t="shared" ca="1" si="7"/>
        <v>#N/A</v>
      </c>
      <c r="F49" s="3" t="e">
        <f t="shared" ca="1" si="8"/>
        <v>#N/A</v>
      </c>
    </row>
    <row r="50" spans="1:6" x14ac:dyDescent="0.25">
      <c r="A50" s="5">
        <v>1998</v>
      </c>
      <c r="B50" s="6">
        <f t="shared" ca="1" si="4"/>
        <v>78.220311393361243</v>
      </c>
      <c r="C50" s="4">
        <f t="shared" ca="1" si="5"/>
        <v>80.997398832852994</v>
      </c>
      <c r="D50" s="4">
        <f t="shared" ca="1" si="6"/>
        <v>51.125652819941244</v>
      </c>
      <c r="E50" s="3" t="e">
        <f t="shared" ca="1" si="7"/>
        <v>#N/A</v>
      </c>
      <c r="F50" s="3" t="e">
        <f t="shared" ca="1" si="8"/>
        <v>#N/A</v>
      </c>
    </row>
    <row r="51" spans="1:6" x14ac:dyDescent="0.25">
      <c r="A51" s="5">
        <v>1999</v>
      </c>
      <c r="B51" s="6">
        <f t="shared" ca="1" si="4"/>
        <v>57.222729472048691</v>
      </c>
      <c r="C51" s="4">
        <f t="shared" ca="1" si="5"/>
        <v>80.997398832852994</v>
      </c>
      <c r="D51" s="4">
        <f t="shared" ca="1" si="6"/>
        <v>51.125652819941244</v>
      </c>
      <c r="E51" s="3" t="e">
        <f t="shared" ca="1" si="7"/>
        <v>#N/A</v>
      </c>
      <c r="F51" s="3" t="e">
        <f t="shared" ca="1" si="8"/>
        <v>#N/A</v>
      </c>
    </row>
    <row r="52" spans="1:6" x14ac:dyDescent="0.25">
      <c r="A52" s="5">
        <v>2000</v>
      </c>
      <c r="B52" s="6">
        <f t="shared" ca="1" si="4"/>
        <v>76.012088413214741</v>
      </c>
      <c r="C52" s="4">
        <f t="shared" ca="1" si="5"/>
        <v>80.997398832852994</v>
      </c>
      <c r="D52" s="4">
        <f t="shared" ca="1" si="6"/>
        <v>51.125652819941244</v>
      </c>
      <c r="E52" s="3" t="e">
        <f t="shared" ca="1" si="7"/>
        <v>#N/A</v>
      </c>
      <c r="F52" s="3" t="e">
        <f t="shared" ca="1" si="8"/>
        <v>#N/A</v>
      </c>
    </row>
    <row r="53" spans="1:6" x14ac:dyDescent="0.25">
      <c r="A53" s="5">
        <v>2001</v>
      </c>
      <c r="B53" s="6">
        <f t="shared" ca="1" si="4"/>
        <v>50.594002828643127</v>
      </c>
      <c r="C53" s="4">
        <f t="shared" ca="1" si="5"/>
        <v>80.997398832852994</v>
      </c>
      <c r="D53" s="4">
        <f t="shared" ca="1" si="6"/>
        <v>51.125652819941244</v>
      </c>
      <c r="E53" s="3" t="e">
        <f t="shared" ca="1" si="7"/>
        <v>#N/A</v>
      </c>
      <c r="F53" s="3">
        <f t="shared" ca="1" si="8"/>
        <v>50.594002828643127</v>
      </c>
    </row>
    <row r="54" spans="1:6" x14ac:dyDescent="0.25">
      <c r="A54" s="5">
        <v>2002</v>
      </c>
      <c r="B54" s="6">
        <f t="shared" ca="1" si="4"/>
        <v>72.372562911898129</v>
      </c>
      <c r="C54" s="4">
        <f t="shared" ca="1" si="5"/>
        <v>80.997398832852994</v>
      </c>
      <c r="D54" s="4">
        <f t="shared" ca="1" si="6"/>
        <v>51.125652819941244</v>
      </c>
      <c r="E54" s="3" t="e">
        <f t="shared" ca="1" si="7"/>
        <v>#N/A</v>
      </c>
      <c r="F54" s="3" t="e">
        <f t="shared" ca="1" si="8"/>
        <v>#N/A</v>
      </c>
    </row>
    <row r="55" spans="1:6" x14ac:dyDescent="0.25">
      <c r="A55" s="5">
        <v>2003</v>
      </c>
      <c r="B55" s="6">
        <f t="shared" ca="1" si="4"/>
        <v>86.786470371003418</v>
      </c>
      <c r="C55" s="4">
        <f t="shared" ca="1" si="5"/>
        <v>80.997398832852994</v>
      </c>
      <c r="D55" s="4">
        <f t="shared" ca="1" si="6"/>
        <v>51.125652819941244</v>
      </c>
      <c r="E55" s="3">
        <f t="shared" ca="1" si="7"/>
        <v>86.786470371003418</v>
      </c>
      <c r="F55" s="3" t="e">
        <f t="shared" ca="1" si="8"/>
        <v>#N/A</v>
      </c>
    </row>
    <row r="56" spans="1:6" x14ac:dyDescent="0.25">
      <c r="A56" s="5">
        <v>2004</v>
      </c>
      <c r="B56" s="6">
        <f t="shared" ca="1" si="4"/>
        <v>58.558286905703724</v>
      </c>
      <c r="C56" s="4">
        <f t="shared" ca="1" si="5"/>
        <v>80.997398832852994</v>
      </c>
      <c r="D56" s="4">
        <f t="shared" ca="1" si="6"/>
        <v>51.125652819941244</v>
      </c>
      <c r="E56" s="3" t="e">
        <f t="shared" ca="1" si="7"/>
        <v>#N/A</v>
      </c>
      <c r="F56" s="3" t="e">
        <f t="shared" ca="1" si="8"/>
        <v>#N/A</v>
      </c>
    </row>
    <row r="57" spans="1:6" x14ac:dyDescent="0.25">
      <c r="A57" s="5">
        <v>2005</v>
      </c>
      <c r="B57" s="6">
        <f t="shared" ca="1" si="4"/>
        <v>52.594766590054036</v>
      </c>
      <c r="C57" s="4">
        <f t="shared" ca="1" si="5"/>
        <v>80.997398832852994</v>
      </c>
      <c r="D57" s="4">
        <f t="shared" ca="1" si="6"/>
        <v>51.125652819941244</v>
      </c>
      <c r="E57" s="3" t="e">
        <f t="shared" ca="1" si="7"/>
        <v>#N/A</v>
      </c>
      <c r="F57" s="3" t="e">
        <f t="shared" ca="1" si="8"/>
        <v>#N/A</v>
      </c>
    </row>
    <row r="58" spans="1:6" x14ac:dyDescent="0.25">
      <c r="A58" s="5">
        <v>2006</v>
      </c>
      <c r="B58" s="6">
        <f t="shared" ca="1" si="4"/>
        <v>48.167587437657772</v>
      </c>
      <c r="C58" s="4">
        <f t="shared" ca="1" si="5"/>
        <v>80.997398832852994</v>
      </c>
      <c r="D58" s="4">
        <f t="shared" ca="1" si="6"/>
        <v>51.125652819941244</v>
      </c>
      <c r="E58" s="3" t="e">
        <f t="shared" ca="1" si="7"/>
        <v>#N/A</v>
      </c>
      <c r="F58" s="3">
        <f t="shared" ca="1" si="8"/>
        <v>48.167587437657772</v>
      </c>
    </row>
    <row r="59" spans="1:6" x14ac:dyDescent="0.25">
      <c r="A59" s="5">
        <v>2007</v>
      </c>
      <c r="B59" s="6">
        <f t="shared" ca="1" si="4"/>
        <v>63.190618323211808</v>
      </c>
      <c r="C59" s="4">
        <f t="shared" ca="1" si="5"/>
        <v>80.997398832852994</v>
      </c>
      <c r="D59" s="4">
        <f t="shared" ca="1" si="6"/>
        <v>51.125652819941244</v>
      </c>
      <c r="E59" s="3" t="e">
        <f t="shared" ca="1" si="7"/>
        <v>#N/A</v>
      </c>
      <c r="F59" s="3" t="e">
        <f t="shared" ca="1" si="8"/>
        <v>#N/A</v>
      </c>
    </row>
    <row r="60" spans="1:6" x14ac:dyDescent="0.25">
      <c r="A60" s="5">
        <v>2008</v>
      </c>
      <c r="B60" s="6">
        <f t="shared" ca="1" si="4"/>
        <v>49.790907308637031</v>
      </c>
      <c r="C60" s="4">
        <f t="shared" ca="1" si="5"/>
        <v>80.997398832852994</v>
      </c>
      <c r="D60" s="4">
        <f t="shared" ca="1" si="6"/>
        <v>51.125652819941244</v>
      </c>
      <c r="E60" s="3" t="e">
        <f t="shared" ca="1" si="7"/>
        <v>#N/A</v>
      </c>
      <c r="F60" s="3">
        <f t="shared" ca="1" si="8"/>
        <v>49.790907308637031</v>
      </c>
    </row>
    <row r="61" spans="1:6" x14ac:dyDescent="0.25">
      <c r="A61" s="5">
        <v>2009</v>
      </c>
      <c r="B61" s="6">
        <f t="shared" ca="1" si="4"/>
        <v>65.571731016673141</v>
      </c>
      <c r="C61" s="4">
        <f t="shared" ca="1" si="5"/>
        <v>80.997398832852994</v>
      </c>
      <c r="D61" s="4">
        <f t="shared" ca="1" si="6"/>
        <v>51.125652819941244</v>
      </c>
      <c r="E61" s="3" t="e">
        <f t="shared" ca="1" si="7"/>
        <v>#N/A</v>
      </c>
      <c r="F61" s="3" t="e">
        <f t="shared" ca="1" si="8"/>
        <v>#N/A</v>
      </c>
    </row>
    <row r="62" spans="1:6" x14ac:dyDescent="0.25">
      <c r="A62" s="5">
        <v>2010</v>
      </c>
      <c r="B62" s="6">
        <f t="shared" ca="1" si="4"/>
        <v>58.018722620019176</v>
      </c>
      <c r="C62" s="4">
        <f t="shared" ca="1" si="5"/>
        <v>80.997398832852994</v>
      </c>
      <c r="D62" s="4">
        <f t="shared" ca="1" si="6"/>
        <v>51.125652819941244</v>
      </c>
      <c r="E62" s="3" t="e">
        <f t="shared" ca="1" si="7"/>
        <v>#N/A</v>
      </c>
      <c r="F62" s="3" t="e">
        <f t="shared" ca="1" si="8"/>
        <v>#N/A</v>
      </c>
    </row>
    <row r="63" spans="1:6" x14ac:dyDescent="0.25">
      <c r="A63" s="5">
        <v>2011</v>
      </c>
      <c r="B63" s="6">
        <f t="shared" ca="1" si="4"/>
        <v>67.175757637786404</v>
      </c>
      <c r="C63" s="4">
        <f t="shared" ca="1" si="5"/>
        <v>80.997398832852994</v>
      </c>
      <c r="D63" s="4">
        <f t="shared" ca="1" si="6"/>
        <v>51.125652819941244</v>
      </c>
      <c r="E63" s="3" t="e">
        <f t="shared" ca="1" si="7"/>
        <v>#N/A</v>
      </c>
      <c r="F63" s="3" t="e">
        <f t="shared" ca="1" si="8"/>
        <v>#N/A</v>
      </c>
    </row>
    <row r="64" spans="1:6" x14ac:dyDescent="0.25">
      <c r="A64" s="5">
        <v>2012</v>
      </c>
      <c r="B64" s="6">
        <f t="shared" ca="1" si="4"/>
        <v>56.210627488489656</v>
      </c>
      <c r="C64" s="4">
        <f t="shared" ca="1" si="5"/>
        <v>80.997398832852994</v>
      </c>
      <c r="D64" s="4">
        <f t="shared" ca="1" si="6"/>
        <v>51.125652819941244</v>
      </c>
      <c r="E64" s="3" t="e">
        <f t="shared" ca="1" si="7"/>
        <v>#N/A</v>
      </c>
      <c r="F64" s="3" t="e">
        <f t="shared" ca="1" si="8"/>
        <v>#N/A</v>
      </c>
    </row>
    <row r="65" spans="1:6" x14ac:dyDescent="0.25">
      <c r="A65" s="5">
        <v>2013</v>
      </c>
      <c r="B65" s="6">
        <f t="shared" ca="1" si="4"/>
        <v>62.114330990706002</v>
      </c>
      <c r="C65" s="4">
        <f t="shared" ca="1" si="5"/>
        <v>80.997398832852994</v>
      </c>
      <c r="D65" s="4">
        <f t="shared" ca="1" si="6"/>
        <v>51.125652819941244</v>
      </c>
      <c r="E65" s="3" t="e">
        <f t="shared" ca="1" si="7"/>
        <v>#N/A</v>
      </c>
      <c r="F65" s="3" t="e">
        <f t="shared" ca="1" si="8"/>
        <v>#N/A</v>
      </c>
    </row>
    <row r="66" spans="1:6" x14ac:dyDescent="0.25">
      <c r="A66" s="5">
        <v>2014</v>
      </c>
      <c r="B66" s="6">
        <f t="shared" ca="1" si="4"/>
        <v>68.827192209906329</v>
      </c>
      <c r="C66" s="4">
        <f t="shared" ca="1" si="5"/>
        <v>80.997398832852994</v>
      </c>
      <c r="D66" s="4">
        <f t="shared" ca="1" si="6"/>
        <v>51.125652819941244</v>
      </c>
      <c r="E66" s="3" t="e">
        <f t="shared" ca="1" si="7"/>
        <v>#N/A</v>
      </c>
      <c r="F66" s="3" t="e">
        <f t="shared" ca="1" si="8"/>
        <v>#N/A</v>
      </c>
    </row>
  </sheetData>
  <sheetProtection sheet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2015-01-29T15:00:43Z</dcterms:created>
  <dcterms:modified xsi:type="dcterms:W3CDTF">2016-11-12T12:35:32Z</dcterms:modified>
</cp:coreProperties>
</file>