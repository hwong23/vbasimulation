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Gerry\Desktop\MrExcel\XL-Simulations-VBA\7-Finance\"/>
    </mc:Choice>
  </mc:AlternateContent>
  <bookViews>
    <workbookView xWindow="360" yWindow="45" windowWidth="11340" windowHeight="4500"/>
  </bookViews>
  <sheets>
    <sheet name="AsianOption" sheetId="13" r:id="rId1"/>
  </sheets>
  <definedNames>
    <definedName name="solver_adj" localSheetId="0" hidden="1">AsianOption!#REF!</definedName>
    <definedName name="solver_cvg" localSheetId="0" hidden="1">0.0001</definedName>
    <definedName name="solver_drv" localSheetId="0" hidden="1">1</definedName>
    <definedName name="solver_eng" localSheetId="0" hidden="1">1</definedName>
    <definedName name="solver_est" localSheetId="0" hidden="1">1</definedName>
    <definedName name="solver_itr" localSheetId="0" hidden="1">2147483647</definedName>
    <definedName name="solver_lhs1" localSheetId="0" hidden="1">AsianOption!#REF!</definedName>
    <definedName name="solver_lhs2" localSheetId="0" hidden="1">AsianOption!#REF!</definedName>
    <definedName name="solver_mip" localSheetId="0" hidden="1">2147483647</definedName>
    <definedName name="solver_mni" localSheetId="0" hidden="1">30</definedName>
    <definedName name="solver_mrt" localSheetId="0" hidden="1">0.075</definedName>
    <definedName name="solver_msl" localSheetId="0" hidden="1">2</definedName>
    <definedName name="solver_neg" localSheetId="0" hidden="1">1</definedName>
    <definedName name="solver_nod" localSheetId="0" hidden="1">2147483647</definedName>
    <definedName name="solver_num" localSheetId="0" hidden="1">2</definedName>
    <definedName name="solver_nwt" localSheetId="0" hidden="1">1</definedName>
    <definedName name="solver_pre" localSheetId="0" hidden="1">0.000001</definedName>
    <definedName name="solver_rbv" localSheetId="0" hidden="1">1</definedName>
    <definedName name="solver_rel1" localSheetId="0" hidden="1">2</definedName>
    <definedName name="solver_rel2" localSheetId="0" hidden="1">2</definedName>
    <definedName name="solver_rhs1" localSheetId="0" hidden="1">0</definedName>
    <definedName name="solver_rhs2" localSheetId="0" hidden="1">10</definedName>
    <definedName name="solver_rlx" localSheetId="0" hidden="1">2</definedName>
    <definedName name="solver_rsd" localSheetId="0" hidden="1">0</definedName>
    <definedName name="solver_scl" localSheetId="0" hidden="1">1</definedName>
    <definedName name="solver_sho" localSheetId="0" hidden="1">2</definedName>
    <definedName name="solver_ssz" localSheetId="0" hidden="1">100</definedName>
    <definedName name="solver_tim" localSheetId="0" hidden="1">2147483647</definedName>
    <definedName name="solver_tol" localSheetId="0" hidden="1">0.01</definedName>
    <definedName name="solver_typ" localSheetId="0" hidden="1">1</definedName>
    <definedName name="solver_val" localSheetId="0" hidden="1">0</definedName>
    <definedName name="solver_ver" localSheetId="0" hidden="1">3</definedName>
  </definedNames>
  <calcPr calcId="152511" calcMode="manual"/>
</workbook>
</file>

<file path=xl/calcChain.xml><?xml version="1.0" encoding="utf-8"?>
<calcChain xmlns="http://schemas.openxmlformats.org/spreadsheetml/2006/main">
  <c r="B7" i="13" l="1"/>
  <c r="I7" i="13" s="1"/>
  <c r="J7" i="13" s="1"/>
  <c r="C7" i="13"/>
  <c r="D7" i="13" s="1"/>
  <c r="E7" i="13" s="1"/>
  <c r="F7" i="13" s="1"/>
  <c r="G7" i="13" s="1"/>
  <c r="H7" i="13" s="1"/>
</calcChain>
</file>

<file path=xl/comments1.xml><?xml version="1.0" encoding="utf-8"?>
<comments xmlns="http://schemas.openxmlformats.org/spreadsheetml/2006/main">
  <authors>
    <author>Gerry</author>
  </authors>
  <commentList>
    <comment ref="J6" authorId="0" shapeId="0">
      <text>
        <r>
          <rPr>
            <b/>
            <sz val="9"/>
            <color indexed="81"/>
            <rFont val="Tahoma"/>
            <family val="2"/>
          </rPr>
          <t>No risk-free rate to discount this.</t>
        </r>
      </text>
    </comment>
    <comment ref="C7" authorId="0" shapeId="0">
      <text>
        <r>
          <rPr>
            <b/>
            <sz val="11"/>
            <color indexed="81"/>
            <rFont val="Tahoma"/>
            <family val="2"/>
          </rPr>
          <t>=B7*EXP(NORMINV(RAND(), $B$2-0.5*$B$3^2, $B$3))</t>
        </r>
      </text>
    </comment>
    <comment ref="J7" authorId="0" shapeId="0">
      <text>
        <r>
          <rPr>
            <b/>
            <sz val="11"/>
            <color indexed="81"/>
            <rFont val="Tahoma"/>
            <family val="2"/>
          </rPr>
          <t>=MAX(0,I7-$B$4)</t>
        </r>
      </text>
    </comment>
  </commentList>
</comments>
</file>

<file path=xl/sharedStrings.xml><?xml version="1.0" encoding="utf-8"?>
<sst xmlns="http://schemas.openxmlformats.org/spreadsheetml/2006/main" count="8" uniqueCount="8">
  <si>
    <t>mean</t>
  </si>
  <si>
    <t>Time</t>
  </si>
  <si>
    <t>SD</t>
  </si>
  <si>
    <t>value</t>
  </si>
  <si>
    <t>life of the option</t>
  </si>
  <si>
    <t>AVG</t>
  </si>
  <si>
    <t>Payoff</t>
  </si>
  <si>
    <t>Instead of a Data Table: 100,000 runs with VBA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</si>
</sst>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8" formatCode="&quot;$&quot;#,##0.00_);[Red]\(&quot;$&quot;#,##0.00\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&quot;$&quot;#,##0.00;[Red]\-&quot;$&quot;#,##0.00"/>
    <numFmt numFmtId="165" formatCode="###0.00_)"/>
    <numFmt numFmtId="166" formatCode="#,##0_)"/>
  </numFmts>
  <fonts count="26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9"/>
      <color indexed="81"/>
      <name val="Tahoma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2"/>
      <name val="Helv"/>
    </font>
    <font>
      <b/>
      <sz val="12"/>
      <name val="Helv"/>
    </font>
    <font>
      <sz val="10"/>
      <name val="Helv"/>
    </font>
    <font>
      <sz val="9"/>
      <name val="Helv"/>
    </font>
    <font>
      <vertAlign val="superscript"/>
      <sz val="12"/>
      <name val="Helv"/>
    </font>
    <font>
      <b/>
      <sz val="11"/>
      <color indexed="8"/>
      <name val="Calibri"/>
      <family val="2"/>
    </font>
    <font>
      <b/>
      <sz val="10"/>
      <name val="Helv"/>
    </font>
    <font>
      <b/>
      <sz val="9"/>
      <name val="Helv"/>
    </font>
    <font>
      <sz val="8.5"/>
      <name val="Helv"/>
    </font>
    <font>
      <sz val="12"/>
      <color indexed="8"/>
      <name val="Arial"/>
      <family val="2"/>
    </font>
    <font>
      <b/>
      <sz val="18"/>
      <color indexed="62"/>
      <name val="Cambria"/>
      <family val="2"/>
    </font>
    <font>
      <sz val="8"/>
      <name val="Helv"/>
    </font>
    <font>
      <b/>
      <sz val="14"/>
      <name val="Helv"/>
    </font>
    <font>
      <b/>
      <sz val="11"/>
      <color theme="1"/>
      <name val="Calibri"/>
      <family val="2"/>
      <scheme val="minor"/>
    </font>
    <font>
      <b/>
      <sz val="10"/>
      <name val="Arial"/>
      <family val="2"/>
    </font>
    <font>
      <b/>
      <sz val="18"/>
      <color theme="1"/>
      <name val="Calibri"/>
      <family val="2"/>
      <scheme val="minor"/>
    </font>
    <font>
      <b/>
      <sz val="11"/>
      <color indexed="81"/>
      <name val="Tahoma"/>
      <family val="2"/>
    </font>
  </fonts>
  <fills count="16">
    <fill>
      <patternFill patternType="none"/>
    </fill>
    <fill>
      <patternFill patternType="gray125"/>
    </fill>
    <fill>
      <patternFill patternType="solid">
        <fgColor indexed="31"/>
        <bgColor indexed="31"/>
      </patternFill>
    </fill>
    <fill>
      <patternFill patternType="solid">
        <fgColor indexed="44"/>
        <bgColor indexed="44"/>
      </patternFill>
    </fill>
    <fill>
      <patternFill patternType="solid">
        <fgColor indexed="26"/>
        <bgColor indexed="26"/>
      </patternFill>
    </fill>
    <fill>
      <patternFill patternType="solid">
        <fgColor indexed="22"/>
        <bgColor indexed="22"/>
      </patternFill>
    </fill>
    <fill>
      <patternFill patternType="solid">
        <fgColor indexed="55"/>
        <bgColor indexed="55"/>
      </patternFill>
    </fill>
    <fill>
      <patternFill patternType="solid">
        <fgColor indexed="42"/>
        <bgColor indexed="42"/>
      </patternFill>
    </fill>
    <fill>
      <patternFill patternType="solid">
        <fgColor indexed="27"/>
        <bgColor indexed="27"/>
      </patternFill>
    </fill>
    <fill>
      <patternFill patternType="solid">
        <fgColor indexed="47"/>
        <bgColor indexed="47"/>
      </patternFill>
    </fill>
    <fill>
      <patternFill patternType="lightUp">
        <fgColor indexed="9"/>
        <bgColor indexed="55"/>
      </patternFill>
    </fill>
    <fill>
      <patternFill patternType="lightUp">
        <fgColor indexed="9"/>
        <bgColor indexed="29"/>
      </patternFill>
    </fill>
    <fill>
      <patternFill patternType="lightUp">
        <fgColor indexed="9"/>
        <bgColor indexed="22"/>
      </patternFill>
    </fill>
    <fill>
      <patternFill patternType="solid">
        <fgColor indexed="22"/>
        <bgColor indexed="9"/>
      </patternFill>
    </fill>
    <fill>
      <patternFill patternType="solid">
        <fgColor indexed="22"/>
        <bgColor indexed="55"/>
      </patternFill>
    </fill>
    <fill>
      <patternFill patternType="solid">
        <fgColor rgb="FFFFFFCC"/>
      </patternFill>
    </fill>
  </fills>
  <borders count="14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/>
      <top/>
      <bottom style="thin">
        <color indexed="22"/>
      </bottom>
      <diagonal/>
    </border>
    <border>
      <left/>
      <right/>
      <top/>
      <bottom style="hair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hair">
        <color indexed="8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</borders>
  <cellStyleXfs count="83">
    <xf numFmtId="0" fontId="0" fillId="0" borderId="0"/>
    <xf numFmtId="0" fontId="5" fillId="0" borderId="0"/>
    <xf numFmtId="0" fontId="4" fillId="0" borderId="0"/>
    <xf numFmtId="44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0" fontId="7" fillId="2" borderId="0" applyNumberFormat="0" applyBorder="0" applyAlignment="0" applyProtection="0"/>
    <xf numFmtId="0" fontId="7" fillId="2" borderId="0" applyNumberFormat="0" applyBorder="0" applyAlignment="0" applyProtection="0"/>
    <xf numFmtId="0" fontId="8" fillId="3" borderId="0" applyNumberFormat="0" applyBorder="0" applyAlignment="0" applyProtection="0"/>
    <xf numFmtId="0" fontId="7" fillId="4" borderId="0" applyNumberFormat="0" applyBorder="0" applyAlignment="0" applyProtection="0"/>
    <xf numFmtId="0" fontId="7" fillId="5" borderId="0" applyNumberFormat="0" applyBorder="0" applyAlignment="0" applyProtection="0"/>
    <xf numFmtId="0" fontId="8" fillId="6" borderId="0" applyNumberFormat="0" applyBorder="0" applyAlignment="0" applyProtection="0"/>
    <xf numFmtId="0" fontId="7" fillId="4" borderId="0" applyNumberFormat="0" applyBorder="0" applyAlignment="0" applyProtection="0"/>
    <xf numFmtId="0" fontId="7" fillId="7" borderId="0" applyNumberFormat="0" applyBorder="0" applyAlignment="0" applyProtection="0"/>
    <xf numFmtId="0" fontId="8" fillId="5" borderId="0" applyNumberFormat="0" applyBorder="0" applyAlignment="0" applyProtection="0"/>
    <xf numFmtId="0" fontId="7" fillId="2" borderId="0" applyNumberFormat="0" applyBorder="0" applyAlignment="0" applyProtection="0"/>
    <xf numFmtId="0" fontId="7" fillId="5" borderId="0" applyNumberFormat="0" applyBorder="0" applyAlignment="0" applyProtection="0"/>
    <xf numFmtId="0" fontId="8" fillId="5" borderId="0" applyNumberFormat="0" applyBorder="0" applyAlignment="0" applyProtection="0"/>
    <xf numFmtId="0" fontId="7" fillId="8" borderId="0" applyNumberFormat="0" applyBorder="0" applyAlignment="0" applyProtection="0"/>
    <xf numFmtId="0" fontId="7" fillId="2" borderId="0" applyNumberFormat="0" applyBorder="0" applyAlignment="0" applyProtection="0"/>
    <xf numFmtId="0" fontId="8" fillId="3" borderId="0" applyNumberFormat="0" applyBorder="0" applyAlignment="0" applyProtection="0"/>
    <xf numFmtId="0" fontId="7" fillId="4" borderId="0" applyNumberFormat="0" applyBorder="0" applyAlignment="0" applyProtection="0"/>
    <xf numFmtId="0" fontId="7" fillId="9" borderId="0" applyNumberFormat="0" applyBorder="0" applyAlignment="0" applyProtection="0"/>
    <xf numFmtId="0" fontId="8" fillId="9" borderId="0" applyNumberFormat="0" applyBorder="0" applyAlignment="0" applyProtection="0"/>
    <xf numFmtId="0" fontId="9" fillId="0" borderId="0">
      <alignment horizontal="center" vertical="center" wrapText="1"/>
    </xf>
    <xf numFmtId="43" fontId="5" fillId="0" borderId="0" applyFont="0" applyFill="0" applyBorder="0" applyAlignment="0" applyProtection="0"/>
    <xf numFmtId="0" fontId="10" fillId="0" borderId="0">
      <alignment horizontal="left" vertical="center" wrapText="1"/>
    </xf>
    <xf numFmtId="44" fontId="5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11" fillId="0" borderId="9" applyNumberFormat="0" applyFill="0">
      <alignment horizontal="right"/>
    </xf>
    <xf numFmtId="166" fontId="12" fillId="0" borderId="9">
      <alignment horizontal="right" vertical="center"/>
    </xf>
    <xf numFmtId="49" fontId="13" fillId="0" borderId="9">
      <alignment horizontal="left" vertical="center"/>
    </xf>
    <xf numFmtId="165" fontId="11" fillId="0" borderId="9" applyNumberFormat="0" applyFill="0">
      <alignment horizontal="right"/>
    </xf>
    <xf numFmtId="0" fontId="14" fillId="10" borderId="0" applyNumberFormat="0" applyBorder="0" applyAlignment="0" applyProtection="0"/>
    <xf numFmtId="0" fontId="14" fillId="11" borderId="0" applyNumberFormat="0" applyBorder="0" applyAlignment="0" applyProtection="0"/>
    <xf numFmtId="0" fontId="14" fillId="12" borderId="0" applyNumberFormat="0" applyBorder="0" applyAlignment="0" applyProtection="0"/>
    <xf numFmtId="0" fontId="15" fillId="0" borderId="9">
      <alignment horizontal="left"/>
    </xf>
    <xf numFmtId="0" fontId="16" fillId="0" borderId="10">
      <alignment horizontal="right" vertical="center"/>
    </xf>
    <xf numFmtId="0" fontId="17" fillId="0" borderId="9">
      <alignment horizontal="left" vertical="center"/>
    </xf>
    <xf numFmtId="0" fontId="11" fillId="0" borderId="9">
      <alignment horizontal="left" vertical="center"/>
    </xf>
    <xf numFmtId="0" fontId="15" fillId="0" borderId="9">
      <alignment horizontal="left"/>
    </xf>
    <xf numFmtId="0" fontId="15" fillId="13" borderId="0">
      <alignment horizontal="centerContinuous" wrapText="1"/>
    </xf>
    <xf numFmtId="49" fontId="15" fillId="13" borderId="11">
      <alignment horizontal="left" vertical="center"/>
    </xf>
    <xf numFmtId="0" fontId="15" fillId="13" borderId="0">
      <alignment horizontal="centerContinuous" vertical="center" wrapText="1"/>
    </xf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9" fontId="5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5" fillId="0" borderId="0" applyFont="0" applyFill="0" applyBorder="0" applyAlignment="0" applyProtection="0"/>
    <xf numFmtId="3" fontId="12" fillId="0" borderId="0">
      <alignment horizontal="left" vertical="center"/>
    </xf>
    <xf numFmtId="0" fontId="9" fillId="0" borderId="0">
      <alignment horizontal="left" vertical="center"/>
    </xf>
    <xf numFmtId="0" fontId="19" fillId="0" borderId="0" applyNumberFormat="0" applyFill="0" applyBorder="0" applyAlignment="0" applyProtection="0"/>
    <xf numFmtId="0" fontId="20" fillId="0" borderId="0">
      <alignment horizontal="right"/>
    </xf>
    <xf numFmtId="49" fontId="20" fillId="0" borderId="0">
      <alignment horizontal="center"/>
    </xf>
    <xf numFmtId="0" fontId="13" fillId="0" borderId="0">
      <alignment horizontal="right"/>
    </xf>
    <xf numFmtId="0" fontId="20" fillId="0" borderId="0">
      <alignment horizontal="left"/>
    </xf>
    <xf numFmtId="49" fontId="12" fillId="0" borderId="0">
      <alignment horizontal="left" vertical="center"/>
    </xf>
    <xf numFmtId="49" fontId="13" fillId="0" borderId="9">
      <alignment horizontal="left"/>
    </xf>
    <xf numFmtId="165" fontId="12" fillId="0" borderId="0" applyNumberFormat="0">
      <alignment horizontal="right"/>
    </xf>
    <xf numFmtId="0" fontId="16" fillId="14" borderId="0">
      <alignment horizontal="centerContinuous" vertical="center" wrapText="1"/>
    </xf>
    <xf numFmtId="0" fontId="16" fillId="0" borderId="12">
      <alignment horizontal="left" vertical="center"/>
    </xf>
    <xf numFmtId="0" fontId="21" fillId="0" borderId="0">
      <alignment horizontal="left" vertical="top"/>
    </xf>
    <xf numFmtId="0" fontId="15" fillId="0" borderId="0">
      <alignment horizontal="left"/>
    </xf>
    <xf numFmtId="0" fontId="10" fillId="0" borderId="0">
      <alignment horizontal="left"/>
    </xf>
    <xf numFmtId="0" fontId="11" fillId="0" borderId="0">
      <alignment horizontal="left"/>
    </xf>
    <xf numFmtId="0" fontId="21" fillId="0" borderId="0">
      <alignment horizontal="left" vertical="top"/>
    </xf>
    <xf numFmtId="0" fontId="10" fillId="0" borderId="0">
      <alignment horizontal="left"/>
    </xf>
    <xf numFmtId="0" fontId="11" fillId="0" borderId="0">
      <alignment horizontal="left"/>
    </xf>
    <xf numFmtId="49" fontId="12" fillId="0" borderId="9">
      <alignment horizontal="left"/>
    </xf>
    <xf numFmtId="0" fontId="16" fillId="0" borderId="10">
      <alignment horizontal="left"/>
    </xf>
    <xf numFmtId="0" fontId="15" fillId="0" borderId="0">
      <alignment horizontal="left" vertical="center"/>
    </xf>
    <xf numFmtId="49" fontId="12" fillId="0" borderId="9">
      <alignment horizontal="left"/>
    </xf>
    <xf numFmtId="0" fontId="3" fillId="0" borderId="0"/>
    <xf numFmtId="44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2" fillId="0" borderId="0"/>
    <xf numFmtId="0" fontId="2" fillId="15" borderId="13" applyNumberFormat="0" applyFont="0" applyAlignment="0" applyProtection="0"/>
    <xf numFmtId="4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1" fillId="0" borderId="0"/>
    <xf numFmtId="44" fontId="1" fillId="0" borderId="0" applyFont="0" applyFill="0" applyBorder="0" applyAlignment="0" applyProtection="0"/>
  </cellStyleXfs>
  <cellXfs count="22">
    <xf numFmtId="0" fontId="0" fillId="0" borderId="0" xfId="0"/>
    <xf numFmtId="0" fontId="22" fillId="0" borderId="0" xfId="74" applyFont="1" applyProtection="1">
      <protection locked="0"/>
    </xf>
    <xf numFmtId="44" fontId="23" fillId="0" borderId="0" xfId="75" applyFont="1" applyProtection="1">
      <protection locked="0"/>
    </xf>
    <xf numFmtId="0" fontId="23" fillId="0" borderId="0" xfId="75" applyNumberFormat="1" applyFont="1" applyProtection="1">
      <protection locked="0"/>
    </xf>
    <xf numFmtId="8" fontId="22" fillId="0" borderId="0" xfId="74" applyNumberFormat="1" applyFont="1" applyProtection="1">
      <protection locked="0"/>
    </xf>
    <xf numFmtId="8" fontId="22" fillId="0" borderId="0" xfId="74" applyNumberFormat="1" applyFont="1" applyAlignment="1" applyProtection="1">
      <alignment horizontal="center"/>
      <protection locked="0"/>
    </xf>
    <xf numFmtId="0" fontId="22" fillId="0" borderId="0" xfId="74" applyFont="1" applyAlignment="1" applyProtection="1">
      <alignment horizontal="center"/>
      <protection locked="0"/>
    </xf>
    <xf numFmtId="44" fontId="23" fillId="0" borderId="1" xfId="75" applyFont="1" applyBorder="1" applyAlignment="1" applyProtection="1">
      <alignment horizontal="center"/>
      <protection locked="0"/>
    </xf>
    <xf numFmtId="44" fontId="23" fillId="0" borderId="7" xfId="75" applyFont="1" applyBorder="1" applyProtection="1"/>
    <xf numFmtId="44" fontId="23" fillId="0" borderId="2" xfId="75" applyFont="1" applyBorder="1" applyProtection="1"/>
    <xf numFmtId="44" fontId="22" fillId="0" borderId="0" xfId="74" applyNumberFormat="1" applyFont="1" applyProtection="1">
      <protection locked="0"/>
    </xf>
    <xf numFmtId="0" fontId="23" fillId="0" borderId="3" xfId="75" applyNumberFormat="1" applyFont="1" applyBorder="1" applyAlignment="1" applyProtection="1">
      <alignment horizontal="center"/>
      <protection locked="0"/>
    </xf>
    <xf numFmtId="44" fontId="23" fillId="0" borderId="1" xfId="75" applyFont="1" applyBorder="1" applyProtection="1"/>
    <xf numFmtId="44" fontId="23" fillId="0" borderId="3" xfId="75" applyFont="1" applyBorder="1" applyProtection="1"/>
    <xf numFmtId="44" fontId="23" fillId="0" borderId="0" xfId="75" applyFont="1" applyBorder="1" applyProtection="1"/>
    <xf numFmtId="44" fontId="23" fillId="0" borderId="4" xfId="75" applyFont="1" applyBorder="1" applyProtection="1"/>
    <xf numFmtId="0" fontId="23" fillId="0" borderId="5" xfId="75" applyNumberFormat="1" applyFont="1" applyBorder="1" applyAlignment="1" applyProtection="1">
      <alignment horizontal="center"/>
      <protection locked="0"/>
    </xf>
    <xf numFmtId="44" fontId="23" fillId="0" borderId="5" xfId="75" applyFont="1" applyBorder="1" applyProtection="1"/>
    <xf numFmtId="44" fontId="23" fillId="0" borderId="8" xfId="75" applyFont="1" applyBorder="1" applyProtection="1"/>
    <xf numFmtId="44" fontId="23" fillId="0" borderId="6" xfId="75" applyFont="1" applyBorder="1" applyProtection="1"/>
    <xf numFmtId="0" fontId="22" fillId="0" borderId="0" xfId="74" applyFont="1" applyBorder="1" applyProtection="1">
      <protection locked="0"/>
    </xf>
    <xf numFmtId="0" fontId="24" fillId="0" borderId="0" xfId="74" applyFont="1" applyAlignment="1" applyProtection="1">
      <alignment horizontal="center" vertical="center"/>
      <protection locked="0"/>
    </xf>
  </cellXfs>
  <cellStyles count="83">
    <cellStyle name="Accent1 - 20%" xfId="5"/>
    <cellStyle name="Accent1 - 40%" xfId="6"/>
    <cellStyle name="Accent1 - 60%" xfId="7"/>
    <cellStyle name="Accent2 - 20%" xfId="8"/>
    <cellStyle name="Accent2 - 40%" xfId="9"/>
    <cellStyle name="Accent2 - 60%" xfId="10"/>
    <cellStyle name="Accent3 - 20%" xfId="11"/>
    <cellStyle name="Accent3 - 40%" xfId="12"/>
    <cellStyle name="Accent3 - 60%" xfId="13"/>
    <cellStyle name="Accent4 - 20%" xfId="14"/>
    <cellStyle name="Accent4 - 40%" xfId="15"/>
    <cellStyle name="Accent4 - 60%" xfId="16"/>
    <cellStyle name="Accent5 - 20%" xfId="17"/>
    <cellStyle name="Accent5 - 40%" xfId="18"/>
    <cellStyle name="Accent5 - 60%" xfId="19"/>
    <cellStyle name="Accent6 - 20%" xfId="20"/>
    <cellStyle name="Accent6 - 40%" xfId="21"/>
    <cellStyle name="Accent6 - 60%" xfId="22"/>
    <cellStyle name="Column heading" xfId="23"/>
    <cellStyle name="Comma 2" xfId="24"/>
    <cellStyle name="Comma 3" xfId="80"/>
    <cellStyle name="Corner heading" xfId="25"/>
    <cellStyle name="Currency 2" xfId="3"/>
    <cellStyle name="Currency 3" xfId="26"/>
    <cellStyle name="Currency 4" xfId="27"/>
    <cellStyle name="Currency 5" xfId="75"/>
    <cellStyle name="Currency 6" xfId="79"/>
    <cellStyle name="Currency 7" xfId="82"/>
    <cellStyle name="Data" xfId="28"/>
    <cellStyle name="Data no deci" xfId="29"/>
    <cellStyle name="Data Superscript" xfId="30"/>
    <cellStyle name="Data_1-1A-Regular" xfId="31"/>
    <cellStyle name="Emphasis 1" xfId="32"/>
    <cellStyle name="Emphasis 2" xfId="33"/>
    <cellStyle name="Emphasis 3" xfId="34"/>
    <cellStyle name="Hed Side" xfId="35"/>
    <cellStyle name="Hed Side bold" xfId="36"/>
    <cellStyle name="Hed Side Indent" xfId="37"/>
    <cellStyle name="Hed Side Regular" xfId="38"/>
    <cellStyle name="Hed Side_1-1A-Regular" xfId="39"/>
    <cellStyle name="Hed Top" xfId="40"/>
    <cellStyle name="Hed Top - SECTION" xfId="41"/>
    <cellStyle name="Hed Top_3-new4" xfId="42"/>
    <cellStyle name="Normal" xfId="0" builtinId="0"/>
    <cellStyle name="Normal 2" xfId="1"/>
    <cellStyle name="Normal 2 2" xfId="43"/>
    <cellStyle name="Normal 2 3" xfId="44"/>
    <cellStyle name="Normal 2_E-UniqueLists" xfId="45"/>
    <cellStyle name="Normal 3" xfId="2"/>
    <cellStyle name="Normal 3 2" xfId="46"/>
    <cellStyle name="Normal 4" xfId="47"/>
    <cellStyle name="Normal 5" xfId="74"/>
    <cellStyle name="Normal 6" xfId="77"/>
    <cellStyle name="Normal 7" xfId="81"/>
    <cellStyle name="Note 2" xfId="78"/>
    <cellStyle name="Percent 2" xfId="4"/>
    <cellStyle name="Percent 2 2" xfId="48"/>
    <cellStyle name="Percent 3" xfId="49"/>
    <cellStyle name="Percent 3 2" xfId="50"/>
    <cellStyle name="Percent 4" xfId="76"/>
    <cellStyle name="Reference" xfId="51"/>
    <cellStyle name="Row heading" xfId="52"/>
    <cellStyle name="Sheet Title" xfId="53"/>
    <cellStyle name="Source Hed" xfId="54"/>
    <cellStyle name="Source Letter" xfId="55"/>
    <cellStyle name="Source Superscript" xfId="56"/>
    <cellStyle name="Source Text" xfId="57"/>
    <cellStyle name="State" xfId="58"/>
    <cellStyle name="Superscript" xfId="59"/>
    <cellStyle name="Table Data" xfId="60"/>
    <cellStyle name="Table Head Top" xfId="61"/>
    <cellStyle name="Table Hed Side" xfId="62"/>
    <cellStyle name="Table Title" xfId="63"/>
    <cellStyle name="Title Text" xfId="64"/>
    <cellStyle name="Title Text 1" xfId="65"/>
    <cellStyle name="Title Text 2" xfId="66"/>
    <cellStyle name="Title-1" xfId="67"/>
    <cellStyle name="Title-2" xfId="68"/>
    <cellStyle name="Title-3" xfId="69"/>
    <cellStyle name="Wrap" xfId="70"/>
    <cellStyle name="Wrap Bold" xfId="71"/>
    <cellStyle name="Wrap Title" xfId="72"/>
    <cellStyle name="Wrap_A-GraphsStarter" xfId="73"/>
  </cellStyles>
  <dxfs count="1">
    <dxf>
      <font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15875</xdr:colOff>
      <xdr:row>1</xdr:row>
      <xdr:rowOff>134937</xdr:rowOff>
    </xdr:from>
    <xdr:to>
      <xdr:col>6</xdr:col>
      <xdr:colOff>365125</xdr:colOff>
      <xdr:row>4</xdr:row>
      <xdr:rowOff>71437</xdr:rowOff>
    </xdr:to>
    <xdr:sp macro="" textlink="">
      <xdr:nvSpPr>
        <xdr:cNvPr id="3" name="Rounded Rectangle 2"/>
        <xdr:cNvSpPr/>
      </xdr:nvSpPr>
      <xdr:spPr>
        <a:xfrm>
          <a:off x="2246313" y="333375"/>
          <a:ext cx="2206625" cy="5080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400" b="1"/>
            <a:t>Ctrl + Shift + A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L27"/>
  <sheetViews>
    <sheetView tabSelected="1" zoomScale="120" zoomScaleNormal="120" workbookViewId="0">
      <selection activeCell="C7" sqref="C7"/>
    </sheetView>
  </sheetViews>
  <sheetFormatPr defaultRowHeight="15" x14ac:dyDescent="0.25"/>
  <cols>
    <col min="1" max="1" width="16.28515625" style="1" bestFit="1" customWidth="1"/>
    <col min="2" max="2" width="9.140625" style="1"/>
    <col min="3" max="3" width="8" style="1" bestFit="1" customWidth="1"/>
    <col min="4" max="5" width="9.140625" style="1"/>
    <col min="6" max="6" width="9.5703125" style="1" bestFit="1" customWidth="1"/>
    <col min="7" max="16384" width="9.140625" style="1"/>
  </cols>
  <sheetData>
    <row r="1" spans="1:12" ht="15.75" customHeight="1" x14ac:dyDescent="0.25">
      <c r="A1" s="1" t="s">
        <v>3</v>
      </c>
      <c r="B1" s="2">
        <v>40</v>
      </c>
    </row>
    <row r="2" spans="1:12" x14ac:dyDescent="0.25">
      <c r="A2" s="1" t="s">
        <v>0</v>
      </c>
      <c r="B2" s="1">
        <v>7.4999999999999997E-2</v>
      </c>
    </row>
    <row r="3" spans="1:12" x14ac:dyDescent="0.25">
      <c r="A3" s="1" t="s">
        <v>2</v>
      </c>
      <c r="B3" s="1">
        <v>0.2</v>
      </c>
    </row>
    <row r="4" spans="1:12" x14ac:dyDescent="0.25">
      <c r="A4" s="1" t="s">
        <v>4</v>
      </c>
      <c r="B4" s="3">
        <v>6</v>
      </c>
    </row>
    <row r="5" spans="1:12" x14ac:dyDescent="0.25">
      <c r="B5" s="4"/>
    </row>
    <row r="6" spans="1:12" ht="15.75" thickBot="1" x14ac:dyDescent="0.3">
      <c r="A6" s="5" t="s">
        <v>1</v>
      </c>
      <c r="B6" s="6">
        <v>0</v>
      </c>
      <c r="C6" s="6">
        <v>1</v>
      </c>
      <c r="D6" s="6">
        <v>2</v>
      </c>
      <c r="E6" s="6">
        <v>3</v>
      </c>
      <c r="F6" s="6">
        <v>4</v>
      </c>
      <c r="G6" s="6">
        <v>5</v>
      </c>
      <c r="H6" s="6">
        <v>6</v>
      </c>
      <c r="I6" s="6" t="s">
        <v>5</v>
      </c>
      <c r="J6" s="6" t="s">
        <v>6</v>
      </c>
    </row>
    <row r="7" spans="1:12" ht="15.75" thickBot="1" x14ac:dyDescent="0.3">
      <c r="A7" s="7"/>
      <c r="B7" s="8">
        <f>$B$1</f>
        <v>40</v>
      </c>
      <c r="C7" s="8">
        <f t="shared" ref="C7:H7" ca="1" si="0">B7*EXP(NORMINV(RAND(), $B$2-0.5*$B$3^2, $B$3))</f>
        <v>34.447638177289683</v>
      </c>
      <c r="D7" s="8">
        <f t="shared" ca="1" si="0"/>
        <v>29.623995457106215</v>
      </c>
      <c r="E7" s="8">
        <f t="shared" ca="1" si="0"/>
        <v>44.507206975907145</v>
      </c>
      <c r="F7" s="8">
        <f t="shared" ca="1" si="0"/>
        <v>62.159459200966474</v>
      </c>
      <c r="G7" s="8">
        <f t="shared" ca="1" si="0"/>
        <v>72.812487862836917</v>
      </c>
      <c r="H7" s="8">
        <f t="shared" ca="1" si="0"/>
        <v>79.208814276963111</v>
      </c>
      <c r="I7" s="8">
        <f ca="1">AVERAGE(B7:H7)</f>
        <v>51.822800278724223</v>
      </c>
      <c r="J7" s="9">
        <f ca="1">MAX(0,I7-$B$4)</f>
        <v>45.822800278724223</v>
      </c>
      <c r="L7" s="10"/>
    </row>
    <row r="8" spans="1:12" x14ac:dyDescent="0.25">
      <c r="A8" s="11"/>
      <c r="B8" s="12"/>
      <c r="C8" s="8"/>
      <c r="D8" s="8"/>
      <c r="E8" s="8"/>
      <c r="F8" s="8"/>
      <c r="G8" s="8"/>
      <c r="H8" s="8"/>
      <c r="I8" s="8"/>
      <c r="J8" s="9"/>
      <c r="L8" s="10"/>
    </row>
    <row r="9" spans="1:12" x14ac:dyDescent="0.25">
      <c r="A9" s="11"/>
      <c r="B9" s="13"/>
      <c r="C9" s="14"/>
      <c r="D9" s="14"/>
      <c r="E9" s="14"/>
      <c r="F9" s="14"/>
      <c r="G9" s="14"/>
      <c r="H9" s="14"/>
      <c r="I9" s="14"/>
      <c r="J9" s="15"/>
      <c r="L9" s="10"/>
    </row>
    <row r="10" spans="1:12" x14ac:dyDescent="0.25">
      <c r="A10" s="11"/>
      <c r="B10" s="13"/>
      <c r="C10" s="14"/>
      <c r="D10" s="14"/>
      <c r="E10" s="14"/>
      <c r="F10" s="14"/>
      <c r="G10" s="14"/>
      <c r="H10" s="14"/>
      <c r="I10" s="14"/>
      <c r="J10" s="15"/>
      <c r="L10" s="10"/>
    </row>
    <row r="11" spans="1:12" x14ac:dyDescent="0.25">
      <c r="A11" s="11"/>
      <c r="B11" s="13"/>
      <c r="C11" s="14"/>
      <c r="D11" s="14"/>
      <c r="E11" s="14"/>
      <c r="F11" s="14"/>
      <c r="G11" s="14"/>
      <c r="H11" s="14"/>
      <c r="I11" s="14"/>
      <c r="J11" s="15"/>
      <c r="L11" s="10"/>
    </row>
    <row r="12" spans="1:12" x14ac:dyDescent="0.25">
      <c r="A12" s="11"/>
      <c r="B12" s="13"/>
      <c r="C12" s="14"/>
      <c r="D12" s="14"/>
      <c r="E12" s="14"/>
      <c r="F12" s="14"/>
      <c r="G12" s="14"/>
      <c r="H12" s="14"/>
      <c r="I12" s="14"/>
      <c r="J12" s="15"/>
      <c r="L12" s="10"/>
    </row>
    <row r="13" spans="1:12" x14ac:dyDescent="0.25">
      <c r="A13" s="11"/>
      <c r="B13" s="13"/>
      <c r="C13" s="14"/>
      <c r="D13" s="14"/>
      <c r="E13" s="14"/>
      <c r="F13" s="14"/>
      <c r="G13" s="14"/>
      <c r="H13" s="14"/>
      <c r="I13" s="14"/>
      <c r="J13" s="15"/>
    </row>
    <row r="14" spans="1:12" x14ac:dyDescent="0.25">
      <c r="A14" s="11"/>
      <c r="B14" s="13"/>
      <c r="C14" s="14"/>
      <c r="D14" s="14"/>
      <c r="E14" s="14"/>
      <c r="F14" s="14"/>
      <c r="G14" s="14"/>
      <c r="H14" s="14"/>
      <c r="I14" s="14"/>
      <c r="J14" s="15"/>
    </row>
    <row r="15" spans="1:12" x14ac:dyDescent="0.25">
      <c r="A15" s="11"/>
      <c r="B15" s="13"/>
      <c r="C15" s="14"/>
      <c r="D15" s="14"/>
      <c r="E15" s="14"/>
      <c r="F15" s="14"/>
      <c r="G15" s="14"/>
      <c r="H15" s="14"/>
      <c r="I15" s="14"/>
      <c r="J15" s="15"/>
    </row>
    <row r="16" spans="1:12" ht="15.75" thickBot="1" x14ac:dyDescent="0.3">
      <c r="A16" s="16"/>
      <c r="B16" s="17"/>
      <c r="C16" s="18"/>
      <c r="D16" s="18"/>
      <c r="E16" s="18"/>
      <c r="F16" s="18"/>
      <c r="G16" s="18"/>
      <c r="H16" s="18"/>
      <c r="I16" s="18"/>
      <c r="J16" s="19"/>
    </row>
    <row r="18" spans="2:10" ht="15" customHeight="1" x14ac:dyDescent="0.25">
      <c r="B18" s="21" t="s">
        <v>7</v>
      </c>
      <c r="C18" s="21"/>
      <c r="D18" s="21"/>
      <c r="E18" s="21"/>
      <c r="F18" s="21"/>
      <c r="G18" s="21"/>
      <c r="H18" s="21"/>
      <c r="I18" s="21"/>
      <c r="J18" s="21"/>
    </row>
    <row r="19" spans="2:10" ht="15" customHeight="1" x14ac:dyDescent="0.25">
      <c r="B19" s="21"/>
      <c r="C19" s="21"/>
      <c r="D19" s="21"/>
      <c r="E19" s="21"/>
      <c r="F19" s="21"/>
      <c r="G19" s="21"/>
      <c r="H19" s="21"/>
      <c r="I19" s="21"/>
      <c r="J19" s="21"/>
    </row>
    <row r="27" spans="2:10" x14ac:dyDescent="0.25">
      <c r="C27" s="20"/>
    </row>
  </sheetData>
  <mergeCells count="1">
    <mergeCell ref="B18:J19"/>
  </mergeCells>
  <conditionalFormatting sqref="C7:H16">
    <cfRule type="expression" dxfId="0" priority="1">
      <formula>C7&lt;B7</formula>
    </cfRule>
  </conditionalFormatting>
  <pageMargins left="0.7" right="0.7" top="0.75" bottom="0.75" header="0.3" footer="0.3"/>
  <drawing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Application>Microsoft Excel</Application>
  <DocSecurity>0</DocSecurity>
  <PresentationFormat/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AsianOption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Gerry</dc:creator>
  <cp:lastModifiedBy>Gerry</cp:lastModifiedBy>
  <cp:revision/>
  <dcterms:created xsi:type="dcterms:W3CDTF">2012-12-16T11:14:23Z</dcterms:created>
  <dcterms:modified xsi:type="dcterms:W3CDTF">2016-11-11T14:23:38Z</dcterms:modified>
</cp:coreProperties>
</file>