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7-Finance\"/>
    </mc:Choice>
  </mc:AlternateContent>
  <bookViews>
    <workbookView xWindow="360" yWindow="45" windowWidth="11340" windowHeight="4500" tabRatio="727"/>
  </bookViews>
  <sheets>
    <sheet name="APR" sheetId="15" r:id="rId1"/>
  </sheets>
  <calcPr calcId="152511"/>
</workbook>
</file>

<file path=xl/calcChain.xml><?xml version="1.0" encoding="utf-8"?>
<calcChain xmlns="http://schemas.openxmlformats.org/spreadsheetml/2006/main">
  <c r="E2" i="15" l="1"/>
  <c r="F2" i="15" s="1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D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F3" i="15" l="1"/>
  <c r="F4" i="15" s="1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F17" i="15" s="1"/>
  <c r="F18" i="15" s="1"/>
  <c r="F19" i="15" s="1"/>
  <c r="F20" i="15" s="1"/>
  <c r="F21" i="15" s="1"/>
  <c r="F22" i="15" s="1"/>
  <c r="F23" i="15" s="1"/>
  <c r="F24" i="15" s="1"/>
  <c r="F25" i="15" s="1"/>
  <c r="F26" i="15" s="1"/>
  <c r="F27" i="15" s="1"/>
  <c r="F28" i="15" s="1"/>
  <c r="F29" i="15" s="1"/>
  <c r="F30" i="15" s="1"/>
  <c r="F31" i="15" s="1"/>
  <c r="I1" i="15" s="1"/>
  <c r="B5" i="15"/>
</calcChain>
</file>

<file path=xl/comments1.xml><?xml version="1.0" encoding="utf-8"?>
<comments xmlns="http://schemas.openxmlformats.org/spreadsheetml/2006/main">
  <authors>
    <author>Gerry</author>
  </authors>
  <commentList>
    <comment ref="B5" authorId="0" shapeId="0">
      <text>
        <r>
          <rPr>
            <b/>
            <sz val="11"/>
            <color indexed="81"/>
            <rFont val="Tahoma"/>
            <family val="2"/>
          </rPr>
          <t>=B1*(1+B3)^B2</t>
        </r>
      </text>
    </comment>
  </commentList>
</comments>
</file>

<file path=xl/sharedStrings.xml><?xml version="1.0" encoding="utf-8"?>
<sst xmlns="http://schemas.openxmlformats.org/spreadsheetml/2006/main" count="8" uniqueCount="7">
  <si>
    <t>APR</t>
  </si>
  <si>
    <t>Year</t>
  </si>
  <si>
    <t>Volatility</t>
  </si>
  <si>
    <t>Deposit</t>
  </si>
  <si>
    <t>Number of yrs.</t>
  </si>
  <si>
    <t>Savings</t>
  </si>
  <si>
    <t>Savings w/o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</si>
</sst>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#,##0.00;[Red]&quot;$&quot;#,##0.00"/>
    <numFmt numFmtId="166" formatCode="&quot;$&quot;#,##0.00;[Red]\-&quot;$&quot;#,##0.00"/>
    <numFmt numFmtId="167" formatCode="###0.00_)"/>
    <numFmt numFmtId="168" formatCode="#,##0_)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1"/>
      <color rgb="FFFA7D00"/>
      <name val="Calibri"/>
      <family val="2"/>
      <scheme val="minor"/>
    </font>
    <font>
      <b/>
      <sz val="11"/>
      <color indexed="81"/>
      <name val="Tahoma"/>
      <family val="2"/>
    </font>
    <font>
      <b/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6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6" fillId="4" borderId="0" applyNumberFormat="0" applyBorder="0" applyAlignment="0" applyProtection="0"/>
    <xf numFmtId="0" fontId="6" fillId="7" borderId="0" applyNumberFormat="0" applyBorder="0" applyAlignment="0" applyProtection="0"/>
    <xf numFmtId="0" fontId="7" fillId="5" borderId="0" applyNumberFormat="0" applyBorder="0" applyAlignment="0" applyProtection="0"/>
    <xf numFmtId="0" fontId="6" fillId="2" borderId="0" applyNumberFormat="0" applyBorder="0" applyAlignment="0" applyProtection="0"/>
    <xf numFmtId="0" fontId="6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9" borderId="0" applyNumberFormat="0" applyBorder="0" applyAlignment="0" applyProtection="0"/>
    <xf numFmtId="0" fontId="7" fillId="9" borderId="0" applyNumberFormat="0" applyBorder="0" applyAlignment="0" applyProtection="0"/>
    <xf numFmtId="0" fontId="8" fillId="0" borderId="0">
      <alignment horizontal="center" vertical="center" wrapText="1"/>
    </xf>
    <xf numFmtId="43" fontId="5" fillId="0" borderId="0" applyFont="0" applyFill="0" applyBorder="0" applyAlignment="0" applyProtection="0"/>
    <xf numFmtId="0" fontId="9" fillId="0" borderId="0">
      <alignment horizontal="left" vertical="center" wrapText="1"/>
    </xf>
    <xf numFmtId="44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10" fillId="0" borderId="6" applyNumberFormat="0" applyFill="0">
      <alignment horizontal="right"/>
    </xf>
    <xf numFmtId="168" fontId="11" fillId="0" borderId="6">
      <alignment horizontal="right" vertical="center"/>
    </xf>
    <xf numFmtId="49" fontId="12" fillId="0" borderId="6">
      <alignment horizontal="left" vertical="center"/>
    </xf>
    <xf numFmtId="167" fontId="10" fillId="0" borderId="6" applyNumberFormat="0" applyFill="0">
      <alignment horizontal="right"/>
    </xf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4" fillId="0" borderId="6">
      <alignment horizontal="left"/>
    </xf>
    <xf numFmtId="0" fontId="15" fillId="0" borderId="7">
      <alignment horizontal="right" vertical="center"/>
    </xf>
    <xf numFmtId="0" fontId="16" fillId="0" borderId="6">
      <alignment horizontal="left" vertical="center"/>
    </xf>
    <xf numFmtId="0" fontId="10" fillId="0" borderId="6">
      <alignment horizontal="left" vertical="center"/>
    </xf>
    <xf numFmtId="0" fontId="14" fillId="0" borderId="6">
      <alignment horizontal="left"/>
    </xf>
    <xf numFmtId="0" fontId="14" fillId="13" borderId="0">
      <alignment horizontal="centerContinuous" wrapText="1"/>
    </xf>
    <xf numFmtId="49" fontId="14" fillId="13" borderId="8">
      <alignment horizontal="left" vertical="center"/>
    </xf>
    <xf numFmtId="0" fontId="14" fillId="13" borderId="0">
      <alignment horizontal="centerContinuous" vertical="center" wrapTex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5" fillId="0" borderId="0" applyFont="0" applyFill="0" applyBorder="0" applyAlignment="0" applyProtection="0"/>
    <xf numFmtId="3" fontId="11" fillId="0" borderId="0">
      <alignment horizontal="left" vertical="center"/>
    </xf>
    <xf numFmtId="0" fontId="8" fillId="0" borderId="0">
      <alignment horizontal="left" vertical="center"/>
    </xf>
    <xf numFmtId="0" fontId="18" fillId="0" borderId="0" applyNumberFormat="0" applyFill="0" applyBorder="0" applyAlignment="0" applyProtection="0"/>
    <xf numFmtId="0" fontId="19" fillId="0" borderId="0">
      <alignment horizontal="right"/>
    </xf>
    <xf numFmtId="49" fontId="19" fillId="0" borderId="0">
      <alignment horizontal="center"/>
    </xf>
    <xf numFmtId="0" fontId="12" fillId="0" borderId="0">
      <alignment horizontal="right"/>
    </xf>
    <xf numFmtId="0" fontId="19" fillId="0" borderId="0">
      <alignment horizontal="left"/>
    </xf>
    <xf numFmtId="49" fontId="11" fillId="0" borderId="0">
      <alignment horizontal="left" vertical="center"/>
    </xf>
    <xf numFmtId="49" fontId="12" fillId="0" borderId="6">
      <alignment horizontal="left"/>
    </xf>
    <xf numFmtId="167" fontId="11" fillId="0" borderId="0" applyNumberFormat="0">
      <alignment horizontal="right"/>
    </xf>
    <xf numFmtId="0" fontId="15" fillId="14" borderId="0">
      <alignment horizontal="centerContinuous" vertical="center" wrapText="1"/>
    </xf>
    <xf numFmtId="0" fontId="15" fillId="0" borderId="9">
      <alignment horizontal="left" vertical="center"/>
    </xf>
    <xf numFmtId="0" fontId="20" fillId="0" borderId="0">
      <alignment horizontal="left" vertical="top"/>
    </xf>
    <xf numFmtId="0" fontId="14" fillId="0" borderId="0">
      <alignment horizontal="left"/>
    </xf>
    <xf numFmtId="0" fontId="9" fillId="0" borderId="0">
      <alignment horizontal="left"/>
    </xf>
    <xf numFmtId="0" fontId="10" fillId="0" borderId="0">
      <alignment horizontal="left"/>
    </xf>
    <xf numFmtId="0" fontId="20" fillId="0" borderId="0">
      <alignment horizontal="left" vertical="top"/>
    </xf>
    <xf numFmtId="0" fontId="9" fillId="0" borderId="0">
      <alignment horizontal="left"/>
    </xf>
    <xf numFmtId="0" fontId="10" fillId="0" borderId="0">
      <alignment horizontal="left"/>
    </xf>
    <xf numFmtId="49" fontId="11" fillId="0" borderId="6">
      <alignment horizontal="left"/>
    </xf>
    <xf numFmtId="0" fontId="15" fillId="0" borderId="7">
      <alignment horizontal="left"/>
    </xf>
    <xf numFmtId="0" fontId="14" fillId="0" borderId="0">
      <alignment horizontal="left" vertical="center"/>
    </xf>
    <xf numFmtId="49" fontId="11" fillId="0" borderId="6">
      <alignment horizontal="left"/>
    </xf>
    <xf numFmtId="0" fontId="21" fillId="16" borderId="1" applyNumberFormat="0" applyAlignment="0" applyProtection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2" fillId="15" borderId="10" applyNumberFormat="0" applyFont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23" fillId="0" borderId="0" xfId="0" applyFont="1" applyProtection="1">
      <protection locked="0"/>
    </xf>
    <xf numFmtId="44" fontId="23" fillId="0" borderId="0" xfId="1" applyFont="1" applyProtection="1">
      <protection locked="0"/>
    </xf>
    <xf numFmtId="0" fontId="23" fillId="0" borderId="0" xfId="0" applyFont="1" applyAlignment="1" applyProtection="1">
      <alignment horizontal="center"/>
      <protection locked="0"/>
    </xf>
    <xf numFmtId="0" fontId="23" fillId="0" borderId="2" xfId="0" applyFont="1" applyBorder="1" applyProtection="1">
      <protection locked="0"/>
    </xf>
    <xf numFmtId="44" fontId="23" fillId="0" borderId="3" xfId="1" applyFont="1" applyBorder="1" applyProtection="1"/>
    <xf numFmtId="10" fontId="23" fillId="0" borderId="0" xfId="2" applyNumberFormat="1" applyFont="1" applyProtection="1"/>
    <xf numFmtId="44" fontId="23" fillId="0" borderId="0" xfId="1" applyFont="1" applyProtection="1"/>
    <xf numFmtId="0" fontId="23" fillId="0" borderId="4" xfId="0" applyFont="1" applyBorder="1" applyProtection="1">
      <protection locked="0"/>
    </xf>
    <xf numFmtId="44" fontId="23" fillId="0" borderId="12" xfId="1" applyFont="1" applyBorder="1" applyProtection="1"/>
    <xf numFmtId="9" fontId="23" fillId="0" borderId="0" xfId="0" applyNumberFormat="1" applyFont="1" applyProtection="1">
      <protection locked="0"/>
    </xf>
    <xf numFmtId="44" fontId="23" fillId="0" borderId="11" xfId="1" applyFont="1" applyBorder="1" applyProtection="1"/>
    <xf numFmtId="164" fontId="23" fillId="0" borderId="0" xfId="0" applyNumberFormat="1" applyFont="1" applyProtection="1">
      <protection locked="0"/>
    </xf>
    <xf numFmtId="165" fontId="21" fillId="16" borderId="1" xfId="76" applyNumberFormat="1" applyFont="1" applyProtection="1"/>
    <xf numFmtId="0" fontId="23" fillId="0" borderId="5" xfId="0" applyFont="1" applyBorder="1" applyProtection="1">
      <protection locked="0"/>
    </xf>
    <xf numFmtId="44" fontId="23" fillId="0" borderId="13" xfId="1" applyFont="1" applyBorder="1" applyProtection="1"/>
  </cellXfs>
  <cellStyles count="86">
    <cellStyle name="Accent1 - 20%" xfId="7"/>
    <cellStyle name="Accent1 - 40%" xfId="8"/>
    <cellStyle name="Accent1 - 60%" xfId="9"/>
    <cellStyle name="Accent2 - 20%" xfId="10"/>
    <cellStyle name="Accent2 - 40%" xfId="11"/>
    <cellStyle name="Accent2 - 60%" xfId="12"/>
    <cellStyle name="Accent3 - 20%" xfId="13"/>
    <cellStyle name="Accent3 - 40%" xfId="14"/>
    <cellStyle name="Accent3 - 60%" xfId="15"/>
    <cellStyle name="Accent4 - 20%" xfId="16"/>
    <cellStyle name="Accent4 - 40%" xfId="17"/>
    <cellStyle name="Accent4 - 60%" xfId="18"/>
    <cellStyle name="Accent5 - 20%" xfId="19"/>
    <cellStyle name="Accent5 - 40%" xfId="20"/>
    <cellStyle name="Accent5 - 60%" xfId="21"/>
    <cellStyle name="Accent6 - 20%" xfId="22"/>
    <cellStyle name="Accent6 - 40%" xfId="23"/>
    <cellStyle name="Accent6 - 60%" xfId="24"/>
    <cellStyle name="Calculation" xfId="76" builtinId="22"/>
    <cellStyle name="Column heading" xfId="25"/>
    <cellStyle name="Comma 2" xfId="26"/>
    <cellStyle name="Comma 3" xfId="83"/>
    <cellStyle name="Corner heading" xfId="27"/>
    <cellStyle name="Currency" xfId="1" builtinId="4"/>
    <cellStyle name="Currency 2" xfId="5"/>
    <cellStyle name="Currency 3" xfId="28"/>
    <cellStyle name="Currency 4" xfId="29"/>
    <cellStyle name="Currency 5" xfId="78"/>
    <cellStyle name="Currency 6" xfId="82"/>
    <cellStyle name="Currency 7" xfId="85"/>
    <cellStyle name="Data" xfId="30"/>
    <cellStyle name="Data no deci" xfId="31"/>
    <cellStyle name="Data Superscript" xfId="32"/>
    <cellStyle name="Data_1-1A-Regular" xfId="33"/>
    <cellStyle name="Emphasis 1" xfId="34"/>
    <cellStyle name="Emphasis 2" xfId="35"/>
    <cellStyle name="Emphasis 3" xfId="36"/>
    <cellStyle name="Hed Side" xfId="37"/>
    <cellStyle name="Hed Side bold" xfId="38"/>
    <cellStyle name="Hed Side Indent" xfId="39"/>
    <cellStyle name="Hed Side Regular" xfId="40"/>
    <cellStyle name="Hed Side_1-1A-Regular" xfId="41"/>
    <cellStyle name="Hed Top" xfId="42"/>
    <cellStyle name="Hed Top - SECTION" xfId="43"/>
    <cellStyle name="Hed Top_3-new4" xfId="44"/>
    <cellStyle name="Normal" xfId="0" builtinId="0"/>
    <cellStyle name="Normal 2" xfId="3"/>
    <cellStyle name="Normal 2 2" xfId="45"/>
    <cellStyle name="Normal 2 3" xfId="46"/>
    <cellStyle name="Normal 2_E-UniqueLists" xfId="47"/>
    <cellStyle name="Normal 3" xfId="4"/>
    <cellStyle name="Normal 3 2" xfId="48"/>
    <cellStyle name="Normal 4" xfId="49"/>
    <cellStyle name="Normal 5" xfId="77"/>
    <cellStyle name="Normal 6" xfId="80"/>
    <cellStyle name="Normal 7" xfId="84"/>
    <cellStyle name="Note 2" xfId="81"/>
    <cellStyle name="Percent" xfId="2" builtinId="5"/>
    <cellStyle name="Percent 2" xfId="6"/>
    <cellStyle name="Percent 2 2" xfId="50"/>
    <cellStyle name="Percent 3" xfId="51"/>
    <cellStyle name="Percent 3 2" xfId="52"/>
    <cellStyle name="Percent 4" xfId="79"/>
    <cellStyle name="Reference" xfId="53"/>
    <cellStyle name="Row heading" xfId="54"/>
    <cellStyle name="Sheet Title" xfId="55"/>
    <cellStyle name="Source Hed" xfId="56"/>
    <cellStyle name="Source Letter" xfId="57"/>
    <cellStyle name="Source Superscript" xfId="58"/>
    <cellStyle name="Source Text" xfId="59"/>
    <cellStyle name="State" xfId="60"/>
    <cellStyle name="Superscript" xfId="61"/>
    <cellStyle name="Table Data" xfId="62"/>
    <cellStyle name="Table Head Top" xfId="63"/>
    <cellStyle name="Table Hed Side" xfId="64"/>
    <cellStyle name="Table Title" xfId="65"/>
    <cellStyle name="Title Text" xfId="66"/>
    <cellStyle name="Title Text 1" xfId="67"/>
    <cellStyle name="Title Text 2" xfId="68"/>
    <cellStyle name="Title-1" xfId="69"/>
    <cellStyle name="Title-2" xfId="70"/>
    <cellStyle name="Title-3" xfId="71"/>
    <cellStyle name="Wrap" xfId="72"/>
    <cellStyle name="Wrap Bold" xfId="73"/>
    <cellStyle name="Wrap Title" xfId="74"/>
    <cellStyle name="Wrap_A-GraphsStarter" xfId="7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APR!$E$1</c:f>
              <c:strCache>
                <c:ptCount val="1"/>
                <c:pt idx="0">
                  <c:v>APR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APR!$D$2:$D$31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APR!$E$2:$E$31</c:f>
              <c:numCache>
                <c:formatCode>0.00%</c:formatCode>
                <c:ptCount val="30"/>
                <c:pt idx="0">
                  <c:v>4.4597394498475752E-2</c:v>
                </c:pt>
                <c:pt idx="1">
                  <c:v>4.0441303397660215E-2</c:v>
                </c:pt>
                <c:pt idx="2">
                  <c:v>3.5542673040909245E-2</c:v>
                </c:pt>
                <c:pt idx="3">
                  <c:v>4.5723200054345894E-2</c:v>
                </c:pt>
                <c:pt idx="4">
                  <c:v>4.0605081883220435E-2</c:v>
                </c:pt>
                <c:pt idx="5">
                  <c:v>4.1612779197953136E-2</c:v>
                </c:pt>
                <c:pt idx="6">
                  <c:v>4.3482981405414407E-2</c:v>
                </c:pt>
                <c:pt idx="7">
                  <c:v>3.6649186266989729E-2</c:v>
                </c:pt>
                <c:pt idx="8">
                  <c:v>3.9840815961893393E-2</c:v>
                </c:pt>
                <c:pt idx="9">
                  <c:v>4.0403931238563812E-2</c:v>
                </c:pt>
                <c:pt idx="10">
                  <c:v>4.0698564311111338E-2</c:v>
                </c:pt>
                <c:pt idx="11">
                  <c:v>4.0675158165340716E-2</c:v>
                </c:pt>
                <c:pt idx="12">
                  <c:v>3.933421501768318E-2</c:v>
                </c:pt>
                <c:pt idx="13">
                  <c:v>3.6683384068093391E-2</c:v>
                </c:pt>
                <c:pt idx="14">
                  <c:v>3.663509275181568E-2</c:v>
                </c:pt>
                <c:pt idx="15">
                  <c:v>3.6420823094285557E-2</c:v>
                </c:pt>
                <c:pt idx="16">
                  <c:v>4.0922453209476572E-2</c:v>
                </c:pt>
                <c:pt idx="17">
                  <c:v>3.9362129514773234E-2</c:v>
                </c:pt>
                <c:pt idx="18">
                  <c:v>4.0285910689961534E-2</c:v>
                </c:pt>
                <c:pt idx="19">
                  <c:v>3.9865012321503024E-2</c:v>
                </c:pt>
                <c:pt idx="20">
                  <c:v>3.8595060253051448E-2</c:v>
                </c:pt>
                <c:pt idx="21">
                  <c:v>4.1100824353198354E-2</c:v>
                </c:pt>
                <c:pt idx="22">
                  <c:v>3.8104344716524713E-2</c:v>
                </c:pt>
                <c:pt idx="23">
                  <c:v>3.9441116556242849E-2</c:v>
                </c:pt>
                <c:pt idx="24">
                  <c:v>4.0251716580259896E-2</c:v>
                </c:pt>
                <c:pt idx="25">
                  <c:v>4.1387466603466878E-2</c:v>
                </c:pt>
                <c:pt idx="26">
                  <c:v>3.9500708326703347E-2</c:v>
                </c:pt>
                <c:pt idx="27">
                  <c:v>3.8531139871702147E-2</c:v>
                </c:pt>
                <c:pt idx="28">
                  <c:v>3.8529255481684593E-2</c:v>
                </c:pt>
                <c:pt idx="29">
                  <c:v>3.7599250252417775E-2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175760"/>
        <c:axId val="238622032"/>
      </c:scatterChart>
      <c:scatterChart>
        <c:scatterStyle val="lineMarker"/>
        <c:varyColors val="0"/>
        <c:ser>
          <c:idx val="1"/>
          <c:order val="1"/>
          <c:tx>
            <c:strRef>
              <c:f>APR!$F$1</c:f>
              <c:strCache>
                <c:ptCount val="1"/>
                <c:pt idx="0">
                  <c:v>Savings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APR!$D$2:$D$31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APR!$F$2:$F$31</c:f>
              <c:numCache>
                <c:formatCode>_("$"* #,##0.00_);_("$"* \(#,##0.00\);_("$"* "-"??_);_(@_)</c:formatCode>
                <c:ptCount val="30"/>
                <c:pt idx="0">
                  <c:v>62675.843669908543</c:v>
                </c:pt>
                <c:pt idx="1">
                  <c:v>65210.536479467642</c:v>
                </c:pt>
                <c:pt idx="2">
                  <c:v>67528.293256379649</c:v>
                </c:pt>
                <c:pt idx="3">
                  <c:v>70615.902918269639</c:v>
                </c:pt>
                <c:pt idx="4">
                  <c:v>73483.26743852353</c:v>
                </c:pt>
                <c:pt idx="5">
                  <c:v>76541.110421186939</c:v>
                </c:pt>
                <c:pt idx="6">
                  <c:v>79869.346102381183</c:v>
                </c:pt>
                <c:pt idx="7">
                  <c:v>82796.49264471003</c:v>
                </c:pt>
                <c:pt idx="8">
                  <c:v>86095.172470458187</c:v>
                </c:pt>
                <c:pt idx="9">
                  <c:v>89573.755898926873</c:v>
                </c:pt>
                <c:pt idx="10">
                  <c:v>93219.279163967134</c:v>
                </c:pt>
                <c:pt idx="11">
                  <c:v>97010.988088020546</c:v>
                </c:pt>
                <c:pt idx="12">
                  <c:v>100826.83915255265</c:v>
                </c:pt>
                <c:pt idx="13">
                  <c:v>104525.50881755761</c:v>
                </c:pt>
                <c:pt idx="14">
                  <c:v>108354.81052801957</c:v>
                </c:pt>
                <c:pt idx="15">
                  <c:v>112301.18191367541</c:v>
                </c:pt>
                <c:pt idx="16">
                  <c:v>116896.8217759067</c:v>
                </c:pt>
                <c:pt idx="17">
                  <c:v>121498.1296145153</c:v>
                </c:pt>
                <c:pt idx="18">
                  <c:v>126392.79241316304</c:v>
                </c:pt>
                <c:pt idx="19">
                  <c:v>131431.44264006295</c:v>
                </c:pt>
                <c:pt idx="20">
                  <c:v>136504.04708790165</c:v>
                </c:pt>
                <c:pt idx="21">
                  <c:v>142114.47595076219</c:v>
                </c:pt>
                <c:pt idx="22">
                  <c:v>147529.65493159831</c:v>
                </c:pt>
                <c:pt idx="23">
                  <c:v>153348.38924725779</c:v>
                </c:pt>
                <c:pt idx="24">
                  <c:v>159520.92514927778</c:v>
                </c:pt>
                <c:pt idx="25">
                  <c:v>166123.09211144765</c:v>
                </c:pt>
                <c:pt idx="26">
                  <c:v>172685.07191927201</c:v>
                </c:pt>
                <c:pt idx="27">
                  <c:v>179338.82457914841</c:v>
                </c:pt>
                <c:pt idx="28">
                  <c:v>186248.61596914343</c:v>
                </c:pt>
                <c:pt idx="29">
                  <c:v>193251.42429013373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328400"/>
        <c:axId val="304327840"/>
      </c:scatterChart>
      <c:valAx>
        <c:axId val="24317576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622032"/>
        <c:crosses val="autoZero"/>
        <c:crossBetween val="midCat"/>
      </c:valAx>
      <c:valAx>
        <c:axId val="238622032"/>
        <c:scaling>
          <c:orientation val="minMax"/>
          <c:min val="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175760"/>
        <c:crosses val="autoZero"/>
        <c:crossBetween val="midCat"/>
        <c:majorUnit val="1.0000000000000002E-2"/>
      </c:valAx>
      <c:valAx>
        <c:axId val="304327840"/>
        <c:scaling>
          <c:orientation val="minMax"/>
          <c:min val="50000"/>
        </c:scaling>
        <c:delete val="0"/>
        <c:axPos val="r"/>
        <c:numFmt formatCode="_(&quot;$&quot;* #,##0_);_(&quot;$&quot;* \(#,##0\);_(&quot;$&quot;* &quot;-&quot;_);_(@_)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28400"/>
        <c:crosses val="max"/>
        <c:crossBetween val="midCat"/>
      </c:valAx>
      <c:valAx>
        <c:axId val="304328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432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227135</xdr:colOff>
      <xdr:row>0</xdr:row>
      <xdr:rowOff>104775</xdr:rowOff>
    </xdr:from>
    <xdr:to>
      <xdr:col>16</xdr:col>
      <xdr:colOff>337039</xdr:colOff>
      <xdr:row>17</xdr:row>
      <xdr:rowOff>71071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80596</xdr:colOff>
      <xdr:row>9</xdr:row>
      <xdr:rowOff>139212</xdr:rowOff>
    </xdr:from>
    <xdr:to>
      <xdr:col>2</xdr:col>
      <xdr:colOff>241788</xdr:colOff>
      <xdr:row>13</xdr:row>
      <xdr:rowOff>65942</xdr:rowOff>
    </xdr:to>
    <xdr:sp macro="" textlink="">
      <xdr:nvSpPr>
        <xdr:cNvPr id="2" name="Rounded Rectangle 1"/>
        <xdr:cNvSpPr/>
      </xdr:nvSpPr>
      <xdr:spPr>
        <a:xfrm>
          <a:off x="80596" y="1626577"/>
          <a:ext cx="219075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Ctrl + Shift + 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1"/>
  <sheetViews>
    <sheetView tabSelected="1" zoomScale="130" zoomScaleNormal="130" workbookViewId="0"/>
  </sheetViews>
  <sheetFormatPr defaultRowHeight="12.75" x14ac:dyDescent="0.2"/>
  <cols>
    <col min="1" max="1" width="18.28515625" style="1" bestFit="1" customWidth="1"/>
    <col min="2" max="2" width="12.140625" style="1" bestFit="1" customWidth="1"/>
    <col min="3" max="3" width="6.85546875" style="1" customWidth="1"/>
    <col min="4" max="4" width="6.85546875" style="3" customWidth="1"/>
    <col min="5" max="5" width="9.140625" style="1"/>
    <col min="6" max="6" width="13.28515625" style="1" bestFit="1" customWidth="1"/>
    <col min="7" max="7" width="5.85546875" style="1" customWidth="1"/>
    <col min="8" max="8" width="7" style="1" customWidth="1"/>
    <col min="9" max="9" width="13.28515625" style="2" bestFit="1" customWidth="1"/>
    <col min="10" max="11" width="9.140625" style="1"/>
    <col min="12" max="12" width="12.28515625" style="1" bestFit="1" customWidth="1"/>
    <col min="13" max="16384" width="9.140625" style="1"/>
  </cols>
  <sheetData>
    <row r="1" spans="1:9" ht="13.5" thickBot="1" x14ac:dyDescent="0.25">
      <c r="A1" s="1" t="s">
        <v>3</v>
      </c>
      <c r="B1" s="2">
        <v>60000</v>
      </c>
      <c r="D1" s="3" t="s">
        <v>1</v>
      </c>
      <c r="E1" s="1" t="s">
        <v>0</v>
      </c>
      <c r="F1" s="1" t="s">
        <v>5</v>
      </c>
      <c r="H1" s="4"/>
      <c r="I1" s="5">
        <f ca="1">$F$31</f>
        <v>193251.42429013373</v>
      </c>
    </row>
    <row r="2" spans="1:9" x14ac:dyDescent="0.2">
      <c r="A2" s="1" t="s">
        <v>4</v>
      </c>
      <c r="B2" s="1">
        <v>30</v>
      </c>
      <c r="D2" s="3">
        <f t="shared" ref="D2:D31" si="0">ROW(A1)</f>
        <v>1</v>
      </c>
      <c r="E2" s="6">
        <f t="shared" ref="E2:E31" ca="1" si="1">NORMINV(RAND(),$B$3,$B$4)</f>
        <v>4.4597394498475752E-2</v>
      </c>
      <c r="F2" s="7">
        <f ca="1">$B$1*(1+E2)^D2</f>
        <v>62675.843669908543</v>
      </c>
      <c r="H2" s="8"/>
      <c r="I2" s="9">
        <f t="dataTable" ref="I2:I26" dt2D="0" dtr="0" r1="G1" ca="1"/>
        <v>195348.20200368896</v>
      </c>
    </row>
    <row r="3" spans="1:9" x14ac:dyDescent="0.2">
      <c r="A3" s="1" t="s">
        <v>0</v>
      </c>
      <c r="B3" s="10">
        <v>0.04</v>
      </c>
      <c r="D3" s="3">
        <f t="shared" si="0"/>
        <v>2</v>
      </c>
      <c r="E3" s="6">
        <f t="shared" ca="1" si="1"/>
        <v>4.0441303397660215E-2</v>
      </c>
      <c r="F3" s="7">
        <f t="shared" ref="F3:F31" ca="1" si="2">F2*(1+E3)</f>
        <v>65210.536479467642</v>
      </c>
      <c r="H3" s="8"/>
      <c r="I3" s="11">
        <v>196986.38070653394</v>
      </c>
    </row>
    <row r="4" spans="1:9" x14ac:dyDescent="0.2">
      <c r="A4" s="1" t="s">
        <v>2</v>
      </c>
      <c r="B4" s="12">
        <v>3.0000000000000001E-3</v>
      </c>
      <c r="D4" s="3">
        <f t="shared" si="0"/>
        <v>3</v>
      </c>
      <c r="E4" s="6">
        <f t="shared" ca="1" si="1"/>
        <v>3.5542673040909245E-2</v>
      </c>
      <c r="F4" s="7">
        <f t="shared" ca="1" si="2"/>
        <v>67528.293256379649</v>
      </c>
      <c r="H4" s="8"/>
      <c r="I4" s="11">
        <v>192198.64535440633</v>
      </c>
    </row>
    <row r="5" spans="1:9" ht="15" x14ac:dyDescent="0.25">
      <c r="A5" s="1" t="s">
        <v>6</v>
      </c>
      <c r="B5" s="13">
        <f>B1*(1+B3)^B2</f>
        <v>194603.85060165255</v>
      </c>
      <c r="D5" s="3">
        <f t="shared" si="0"/>
        <v>4</v>
      </c>
      <c r="E5" s="6">
        <f t="shared" ca="1" si="1"/>
        <v>4.5723200054345894E-2</v>
      </c>
      <c r="F5" s="7">
        <f t="shared" ca="1" si="2"/>
        <v>70615.902918269639</v>
      </c>
      <c r="H5" s="8"/>
      <c r="I5" s="11">
        <v>190079.74626522197</v>
      </c>
    </row>
    <row r="6" spans="1:9" x14ac:dyDescent="0.2">
      <c r="D6" s="3">
        <f t="shared" si="0"/>
        <v>5</v>
      </c>
      <c r="E6" s="6">
        <f t="shared" ca="1" si="1"/>
        <v>4.0605081883220435E-2</v>
      </c>
      <c r="F6" s="7">
        <f t="shared" ca="1" si="2"/>
        <v>73483.26743852353</v>
      </c>
      <c r="H6" s="8"/>
      <c r="I6" s="11">
        <v>196306.55837292297</v>
      </c>
    </row>
    <row r="7" spans="1:9" x14ac:dyDescent="0.2">
      <c r="D7" s="3">
        <f t="shared" si="0"/>
        <v>6</v>
      </c>
      <c r="E7" s="6">
        <f t="shared" ca="1" si="1"/>
        <v>4.1612779197953136E-2</v>
      </c>
      <c r="F7" s="7">
        <f t="shared" ca="1" si="2"/>
        <v>76541.110421186939</v>
      </c>
      <c r="H7" s="8"/>
      <c r="I7" s="11">
        <v>194677.99330877856</v>
      </c>
    </row>
    <row r="8" spans="1:9" x14ac:dyDescent="0.2">
      <c r="D8" s="3">
        <f t="shared" si="0"/>
        <v>7</v>
      </c>
      <c r="E8" s="6">
        <f t="shared" ca="1" si="1"/>
        <v>4.3482981405414407E-2</v>
      </c>
      <c r="F8" s="7">
        <f t="shared" ca="1" si="2"/>
        <v>79869.346102381183</v>
      </c>
      <c r="H8" s="8"/>
      <c r="I8" s="11">
        <v>194584.58014701979</v>
      </c>
    </row>
    <row r="9" spans="1:9" x14ac:dyDescent="0.2">
      <c r="D9" s="3">
        <f t="shared" si="0"/>
        <v>8</v>
      </c>
      <c r="E9" s="6">
        <f t="shared" ca="1" si="1"/>
        <v>3.6649186266989729E-2</v>
      </c>
      <c r="F9" s="7">
        <f t="shared" ca="1" si="2"/>
        <v>82796.49264471003</v>
      </c>
      <c r="H9" s="8"/>
      <c r="I9" s="11">
        <v>198177.19615274979</v>
      </c>
    </row>
    <row r="10" spans="1:9" x14ac:dyDescent="0.2">
      <c r="D10" s="3">
        <f t="shared" si="0"/>
        <v>9</v>
      </c>
      <c r="E10" s="6">
        <f t="shared" ca="1" si="1"/>
        <v>3.9840815961893393E-2</v>
      </c>
      <c r="F10" s="7">
        <f t="shared" ca="1" si="2"/>
        <v>86095.172470458187</v>
      </c>
      <c r="H10" s="8"/>
      <c r="I10" s="11">
        <v>192320.72610826363</v>
      </c>
    </row>
    <row r="11" spans="1:9" x14ac:dyDescent="0.2">
      <c r="D11" s="3">
        <f t="shared" si="0"/>
        <v>10</v>
      </c>
      <c r="E11" s="6">
        <f t="shared" ca="1" si="1"/>
        <v>4.0403931238563812E-2</v>
      </c>
      <c r="F11" s="7">
        <f t="shared" ca="1" si="2"/>
        <v>89573.755898926873</v>
      </c>
      <c r="H11" s="8"/>
      <c r="I11" s="11">
        <v>192630.77508750354</v>
      </c>
    </row>
    <row r="12" spans="1:9" x14ac:dyDescent="0.2">
      <c r="D12" s="3">
        <f t="shared" si="0"/>
        <v>11</v>
      </c>
      <c r="E12" s="6">
        <f t="shared" ca="1" si="1"/>
        <v>4.0698564311111338E-2</v>
      </c>
      <c r="F12" s="7">
        <f t="shared" ca="1" si="2"/>
        <v>93219.279163967134</v>
      </c>
      <c r="H12" s="8"/>
      <c r="I12" s="11">
        <v>191821.97098030106</v>
      </c>
    </row>
    <row r="13" spans="1:9" x14ac:dyDescent="0.2">
      <c r="D13" s="3">
        <f t="shared" si="0"/>
        <v>12</v>
      </c>
      <c r="E13" s="6">
        <f t="shared" ca="1" si="1"/>
        <v>4.0675158165340716E-2</v>
      </c>
      <c r="F13" s="7">
        <f t="shared" ca="1" si="2"/>
        <v>97010.988088020546</v>
      </c>
      <c r="H13" s="8"/>
      <c r="I13" s="11">
        <v>197113.89514982764</v>
      </c>
    </row>
    <row r="14" spans="1:9" x14ac:dyDescent="0.2">
      <c r="D14" s="3">
        <f t="shared" si="0"/>
        <v>13</v>
      </c>
      <c r="E14" s="6">
        <f t="shared" ca="1" si="1"/>
        <v>3.933421501768318E-2</v>
      </c>
      <c r="F14" s="7">
        <f t="shared" ca="1" si="2"/>
        <v>100826.83915255265</v>
      </c>
      <c r="H14" s="8"/>
      <c r="I14" s="11">
        <v>195700.75615667689</v>
      </c>
    </row>
    <row r="15" spans="1:9" x14ac:dyDescent="0.2">
      <c r="D15" s="3">
        <f t="shared" si="0"/>
        <v>14</v>
      </c>
      <c r="E15" s="6">
        <f t="shared" ca="1" si="1"/>
        <v>3.6683384068093391E-2</v>
      </c>
      <c r="F15" s="7">
        <f t="shared" ca="1" si="2"/>
        <v>104525.50881755761</v>
      </c>
      <c r="H15" s="8"/>
      <c r="I15" s="11">
        <v>194469.28772457995</v>
      </c>
    </row>
    <row r="16" spans="1:9" x14ac:dyDescent="0.2">
      <c r="D16" s="3">
        <f t="shared" si="0"/>
        <v>15</v>
      </c>
      <c r="E16" s="6">
        <f t="shared" ca="1" si="1"/>
        <v>3.663509275181568E-2</v>
      </c>
      <c r="F16" s="7">
        <f t="shared" ca="1" si="2"/>
        <v>108354.81052801957</v>
      </c>
      <c r="H16" s="8"/>
      <c r="I16" s="11">
        <v>194933.60079202396</v>
      </c>
    </row>
    <row r="17" spans="4:9" x14ac:dyDescent="0.2">
      <c r="D17" s="3">
        <f t="shared" si="0"/>
        <v>16</v>
      </c>
      <c r="E17" s="6">
        <f t="shared" ca="1" si="1"/>
        <v>3.6420823094285557E-2</v>
      </c>
      <c r="F17" s="7">
        <f t="shared" ca="1" si="2"/>
        <v>112301.18191367541</v>
      </c>
      <c r="H17" s="8"/>
      <c r="I17" s="11">
        <v>194184.40161366688</v>
      </c>
    </row>
    <row r="18" spans="4:9" x14ac:dyDescent="0.2">
      <c r="D18" s="3">
        <f t="shared" si="0"/>
        <v>17</v>
      </c>
      <c r="E18" s="6">
        <f t="shared" ca="1" si="1"/>
        <v>4.0922453209476572E-2</v>
      </c>
      <c r="F18" s="7">
        <f t="shared" ca="1" si="2"/>
        <v>116896.8217759067</v>
      </c>
      <c r="H18" s="8"/>
      <c r="I18" s="11">
        <v>194124.76555682335</v>
      </c>
    </row>
    <row r="19" spans="4:9" x14ac:dyDescent="0.2">
      <c r="D19" s="3">
        <f t="shared" si="0"/>
        <v>18</v>
      </c>
      <c r="E19" s="6">
        <f t="shared" ca="1" si="1"/>
        <v>3.9362129514773234E-2</v>
      </c>
      <c r="F19" s="7">
        <f t="shared" ca="1" si="2"/>
        <v>121498.1296145153</v>
      </c>
      <c r="H19" s="8"/>
      <c r="I19" s="11">
        <v>196859.62264943784</v>
      </c>
    </row>
    <row r="20" spans="4:9" x14ac:dyDescent="0.2">
      <c r="D20" s="3">
        <f t="shared" si="0"/>
        <v>19</v>
      </c>
      <c r="E20" s="6">
        <f t="shared" ca="1" si="1"/>
        <v>4.0285910689961534E-2</v>
      </c>
      <c r="F20" s="7">
        <f t="shared" ca="1" si="2"/>
        <v>126392.79241316304</v>
      </c>
      <c r="H20" s="8"/>
      <c r="I20" s="11">
        <v>187915.8543043104</v>
      </c>
    </row>
    <row r="21" spans="4:9" x14ac:dyDescent="0.2">
      <c r="D21" s="3">
        <f t="shared" si="0"/>
        <v>20</v>
      </c>
      <c r="E21" s="6">
        <f t="shared" ca="1" si="1"/>
        <v>3.9865012321503024E-2</v>
      </c>
      <c r="F21" s="7">
        <f t="shared" ca="1" si="2"/>
        <v>131431.44264006295</v>
      </c>
      <c r="H21" s="8"/>
      <c r="I21" s="11">
        <v>198738.73444840571</v>
      </c>
    </row>
    <row r="22" spans="4:9" x14ac:dyDescent="0.2">
      <c r="D22" s="3">
        <f t="shared" si="0"/>
        <v>21</v>
      </c>
      <c r="E22" s="6">
        <f t="shared" ca="1" si="1"/>
        <v>3.8595060253051448E-2</v>
      </c>
      <c r="F22" s="7">
        <f t="shared" ca="1" si="2"/>
        <v>136504.04708790165</v>
      </c>
      <c r="H22" s="8"/>
      <c r="I22" s="11">
        <v>188150.88555547991</v>
      </c>
    </row>
    <row r="23" spans="4:9" x14ac:dyDescent="0.2">
      <c r="D23" s="3">
        <f t="shared" si="0"/>
        <v>22</v>
      </c>
      <c r="E23" s="6">
        <f t="shared" ca="1" si="1"/>
        <v>4.1100824353198354E-2</v>
      </c>
      <c r="F23" s="7">
        <f t="shared" ca="1" si="2"/>
        <v>142114.47595076219</v>
      </c>
      <c r="H23" s="8"/>
      <c r="I23" s="11">
        <v>192457.00409936634</v>
      </c>
    </row>
    <row r="24" spans="4:9" x14ac:dyDescent="0.2">
      <c r="D24" s="3">
        <f t="shared" si="0"/>
        <v>23</v>
      </c>
      <c r="E24" s="6">
        <f t="shared" ca="1" si="1"/>
        <v>3.8104344716524713E-2</v>
      </c>
      <c r="F24" s="7">
        <f t="shared" ca="1" si="2"/>
        <v>147529.65493159831</v>
      </c>
      <c r="H24" s="8"/>
      <c r="I24" s="11">
        <v>193388.17832000976</v>
      </c>
    </row>
    <row r="25" spans="4:9" x14ac:dyDescent="0.2">
      <c r="D25" s="3">
        <f t="shared" si="0"/>
        <v>24</v>
      </c>
      <c r="E25" s="6">
        <f t="shared" ca="1" si="1"/>
        <v>3.9441116556242849E-2</v>
      </c>
      <c r="F25" s="7">
        <f t="shared" ca="1" si="2"/>
        <v>153348.38924725779</v>
      </c>
      <c r="H25" s="8"/>
      <c r="I25" s="11">
        <v>194691.14494922932</v>
      </c>
    </row>
    <row r="26" spans="4:9" ht="13.5" thickBot="1" x14ac:dyDescent="0.25">
      <c r="D26" s="3">
        <f t="shared" si="0"/>
        <v>25</v>
      </c>
      <c r="E26" s="6">
        <f t="shared" ca="1" si="1"/>
        <v>4.0251716580259896E-2</v>
      </c>
      <c r="F26" s="7">
        <f t="shared" ca="1" si="2"/>
        <v>159520.92514927778</v>
      </c>
      <c r="H26" s="14"/>
      <c r="I26" s="15">
        <v>188751.71986504528</v>
      </c>
    </row>
    <row r="27" spans="4:9" x14ac:dyDescent="0.2">
      <c r="D27" s="3">
        <f t="shared" si="0"/>
        <v>26</v>
      </c>
      <c r="E27" s="6">
        <f t="shared" ca="1" si="1"/>
        <v>4.1387466603466878E-2</v>
      </c>
      <c r="F27" s="7">
        <f t="shared" ca="1" si="2"/>
        <v>166123.09211144765</v>
      </c>
    </row>
    <row r="28" spans="4:9" x14ac:dyDescent="0.2">
      <c r="D28" s="3">
        <f t="shared" si="0"/>
        <v>27</v>
      </c>
      <c r="E28" s="6">
        <f t="shared" ca="1" si="1"/>
        <v>3.9500708326703347E-2</v>
      </c>
      <c r="F28" s="7">
        <f t="shared" ca="1" si="2"/>
        <v>172685.07191927201</v>
      </c>
    </row>
    <row r="29" spans="4:9" x14ac:dyDescent="0.2">
      <c r="D29" s="3">
        <f t="shared" si="0"/>
        <v>28</v>
      </c>
      <c r="E29" s="6">
        <f t="shared" ca="1" si="1"/>
        <v>3.8531139871702147E-2</v>
      </c>
      <c r="F29" s="7">
        <f t="shared" ca="1" si="2"/>
        <v>179338.82457914841</v>
      </c>
    </row>
    <row r="30" spans="4:9" x14ac:dyDescent="0.2">
      <c r="D30" s="3">
        <f t="shared" si="0"/>
        <v>29</v>
      </c>
      <c r="E30" s="6">
        <f t="shared" ca="1" si="1"/>
        <v>3.8529255481684593E-2</v>
      </c>
      <c r="F30" s="7">
        <f t="shared" ca="1" si="2"/>
        <v>186248.61596914343</v>
      </c>
    </row>
    <row r="31" spans="4:9" x14ac:dyDescent="0.2">
      <c r="D31" s="3">
        <f t="shared" si="0"/>
        <v>30</v>
      </c>
      <c r="E31" s="6">
        <f t="shared" ca="1" si="1"/>
        <v>3.7599250252417775E-2</v>
      </c>
      <c r="F31" s="7">
        <f t="shared" ca="1" si="2"/>
        <v>193251.42429013373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PresentationFormat/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cp:revision/>
  <dcterms:created xsi:type="dcterms:W3CDTF">2012-12-16T11:14:23Z</dcterms:created>
  <dcterms:modified xsi:type="dcterms:W3CDTF">2016-11-11T11:40:23Z</dcterms:modified>
</cp:coreProperties>
</file>