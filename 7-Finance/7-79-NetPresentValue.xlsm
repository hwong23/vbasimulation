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0" yWindow="0" windowWidth="24000" windowHeight="11025"/>
  </bookViews>
  <sheets>
    <sheet name="NPV" sheetId="1" r:id="rId1"/>
  </sheets>
  <calcPr calcId="152511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6" i="1"/>
  <c r="I5" i="1"/>
  <c r="I4" i="1"/>
  <c r="F4" i="1"/>
  <c r="I3" i="1"/>
  <c r="F3" i="1"/>
  <c r="J3" i="1" s="1"/>
  <c r="I2" i="1"/>
  <c r="F2" i="1"/>
  <c r="J2" i="1" s="1"/>
  <c r="K2" i="1" s="1"/>
  <c r="J4" i="1" l="1"/>
  <c r="K3" i="1"/>
  <c r="J5" i="1" l="1"/>
  <c r="K4" i="1"/>
  <c r="J6" i="1" l="1"/>
  <c r="K5" i="1"/>
  <c r="J7" i="1" l="1"/>
  <c r="K7" i="1" s="1"/>
  <c r="K6" i="1"/>
  <c r="K8" i="1" l="1"/>
  <c r="K30" i="1" l="1"/>
  <c r="K28" i="1"/>
  <c r="K26" i="1"/>
  <c r="K24" i="1"/>
  <c r="K22" i="1"/>
  <c r="K20" i="1"/>
  <c r="K18" i="1"/>
  <c r="K16" i="1"/>
  <c r="K14" i="1"/>
  <c r="K31" i="1"/>
  <c r="K29" i="1"/>
  <c r="K27" i="1"/>
  <c r="K25" i="1"/>
  <c r="K23" i="1"/>
  <c r="K21" i="1"/>
  <c r="K19" i="1"/>
  <c r="K17" i="1"/>
  <c r="K15" i="1"/>
  <c r="K13" i="1"/>
</calcChain>
</file>

<file path=xl/sharedStrings.xml><?xml version="1.0" encoding="utf-8"?>
<sst xmlns="http://schemas.openxmlformats.org/spreadsheetml/2006/main" count="14" uniqueCount="14">
  <si>
    <t>Likely</t>
  </si>
  <si>
    <t>Worst</t>
  </si>
  <si>
    <t>Best</t>
  </si>
  <si>
    <t>Cost</t>
  </si>
  <si>
    <t>Benefit</t>
  </si>
  <si>
    <t>Growth Rate</t>
  </si>
  <si>
    <t>Year</t>
  </si>
  <si>
    <t>FV</t>
  </si>
  <si>
    <t>PV</t>
  </si>
  <si>
    <t>Disc. 5%</t>
  </si>
  <si>
    <t>NPV</t>
  </si>
  <si>
    <t>Average NPV</t>
  </si>
  <si>
    <t>SD</t>
  </si>
  <si>
    <t>Randomly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</si>
</sst>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&quot;$&quot;#,##0.00"/>
    <numFmt numFmtId="166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166" fontId="1" fillId="0" borderId="0" xfId="0" applyNumberFormat="1" applyFont="1"/>
    <xf numFmtId="165" fontId="1" fillId="0" borderId="0" xfId="0" applyNumberFormat="1" applyFont="1"/>
    <xf numFmtId="4" fontId="1" fillId="0" borderId="0" xfId="0" applyNumberFormat="1" applyFont="1"/>
    <xf numFmtId="164" fontId="1" fillId="0" borderId="0" xfId="0" applyNumberFormat="1" applyFont="1"/>
    <xf numFmtId="0" fontId="1" fillId="0" borderId="1" xfId="0" applyFont="1" applyBorder="1"/>
    <xf numFmtId="165" fontId="1" fillId="0" borderId="1" xfId="0" applyNumberFormat="1" applyFont="1" applyBorder="1"/>
    <xf numFmtId="8" fontId="1" fillId="0" borderId="1" xfId="1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NPV curve</a:t>
            </a:r>
            <a:endParaRPr lang="en-US"/>
          </a:p>
        </c:rich>
      </c:tx>
      <c:layout>
        <c:manualLayout>
          <c:xMode val="edge"/>
          <c:yMode val="edge"/>
          <c:x val="0.412270778652668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layout>
                <c:manualLayout>
                  <c:x val="2.7777777777777779E-3"/>
                  <c:y val="5.09259259259258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NPV!$J$13:$J$31</c:f>
              <c:numCache>
                <c:formatCode>0.0%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xVal>
          <c:yVal>
            <c:numRef>
              <c:f>NPV!$K$13:$K$31</c:f>
              <c:numCache>
                <c:formatCode>"$"#,##0.00</c:formatCode>
                <c:ptCount val="19"/>
                <c:pt idx="0">
                  <c:v>-6097.1425571619766</c:v>
                </c:pt>
                <c:pt idx="1">
                  <c:v>-3371.2726583437598</c:v>
                </c:pt>
                <c:pt idx="2">
                  <c:v>-1532.1411787074849</c:v>
                </c:pt>
                <c:pt idx="3">
                  <c:v>-70.457780346920117</c:v>
                </c:pt>
                <c:pt idx="4">
                  <c:v>1183.5364246887893</c:v>
                </c:pt>
                <c:pt idx="5">
                  <c:v>2309.6619771310611</c:v>
                </c:pt>
                <c:pt idx="6">
                  <c:v>3353.1851277253622</c:v>
                </c:pt>
                <c:pt idx="7">
                  <c:v>4343.3865512879693</c:v>
                </c:pt>
                <c:pt idx="8">
                  <c:v>5301.4178880925056</c:v>
                </c:pt>
                <c:pt idx="9">
                  <c:v>6244.26</c:v>
                </c:pt>
                <c:pt idx="10">
                  <c:v>7187.1021119074958</c:v>
                </c:pt>
                <c:pt idx="11">
                  <c:v>8145.1334487120312</c:v>
                </c:pt>
                <c:pt idx="12">
                  <c:v>9135.3348722746377</c:v>
                </c:pt>
                <c:pt idx="13">
                  <c:v>10178.858022868939</c:v>
                </c:pt>
                <c:pt idx="14">
                  <c:v>11304.983575311211</c:v>
                </c:pt>
                <c:pt idx="15">
                  <c:v>12558.977780346922</c:v>
                </c:pt>
                <c:pt idx="16">
                  <c:v>14020.661178707485</c:v>
                </c:pt>
                <c:pt idx="17">
                  <c:v>15859.79265834376</c:v>
                </c:pt>
                <c:pt idx="18">
                  <c:v>18585.66255716197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100016"/>
        <c:axId val="289100576"/>
      </c:scatterChart>
      <c:valAx>
        <c:axId val="28910001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00576"/>
        <c:crosses val="autoZero"/>
        <c:crossBetween val="midCat"/>
        <c:majorUnit val="0.1"/>
      </c:valAx>
      <c:valAx>
        <c:axId val="28910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0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11</xdr:row>
      <xdr:rowOff>150812</xdr:rowOff>
    </xdr:from>
    <xdr:to>
      <xdr:col>7</xdr:col>
      <xdr:colOff>71437</xdr:colOff>
      <xdr:row>26</xdr:row>
      <xdr:rowOff>36512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222250</xdr:colOff>
      <xdr:row>14</xdr:row>
      <xdr:rowOff>127000</xdr:rowOff>
    </xdr:from>
    <xdr:to>
      <xdr:col>9</xdr:col>
      <xdr:colOff>349250</xdr:colOff>
      <xdr:row>17</xdr:row>
      <xdr:rowOff>103188</xdr:rowOff>
    </xdr:to>
    <xdr:sp macro="" textlink="">
      <xdr:nvSpPr>
        <xdr:cNvPr id="4" name="Left Arrow 3"/>
        <xdr:cNvSpPr/>
      </xdr:nvSpPr>
      <xdr:spPr>
        <a:xfrm>
          <a:off x="4865688" y="2619375"/>
          <a:ext cx="1000125" cy="54768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269874</xdr:colOff>
      <xdr:row>5</xdr:row>
      <xdr:rowOff>79375</xdr:rowOff>
    </xdr:from>
    <xdr:to>
      <xdr:col>5</xdr:col>
      <xdr:colOff>142875</xdr:colOff>
      <xdr:row>8</xdr:row>
      <xdr:rowOff>87313</xdr:rowOff>
    </xdr:to>
    <xdr:sp macro="" textlink="">
      <xdr:nvSpPr>
        <xdr:cNvPr id="2" name="Rounded Rectangle 1"/>
        <xdr:cNvSpPr/>
      </xdr:nvSpPr>
      <xdr:spPr>
        <a:xfrm>
          <a:off x="1079499" y="1031875"/>
          <a:ext cx="2270126" cy="5794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1"/>
  <sheetViews>
    <sheetView tabSelected="1" zoomScale="120" zoomScaleNormal="120" workbookViewId="0">
      <selection activeCell="K13" sqref="K13"/>
    </sheetView>
  </sheetViews>
  <sheetFormatPr defaultRowHeight="15" x14ac:dyDescent="0.25"/>
  <cols>
    <col min="1" max="1" width="12.140625" style="1" bestFit="1" customWidth="1"/>
    <col min="2" max="4" width="8.85546875" style="1" bestFit="1" customWidth="1"/>
    <col min="5" max="5" width="9.5703125" style="1" customWidth="1"/>
    <col min="6" max="6" width="12" style="1" bestFit="1" customWidth="1"/>
    <col min="7" max="7" width="9.5703125" style="1" customWidth="1"/>
    <col min="8" max="8" width="5" style="1" bestFit="1" customWidth="1"/>
    <col min="9" max="9" width="8.140625" style="1" bestFit="1" customWidth="1"/>
    <col min="10" max="10" width="12.5703125" style="1" bestFit="1" customWidth="1"/>
    <col min="11" max="11" width="12" style="1" bestFit="1" customWidth="1"/>
    <col min="12" max="12" width="9.5703125" style="1" customWidth="1"/>
    <col min="13" max="16384" width="9.140625" style="1"/>
  </cols>
  <sheetData>
    <row r="1" spans="1:11" x14ac:dyDescent="0.25">
      <c r="B1" s="1" t="s">
        <v>1</v>
      </c>
      <c r="C1" s="1" t="s">
        <v>0</v>
      </c>
      <c r="D1" s="1" t="s">
        <v>2</v>
      </c>
      <c r="F1" s="1" t="s">
        <v>13</v>
      </c>
      <c r="H1" s="1" t="s">
        <v>6</v>
      </c>
      <c r="I1" s="1" t="s">
        <v>9</v>
      </c>
      <c r="J1" s="1" t="s">
        <v>7</v>
      </c>
      <c r="K1" s="1" t="s">
        <v>8</v>
      </c>
    </row>
    <row r="2" spans="1:11" x14ac:dyDescent="0.25">
      <c r="A2" s="1" t="s">
        <v>3</v>
      </c>
      <c r="B2" s="2">
        <v>-61000</v>
      </c>
      <c r="C2" s="2">
        <v>-55000</v>
      </c>
      <c r="D2" s="2">
        <v>-42000</v>
      </c>
      <c r="F2" s="3">
        <f ca="1">RAND()*(B2-D2)+D2</f>
        <v>-54910.08319012454</v>
      </c>
      <c r="H2" s="1">
        <v>0</v>
      </c>
      <c r="I2" s="1">
        <f t="shared" ref="I2:I7" si="0">1/1.05^H2</f>
        <v>1</v>
      </c>
      <c r="J2" s="3">
        <f ca="1">F2</f>
        <v>-54910.08319012454</v>
      </c>
      <c r="K2" s="3">
        <f t="shared" ref="K2:K7" ca="1" si="1">I2*J2</f>
        <v>-54910.08319012454</v>
      </c>
    </row>
    <row r="3" spans="1:11" x14ac:dyDescent="0.25">
      <c r="A3" s="1" t="s">
        <v>4</v>
      </c>
      <c r="B3" s="2">
        <v>14800</v>
      </c>
      <c r="C3" s="2">
        <v>12900</v>
      </c>
      <c r="D3" s="2">
        <v>10900</v>
      </c>
      <c r="F3" s="3">
        <f ca="1">RAND()*(B3-D3)+D3</f>
        <v>11834.163114180221</v>
      </c>
      <c r="H3" s="1">
        <v>1</v>
      </c>
      <c r="I3" s="4">
        <f t="shared" si="0"/>
        <v>0.95238095238095233</v>
      </c>
      <c r="J3" s="3">
        <f ca="1">F3</f>
        <v>11834.163114180221</v>
      </c>
      <c r="K3" s="3">
        <f t="shared" ca="1" si="1"/>
        <v>11270.631537314495</v>
      </c>
    </row>
    <row r="4" spans="1:11" x14ac:dyDescent="0.25">
      <c r="A4" s="1" t="s">
        <v>5</v>
      </c>
      <c r="B4" s="1">
        <v>8.9999999999999993E-3</v>
      </c>
      <c r="C4" s="1">
        <v>0.01</v>
      </c>
      <c r="D4" s="1">
        <v>0.03</v>
      </c>
      <c r="F4" s="1">
        <f ca="1">RAND()*(B4-D4)+D4</f>
        <v>1.3479721389431324E-2</v>
      </c>
      <c r="H4" s="1">
        <v>2</v>
      </c>
      <c r="I4" s="4">
        <f t="shared" si="0"/>
        <v>0.90702947845804982</v>
      </c>
      <c r="J4" s="3">
        <f ca="1">J3*(1+$F$4)</f>
        <v>11993.684335836455</v>
      </c>
      <c r="K4" s="3">
        <f t="shared" ca="1" si="1"/>
        <v>10878.625247924221</v>
      </c>
    </row>
    <row r="5" spans="1:11" x14ac:dyDescent="0.25">
      <c r="H5" s="1">
        <v>3</v>
      </c>
      <c r="I5" s="4">
        <f t="shared" si="0"/>
        <v>0.86383759853147601</v>
      </c>
      <c r="J5" s="3">
        <f ca="1">J4*(1+$F$4)</f>
        <v>12155.355859116316</v>
      </c>
      <c r="K5" s="3">
        <f t="shared" ca="1" si="1"/>
        <v>10500.253414634546</v>
      </c>
    </row>
    <row r="6" spans="1:11" x14ac:dyDescent="0.25">
      <c r="H6" s="1">
        <v>4</v>
      </c>
      <c r="I6" s="4">
        <f t="shared" si="0"/>
        <v>0.82270247479188197</v>
      </c>
      <c r="J6" s="3">
        <f ca="1">J5*(1+$F$4)</f>
        <v>12319.206669486595</v>
      </c>
      <c r="K6" s="3">
        <f t="shared" ca="1" si="1"/>
        <v>10135.04181445928</v>
      </c>
    </row>
    <row r="7" spans="1:11" x14ac:dyDescent="0.25">
      <c r="H7" s="1">
        <v>5</v>
      </c>
      <c r="I7" s="4">
        <f t="shared" si="0"/>
        <v>0.78352616646845896</v>
      </c>
      <c r="J7" s="3">
        <f ca="1">J6*(1+$F$4)</f>
        <v>12485.266143130098</v>
      </c>
      <c r="K7" s="3">
        <f t="shared" ca="1" si="1"/>
        <v>9782.5327184651687</v>
      </c>
    </row>
    <row r="8" spans="1:11" x14ac:dyDescent="0.25">
      <c r="J8" s="6" t="s">
        <v>10</v>
      </c>
      <c r="K8" s="7">
        <f ca="1">SUM(K2:K7)</f>
        <v>-2342.9984573268266</v>
      </c>
    </row>
    <row r="9" spans="1:11" x14ac:dyDescent="0.25">
      <c r="K9" s="3"/>
    </row>
    <row r="10" spans="1:11" x14ac:dyDescent="0.25">
      <c r="J10" s="6" t="s">
        <v>11</v>
      </c>
      <c r="K10" s="8">
        <v>6244.26</v>
      </c>
    </row>
    <row r="11" spans="1:11" x14ac:dyDescent="0.25">
      <c r="J11" s="6" t="s">
        <v>12</v>
      </c>
      <c r="K11" s="8">
        <v>7503.04</v>
      </c>
    </row>
    <row r="13" spans="1:11" x14ac:dyDescent="0.25">
      <c r="J13" s="5">
        <v>0.05</v>
      </c>
      <c r="K13" s="3">
        <f t="shared" ref="K13:K31" si="2">NORMINV(J13,$K$10,$K$11)</f>
        <v>-6097.1425571619766</v>
      </c>
    </row>
    <row r="14" spans="1:11" x14ac:dyDescent="0.25">
      <c r="J14" s="5">
        <v>0.1</v>
      </c>
      <c r="K14" s="3">
        <f t="shared" si="2"/>
        <v>-3371.2726583437598</v>
      </c>
    </row>
    <row r="15" spans="1:11" x14ac:dyDescent="0.25">
      <c r="J15" s="5">
        <v>0.15</v>
      </c>
      <c r="K15" s="3">
        <f t="shared" si="2"/>
        <v>-1532.1411787074849</v>
      </c>
    </row>
    <row r="16" spans="1:11" x14ac:dyDescent="0.25">
      <c r="J16" s="5">
        <v>0.2</v>
      </c>
      <c r="K16" s="3">
        <f t="shared" si="2"/>
        <v>-70.457780346920117</v>
      </c>
    </row>
    <row r="17" spans="10:11" x14ac:dyDescent="0.25">
      <c r="J17" s="5">
        <v>0.25</v>
      </c>
      <c r="K17" s="3">
        <f t="shared" si="2"/>
        <v>1183.5364246887893</v>
      </c>
    </row>
    <row r="18" spans="10:11" x14ac:dyDescent="0.25">
      <c r="J18" s="5">
        <v>0.3</v>
      </c>
      <c r="K18" s="3">
        <f t="shared" si="2"/>
        <v>2309.6619771310611</v>
      </c>
    </row>
    <row r="19" spans="10:11" x14ac:dyDescent="0.25">
      <c r="J19" s="5">
        <v>0.35</v>
      </c>
      <c r="K19" s="3">
        <f t="shared" si="2"/>
        <v>3353.1851277253622</v>
      </c>
    </row>
    <row r="20" spans="10:11" x14ac:dyDescent="0.25">
      <c r="J20" s="5">
        <v>0.4</v>
      </c>
      <c r="K20" s="3">
        <f t="shared" si="2"/>
        <v>4343.3865512879693</v>
      </c>
    </row>
    <row r="21" spans="10:11" x14ac:dyDescent="0.25">
      <c r="J21" s="5">
        <v>0.45</v>
      </c>
      <c r="K21" s="3">
        <f t="shared" si="2"/>
        <v>5301.4178880925056</v>
      </c>
    </row>
    <row r="22" spans="10:11" x14ac:dyDescent="0.25">
      <c r="J22" s="5">
        <v>0.5</v>
      </c>
      <c r="K22" s="3">
        <f t="shared" si="2"/>
        <v>6244.26</v>
      </c>
    </row>
    <row r="23" spans="10:11" x14ac:dyDescent="0.25">
      <c r="J23" s="5">
        <v>0.55000000000000004</v>
      </c>
      <c r="K23" s="3">
        <f t="shared" si="2"/>
        <v>7187.1021119074958</v>
      </c>
    </row>
    <row r="24" spans="10:11" x14ac:dyDescent="0.25">
      <c r="J24" s="5">
        <v>0.6</v>
      </c>
      <c r="K24" s="3">
        <f t="shared" si="2"/>
        <v>8145.1334487120312</v>
      </c>
    </row>
    <row r="25" spans="10:11" x14ac:dyDescent="0.25">
      <c r="J25" s="5">
        <v>0.65</v>
      </c>
      <c r="K25" s="3">
        <f t="shared" si="2"/>
        <v>9135.3348722746377</v>
      </c>
    </row>
    <row r="26" spans="10:11" x14ac:dyDescent="0.25">
      <c r="J26" s="5">
        <v>0.7</v>
      </c>
      <c r="K26" s="3">
        <f t="shared" si="2"/>
        <v>10178.858022868939</v>
      </c>
    </row>
    <row r="27" spans="10:11" x14ac:dyDescent="0.25">
      <c r="J27" s="5">
        <v>0.75</v>
      </c>
      <c r="K27" s="3">
        <f t="shared" si="2"/>
        <v>11304.983575311211</v>
      </c>
    </row>
    <row r="28" spans="10:11" x14ac:dyDescent="0.25">
      <c r="J28" s="5">
        <v>0.8</v>
      </c>
      <c r="K28" s="3">
        <f t="shared" si="2"/>
        <v>12558.977780346922</v>
      </c>
    </row>
    <row r="29" spans="10:11" x14ac:dyDescent="0.25">
      <c r="J29" s="5">
        <v>0.85</v>
      </c>
      <c r="K29" s="3">
        <f t="shared" si="2"/>
        <v>14020.661178707485</v>
      </c>
    </row>
    <row r="30" spans="10:11" x14ac:dyDescent="0.25">
      <c r="J30" s="5">
        <v>0.9</v>
      </c>
      <c r="K30" s="3">
        <f t="shared" si="2"/>
        <v>15859.79265834376</v>
      </c>
    </row>
    <row r="31" spans="10:11" x14ac:dyDescent="0.25">
      <c r="J31" s="5">
        <v>0.95</v>
      </c>
      <c r="K31" s="3">
        <f t="shared" si="2"/>
        <v>18585.66255716197</v>
      </c>
    </row>
    <row r="32" spans="10:11" x14ac:dyDescent="0.25">
      <c r="J32" s="5"/>
      <c r="K32" s="3"/>
    </row>
    <row r="33" spans="10:11" x14ac:dyDescent="0.25">
      <c r="J33" s="5"/>
      <c r="K33" s="3"/>
    </row>
    <row r="34" spans="10:11" x14ac:dyDescent="0.25">
      <c r="J34" s="5"/>
      <c r="K34" s="3"/>
    </row>
    <row r="35" spans="10:11" x14ac:dyDescent="0.25">
      <c r="J35" s="5"/>
      <c r="K35" s="3"/>
    </row>
    <row r="36" spans="10:11" x14ac:dyDescent="0.25">
      <c r="J36" s="5"/>
      <c r="K36" s="3"/>
    </row>
    <row r="37" spans="10:11" x14ac:dyDescent="0.25">
      <c r="J37" s="5"/>
      <c r="K37" s="3"/>
    </row>
    <row r="38" spans="10:11" x14ac:dyDescent="0.25">
      <c r="J38" s="5"/>
      <c r="K38" s="3"/>
    </row>
    <row r="39" spans="10:11" x14ac:dyDescent="0.25">
      <c r="J39" s="5"/>
      <c r="K39" s="3"/>
    </row>
    <row r="40" spans="10:11" x14ac:dyDescent="0.25">
      <c r="J40" s="5"/>
      <c r="K40" s="3"/>
    </row>
    <row r="41" spans="10:11" x14ac:dyDescent="0.25">
      <c r="J41" s="5"/>
      <c r="K41" s="3"/>
    </row>
    <row r="42" spans="10:11" x14ac:dyDescent="0.25">
      <c r="J42" s="5"/>
      <c r="K42" s="3"/>
    </row>
    <row r="43" spans="10:11" x14ac:dyDescent="0.25">
      <c r="J43" s="5"/>
      <c r="K43" s="3"/>
    </row>
    <row r="44" spans="10:11" x14ac:dyDescent="0.25">
      <c r="J44" s="5"/>
      <c r="K44" s="3"/>
    </row>
    <row r="45" spans="10:11" x14ac:dyDescent="0.25">
      <c r="J45" s="5"/>
      <c r="K45" s="3"/>
    </row>
    <row r="46" spans="10:11" x14ac:dyDescent="0.25">
      <c r="J46" s="5"/>
      <c r="K46" s="3"/>
    </row>
    <row r="47" spans="10:11" x14ac:dyDescent="0.25">
      <c r="J47" s="5"/>
      <c r="K47" s="3"/>
    </row>
    <row r="48" spans="10:11" x14ac:dyDescent="0.25">
      <c r="J48" s="5"/>
      <c r="K48" s="3"/>
    </row>
    <row r="49" spans="10:11" x14ac:dyDescent="0.25">
      <c r="J49" s="5"/>
      <c r="K49" s="3"/>
    </row>
    <row r="50" spans="10:11" x14ac:dyDescent="0.25">
      <c r="J50" s="5"/>
      <c r="K50" s="3"/>
    </row>
    <row r="51" spans="10:11" x14ac:dyDescent="0.25">
      <c r="J51" s="5"/>
      <c r="K51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NPV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2015-11-05T16:04:54Z</dcterms:created>
  <dcterms:modified xsi:type="dcterms:W3CDTF">2016-11-11T11:59:10Z</dcterms:modified>
</cp:coreProperties>
</file>