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7-Finance\"/>
    </mc:Choice>
  </mc:AlternateContent>
  <bookViews>
    <workbookView xWindow="-15" yWindow="-15" windowWidth="15330" windowHeight="4455" tabRatio="755"/>
  </bookViews>
  <sheets>
    <sheet name="Principal" sheetId="32" r:id="rId1"/>
  </sheets>
  <calcPr calcId="152511"/>
</workbook>
</file>

<file path=xl/calcChain.xml><?xml version="1.0" encoding="utf-8"?>
<calcChain xmlns="http://schemas.openxmlformats.org/spreadsheetml/2006/main">
  <c r="A5" i="32" l="1"/>
  <c r="B5" i="32" s="1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87" i="32"/>
  <c r="A88" i="32"/>
  <c r="A89" i="32"/>
  <c r="A90" i="32"/>
  <c r="A91" i="32"/>
  <c r="A92" i="32"/>
  <c r="A93" i="32"/>
  <c r="A94" i="32"/>
  <c r="A95" i="32"/>
  <c r="A96" i="32"/>
  <c r="A97" i="32"/>
  <c r="A98" i="32"/>
  <c r="A99" i="32"/>
  <c r="A100" i="32"/>
  <c r="A101" i="32"/>
  <c r="A102" i="32"/>
  <c r="A103" i="32"/>
  <c r="A104" i="32"/>
  <c r="A105" i="32"/>
  <c r="A106" i="32"/>
  <c r="A107" i="32"/>
  <c r="A108" i="32"/>
  <c r="A109" i="32"/>
  <c r="A110" i="32"/>
  <c r="A111" i="32"/>
  <c r="A112" i="32"/>
  <c r="A113" i="32"/>
  <c r="A114" i="32"/>
  <c r="A115" i="32"/>
  <c r="A116" i="32"/>
  <c r="A117" i="32"/>
  <c r="A118" i="32"/>
  <c r="A119" i="32"/>
  <c r="A120" i="32"/>
  <c r="A121" i="32"/>
  <c r="A122" i="32"/>
  <c r="A123" i="32"/>
  <c r="A124" i="32"/>
  <c r="A125" i="32"/>
  <c r="A126" i="32"/>
  <c r="A127" i="32"/>
  <c r="A128" i="32"/>
  <c r="A129" i="32"/>
  <c r="A130" i="32"/>
  <c r="A131" i="32"/>
  <c r="A132" i="32"/>
  <c r="A133" i="32"/>
  <c r="A134" i="32"/>
  <c r="A135" i="32"/>
  <c r="A136" i="32"/>
  <c r="A137" i="32"/>
  <c r="A138" i="32"/>
  <c r="A139" i="32"/>
  <c r="A140" i="32"/>
  <c r="A141" i="32"/>
  <c r="A142" i="32"/>
  <c r="A143" i="32"/>
  <c r="A144" i="32"/>
  <c r="A145" i="32"/>
  <c r="A146" i="32"/>
  <c r="A147" i="32"/>
  <c r="A148" i="32"/>
  <c r="A149" i="32"/>
  <c r="A150" i="32"/>
  <c r="A151" i="32"/>
  <c r="A152" i="32"/>
  <c r="A153" i="32"/>
  <c r="A154" i="32"/>
  <c r="A155" i="32"/>
  <c r="A156" i="32"/>
  <c r="A157" i="32"/>
  <c r="A158" i="32"/>
  <c r="A159" i="32"/>
  <c r="A160" i="32"/>
  <c r="A161" i="32"/>
  <c r="A162" i="32"/>
  <c r="A163" i="32"/>
  <c r="A164" i="32"/>
  <c r="A165" i="32"/>
  <c r="A166" i="32"/>
  <c r="A167" i="32"/>
  <c r="A168" i="32"/>
  <c r="A169" i="32"/>
  <c r="A170" i="32"/>
  <c r="A171" i="32"/>
  <c r="A172" i="32"/>
  <c r="A173" i="32"/>
  <c r="A174" i="32"/>
  <c r="A175" i="32"/>
  <c r="A176" i="32"/>
  <c r="A177" i="32"/>
  <c r="A178" i="32"/>
  <c r="A179" i="32"/>
  <c r="A180" i="32"/>
  <c r="A181" i="32"/>
  <c r="A182" i="32"/>
  <c r="A183" i="32"/>
  <c r="A184" i="32"/>
  <c r="A185" i="32"/>
  <c r="A186" i="32"/>
  <c r="A187" i="32"/>
  <c r="A188" i="32"/>
  <c r="A189" i="32"/>
  <c r="A190" i="32"/>
  <c r="A191" i="32"/>
  <c r="A192" i="32"/>
  <c r="A193" i="32"/>
  <c r="A194" i="32"/>
  <c r="A195" i="32"/>
  <c r="A196" i="32"/>
  <c r="A197" i="32"/>
  <c r="A198" i="32"/>
  <c r="A199" i="32"/>
  <c r="A200" i="32"/>
  <c r="A201" i="32"/>
  <c r="A202" i="32"/>
  <c r="A203" i="32"/>
  <c r="A204" i="32"/>
  <c r="A205" i="32"/>
  <c r="A206" i="32"/>
  <c r="A207" i="32"/>
  <c r="A208" i="32"/>
  <c r="A209" i="32"/>
  <c r="A210" i="32"/>
  <c r="A211" i="32"/>
  <c r="A212" i="32"/>
  <c r="A213" i="32"/>
  <c r="A214" i="32"/>
  <c r="A215" i="32"/>
  <c r="A216" i="32"/>
  <c r="A217" i="32"/>
  <c r="A218" i="32"/>
  <c r="A219" i="32"/>
  <c r="A220" i="32"/>
  <c r="A221" i="32"/>
  <c r="A222" i="32"/>
  <c r="A223" i="32"/>
  <c r="A224" i="32"/>
  <c r="A225" i="32"/>
  <c r="A226" i="32"/>
  <c r="A227" i="32"/>
  <c r="A228" i="32"/>
  <c r="A229" i="32"/>
  <c r="A230" i="32"/>
  <c r="A231" i="32"/>
  <c r="A232" i="32"/>
  <c r="A233" i="32"/>
  <c r="A234" i="32"/>
  <c r="A235" i="32"/>
  <c r="A236" i="32"/>
  <c r="A237" i="32"/>
  <c r="A238" i="32"/>
  <c r="A239" i="32"/>
  <c r="A240" i="32"/>
  <c r="A241" i="32"/>
  <c r="A242" i="32"/>
  <c r="A243" i="32"/>
  <c r="A244" i="32"/>
  <c r="A245" i="32"/>
  <c r="A246" i="32"/>
  <c r="A247" i="32"/>
  <c r="A248" i="32"/>
  <c r="A249" i="32"/>
  <c r="A250" i="32"/>
  <c r="A251" i="32"/>
  <c r="A252" i="32"/>
  <c r="A253" i="32"/>
  <c r="A254" i="32"/>
  <c r="A255" i="32"/>
  <c r="A256" i="32"/>
  <c r="A257" i="32"/>
  <c r="A258" i="32"/>
  <c r="A259" i="32"/>
  <c r="A260" i="32"/>
  <c r="A261" i="32"/>
  <c r="A262" i="32"/>
  <c r="A263" i="32"/>
  <c r="A264" i="32"/>
  <c r="A265" i="32"/>
  <c r="A266" i="32"/>
  <c r="A267" i="32"/>
  <c r="A268" i="32"/>
  <c r="A269" i="32"/>
  <c r="A270" i="32"/>
  <c r="A271" i="32"/>
  <c r="A272" i="32"/>
  <c r="A273" i="32"/>
  <c r="A274" i="32"/>
  <c r="A275" i="32"/>
  <c r="A276" i="32"/>
  <c r="A277" i="32"/>
  <c r="A278" i="32"/>
  <c r="A279" i="32"/>
  <c r="A280" i="32"/>
  <c r="A281" i="32"/>
  <c r="A282" i="32"/>
  <c r="A283" i="32"/>
  <c r="A284" i="32"/>
  <c r="A285" i="32"/>
  <c r="A286" i="32"/>
  <c r="A287" i="32"/>
  <c r="A288" i="32"/>
  <c r="A289" i="32"/>
  <c r="A290" i="32"/>
  <c r="A291" i="32"/>
  <c r="A292" i="32"/>
  <c r="A293" i="32"/>
  <c r="A294" i="32"/>
  <c r="A295" i="32"/>
  <c r="A296" i="32"/>
  <c r="A297" i="32"/>
  <c r="A298" i="32"/>
  <c r="A299" i="32"/>
  <c r="A300" i="32"/>
  <c r="A301" i="32"/>
  <c r="A302" i="32"/>
  <c r="A303" i="32"/>
  <c r="A304" i="32"/>
  <c r="A305" i="32"/>
  <c r="A306" i="32"/>
  <c r="A307" i="32"/>
  <c r="A308" i="32"/>
  <c r="A309" i="32"/>
  <c r="A310" i="32"/>
  <c r="A311" i="32"/>
  <c r="A312" i="32"/>
  <c r="A313" i="32"/>
  <c r="A314" i="32"/>
  <c r="A315" i="32"/>
  <c r="A316" i="32"/>
  <c r="A317" i="32"/>
  <c r="A318" i="32"/>
  <c r="A319" i="32"/>
  <c r="A320" i="32"/>
  <c r="A321" i="32"/>
  <c r="A322" i="32"/>
  <c r="A323" i="32"/>
  <c r="A324" i="32"/>
  <c r="A325" i="32"/>
  <c r="A326" i="32"/>
  <c r="A327" i="32"/>
  <c r="A328" i="32"/>
  <c r="A329" i="32"/>
  <c r="A330" i="32"/>
  <c r="A331" i="32"/>
  <c r="A332" i="32"/>
  <c r="A333" i="32"/>
  <c r="A334" i="32"/>
  <c r="A335" i="32"/>
  <c r="A336" i="32"/>
  <c r="A337" i="32"/>
  <c r="A338" i="32"/>
  <c r="A339" i="32"/>
  <c r="A340" i="32"/>
  <c r="A341" i="32"/>
  <c r="A342" i="32"/>
  <c r="A343" i="32"/>
  <c r="A344" i="32"/>
  <c r="A345" i="32"/>
  <c r="A346" i="32"/>
  <c r="A347" i="32"/>
  <c r="A348" i="32"/>
  <c r="A349" i="32"/>
  <c r="A350" i="32"/>
  <c r="A351" i="32"/>
  <c r="A352" i="32"/>
  <c r="A353" i="32"/>
  <c r="A354" i="32"/>
  <c r="A355" i="32"/>
  <c r="A356" i="32"/>
  <c r="A357" i="32"/>
  <c r="A358" i="32"/>
  <c r="A359" i="32"/>
  <c r="A360" i="32"/>
  <c r="A361" i="32"/>
  <c r="A362" i="32"/>
  <c r="A363" i="32"/>
  <c r="A364" i="32"/>
  <c r="F2" i="32"/>
  <c r="E5" i="32" l="1"/>
  <c r="G5" i="32" s="1"/>
  <c r="F5" i="32"/>
  <c r="H5" i="32" s="1"/>
  <c r="B6" i="32"/>
  <c r="B7" i="32"/>
  <c r="B8" i="32"/>
  <c r="B9" i="32"/>
  <c r="B11" i="32"/>
  <c r="B12" i="32"/>
  <c r="B13" i="32"/>
  <c r="B15" i="32"/>
  <c r="B16" i="32"/>
  <c r="B17" i="32"/>
  <c r="B19" i="32"/>
  <c r="B20" i="32"/>
  <c r="B21" i="32"/>
  <c r="B23" i="32"/>
  <c r="B24" i="32"/>
  <c r="B25" i="32"/>
  <c r="B27" i="32"/>
  <c r="B28" i="32"/>
  <c r="B29" i="32"/>
  <c r="B31" i="32"/>
  <c r="B32" i="32"/>
  <c r="B33" i="32"/>
  <c r="B35" i="32"/>
  <c r="B36" i="32"/>
  <c r="B37" i="32"/>
  <c r="B39" i="32"/>
  <c r="B40" i="32"/>
  <c r="B41" i="32"/>
  <c r="B43" i="32"/>
  <c r="B44" i="32"/>
  <c r="B45" i="32"/>
  <c r="B47" i="32"/>
  <c r="B48" i="32"/>
  <c r="B49" i="32"/>
  <c r="B51" i="32"/>
  <c r="B52" i="32"/>
  <c r="B53" i="32"/>
  <c r="B55" i="32"/>
  <c r="B56" i="32"/>
  <c r="B57" i="32"/>
  <c r="B59" i="32"/>
  <c r="B60" i="32"/>
  <c r="B61" i="32"/>
  <c r="B63" i="32"/>
  <c r="B64" i="32"/>
  <c r="B65" i="32"/>
  <c r="B67" i="32"/>
  <c r="B68" i="32"/>
  <c r="B69" i="32"/>
  <c r="B71" i="32"/>
  <c r="B72" i="32"/>
  <c r="B73" i="32"/>
  <c r="B75" i="32"/>
  <c r="B76" i="32"/>
  <c r="B77" i="32"/>
  <c r="B79" i="32"/>
  <c r="B80" i="32"/>
  <c r="B81" i="32"/>
  <c r="B83" i="32"/>
  <c r="B84" i="32"/>
  <c r="B85" i="32"/>
  <c r="B87" i="32"/>
  <c r="B88" i="32"/>
  <c r="B89" i="32"/>
  <c r="B91" i="32"/>
  <c r="B92" i="32"/>
  <c r="B93" i="32"/>
  <c r="B95" i="32"/>
  <c r="B96" i="32"/>
  <c r="B97" i="32"/>
  <c r="B99" i="32"/>
  <c r="B100" i="32"/>
  <c r="B101" i="32"/>
  <c r="B103" i="32"/>
  <c r="B104" i="32"/>
  <c r="B105" i="32"/>
  <c r="B107" i="32"/>
  <c r="B108" i="32"/>
  <c r="B109" i="32"/>
  <c r="B111" i="32"/>
  <c r="B112" i="32"/>
  <c r="B113" i="32"/>
  <c r="B115" i="32"/>
  <c r="B116" i="32"/>
  <c r="B117" i="32"/>
  <c r="B119" i="32"/>
  <c r="B120" i="32"/>
  <c r="B121" i="32"/>
  <c r="B123" i="32"/>
  <c r="B124" i="32"/>
  <c r="B125" i="32"/>
  <c r="B127" i="32"/>
  <c r="B128" i="32"/>
  <c r="B129" i="32"/>
  <c r="B131" i="32"/>
  <c r="B132" i="32"/>
  <c r="B133" i="32"/>
  <c r="B135" i="32"/>
  <c r="B136" i="32"/>
  <c r="B137" i="32"/>
  <c r="B139" i="32"/>
  <c r="B140" i="32"/>
  <c r="B141" i="32"/>
  <c r="B143" i="32"/>
  <c r="B144" i="32"/>
  <c r="B145" i="32"/>
  <c r="B147" i="32"/>
  <c r="B148" i="32"/>
  <c r="B149" i="32"/>
  <c r="B151" i="32"/>
  <c r="B152" i="32"/>
  <c r="B153" i="32"/>
  <c r="B155" i="32"/>
  <c r="B156" i="32"/>
  <c r="B157" i="32"/>
  <c r="B159" i="32"/>
  <c r="B160" i="32"/>
  <c r="B161" i="32"/>
  <c r="B163" i="32"/>
  <c r="B164" i="32"/>
  <c r="B165" i="32"/>
  <c r="B167" i="32"/>
  <c r="B168" i="32"/>
  <c r="B169" i="32"/>
  <c r="B171" i="32"/>
  <c r="B172" i="32"/>
  <c r="B173" i="32"/>
  <c r="B175" i="32"/>
  <c r="B176" i="32"/>
  <c r="B177" i="32"/>
  <c r="B179" i="32"/>
  <c r="B180" i="32"/>
  <c r="B181" i="32"/>
  <c r="B183" i="32"/>
  <c r="B184" i="32"/>
  <c r="B185" i="32"/>
  <c r="B187" i="32"/>
  <c r="B188" i="32"/>
  <c r="B189" i="32"/>
  <c r="B191" i="32"/>
  <c r="B192" i="32"/>
  <c r="B193" i="32"/>
  <c r="B195" i="32"/>
  <c r="B196" i="32"/>
  <c r="B197" i="32"/>
  <c r="B199" i="32"/>
  <c r="B200" i="32"/>
  <c r="B201" i="32"/>
  <c r="B203" i="32"/>
  <c r="B204" i="32"/>
  <c r="B205" i="32"/>
  <c r="B207" i="32"/>
  <c r="B208" i="32"/>
  <c r="B209" i="32"/>
  <c r="B211" i="32"/>
  <c r="B212" i="32"/>
  <c r="B213" i="32"/>
  <c r="B215" i="32"/>
  <c r="B216" i="32"/>
  <c r="B217" i="32"/>
  <c r="B219" i="32"/>
  <c r="B220" i="32"/>
  <c r="B221" i="32"/>
  <c r="B223" i="32"/>
  <c r="B224" i="32"/>
  <c r="B225" i="32"/>
  <c r="B227" i="32"/>
  <c r="B228" i="32"/>
  <c r="B229" i="32"/>
  <c r="B231" i="32"/>
  <c r="B232" i="32"/>
  <c r="B233" i="32"/>
  <c r="B235" i="32"/>
  <c r="B236" i="32"/>
  <c r="B237" i="32"/>
  <c r="B239" i="32"/>
  <c r="B240" i="32"/>
  <c r="B241" i="32"/>
  <c r="B243" i="32"/>
  <c r="B244" i="32"/>
  <c r="B245" i="32"/>
  <c r="B247" i="32"/>
  <c r="B248" i="32"/>
  <c r="B249" i="32"/>
  <c r="B251" i="32"/>
  <c r="B252" i="32"/>
  <c r="B253" i="32"/>
  <c r="B255" i="32"/>
  <c r="B256" i="32"/>
  <c r="B257" i="32"/>
  <c r="B259" i="32"/>
  <c r="B260" i="32"/>
  <c r="B261" i="32"/>
  <c r="B263" i="32"/>
  <c r="B264" i="32"/>
  <c r="B265" i="32"/>
  <c r="B267" i="32"/>
  <c r="B268" i="32"/>
  <c r="B269" i="32"/>
  <c r="B271" i="32"/>
  <c r="B272" i="32"/>
  <c r="B273" i="32"/>
  <c r="B275" i="32"/>
  <c r="B276" i="32"/>
  <c r="B277" i="32"/>
  <c r="B279" i="32"/>
  <c r="B280" i="32"/>
  <c r="B281" i="32"/>
  <c r="B283" i="32"/>
  <c r="B284" i="32"/>
  <c r="B285" i="32"/>
  <c r="B287" i="32"/>
  <c r="B288" i="32"/>
  <c r="B289" i="32"/>
  <c r="B291" i="32"/>
  <c r="B292" i="32"/>
  <c r="B293" i="32"/>
  <c r="B295" i="32"/>
  <c r="B296" i="32"/>
  <c r="B297" i="32"/>
  <c r="B299" i="32"/>
  <c r="B300" i="32"/>
  <c r="B301" i="32"/>
  <c r="B303" i="32"/>
  <c r="B304" i="32"/>
  <c r="B305" i="32"/>
  <c r="B307" i="32"/>
  <c r="B308" i="32"/>
  <c r="B309" i="32"/>
  <c r="B311" i="32"/>
  <c r="B312" i="32"/>
  <c r="B313" i="32"/>
  <c r="B315" i="32"/>
  <c r="B316" i="32"/>
  <c r="B317" i="32"/>
  <c r="B319" i="32"/>
  <c r="B320" i="32"/>
  <c r="B321" i="32"/>
  <c r="B323" i="32"/>
  <c r="B324" i="32"/>
  <c r="B325" i="32"/>
  <c r="B327" i="32"/>
  <c r="B328" i="32"/>
  <c r="B329" i="32"/>
  <c r="B331" i="32"/>
  <c r="B332" i="32"/>
  <c r="B333" i="32"/>
  <c r="B335" i="32"/>
  <c r="B336" i="32"/>
  <c r="B337" i="32"/>
  <c r="B339" i="32"/>
  <c r="B340" i="32"/>
  <c r="B341" i="32"/>
  <c r="B343" i="32"/>
  <c r="B344" i="32"/>
  <c r="B345" i="32"/>
  <c r="B347" i="32"/>
  <c r="B348" i="32"/>
  <c r="B349" i="32"/>
  <c r="B351" i="32"/>
  <c r="B352" i="32"/>
  <c r="B353" i="32"/>
  <c r="B355" i="32"/>
  <c r="B356" i="32"/>
  <c r="B357" i="32"/>
  <c r="B359" i="32"/>
  <c r="B360" i="32"/>
  <c r="B361" i="32"/>
  <c r="B363" i="32"/>
  <c r="B364" i="32"/>
  <c r="F23" i="32" l="1"/>
  <c r="E112" i="32"/>
  <c r="F6" i="32"/>
  <c r="B10" i="32"/>
  <c r="B14" i="32"/>
  <c r="F17" i="32"/>
  <c r="B18" i="32"/>
  <c r="B22" i="32"/>
  <c r="E23" i="32"/>
  <c r="B26" i="32"/>
  <c r="B30" i="32"/>
  <c r="B34" i="32"/>
  <c r="B38" i="32"/>
  <c r="E39" i="32"/>
  <c r="B42" i="32"/>
  <c r="F45" i="32"/>
  <c r="B46" i="32"/>
  <c r="B54" i="32"/>
  <c r="F57" i="32"/>
  <c r="B58" i="32"/>
  <c r="B62" i="32"/>
  <c r="B66" i="32"/>
  <c r="F67" i="32"/>
  <c r="B70" i="32"/>
  <c r="E73" i="32"/>
  <c r="B74" i="32"/>
  <c r="B78" i="32"/>
  <c r="B82" i="32"/>
  <c r="B86" i="32"/>
  <c r="B94" i="32"/>
  <c r="B98" i="32"/>
  <c r="F101" i="32"/>
  <c r="B102" i="32"/>
  <c r="B106" i="32"/>
  <c r="F107" i="32"/>
  <c r="B110" i="32"/>
  <c r="F112" i="32"/>
  <c r="B114" i="32"/>
  <c r="F117" i="32"/>
  <c r="B118" i="32"/>
  <c r="E129" i="32"/>
  <c r="B130" i="32"/>
  <c r="B142" i="32"/>
  <c r="B146" i="32"/>
  <c r="E149" i="32"/>
  <c r="B150" i="32"/>
  <c r="B154" i="32"/>
  <c r="B158" i="32"/>
  <c r="F159" i="32"/>
  <c r="B162" i="32"/>
  <c r="F165" i="32"/>
  <c r="B166" i="32"/>
  <c r="E168" i="32"/>
  <c r="B170" i="32"/>
  <c r="E173" i="32"/>
  <c r="B174" i="32"/>
  <c r="B178" i="32"/>
  <c r="E184" i="32"/>
  <c r="F188" i="32"/>
  <c r="B194" i="32"/>
  <c r="B198" i="32"/>
  <c r="E199" i="32"/>
  <c r="B202" i="32"/>
  <c r="E203" i="32"/>
  <c r="E205" i="32"/>
  <c r="B206" i="32"/>
  <c r="E207" i="32"/>
  <c r="F209" i="32"/>
  <c r="B210" i="32"/>
  <c r="F213" i="32"/>
  <c r="B214" i="32"/>
  <c r="E216" i="32"/>
  <c r="B218" i="32"/>
  <c r="E220" i="32"/>
  <c r="E224" i="32"/>
  <c r="B234" i="32"/>
  <c r="B238" i="32"/>
  <c r="E239" i="32"/>
  <c r="B242" i="32"/>
  <c r="F243" i="32"/>
  <c r="F245" i="32"/>
  <c r="B246" i="32"/>
  <c r="F247" i="32"/>
  <c r="F249" i="32"/>
  <c r="B250" i="32"/>
  <c r="B254" i="32"/>
  <c r="B258" i="32"/>
  <c r="B262" i="32"/>
  <c r="F265" i="32"/>
  <c r="B266" i="32"/>
  <c r="F268" i="32"/>
  <c r="B270" i="32"/>
  <c r="F273" i="32"/>
  <c r="F276" i="32"/>
  <c r="E277" i="32"/>
  <c r="B278" i="32"/>
  <c r="F280" i="32"/>
  <c r="F281" i="32"/>
  <c r="F283" i="32"/>
  <c r="F284" i="32"/>
  <c r="E285" i="32"/>
  <c r="F288" i="32"/>
  <c r="F289" i="32"/>
  <c r="E291" i="32"/>
  <c r="F292" i="32"/>
  <c r="F293" i="32"/>
  <c r="E295" i="32"/>
  <c r="E296" i="32"/>
  <c r="F297" i="32"/>
  <c r="B298" i="32"/>
  <c r="E299" i="32"/>
  <c r="E300" i="32"/>
  <c r="E301" i="32"/>
  <c r="B302" i="32"/>
  <c r="E304" i="32"/>
  <c r="E305" i="32"/>
  <c r="E309" i="32"/>
  <c r="F311" i="32"/>
  <c r="F315" i="32"/>
  <c r="F316" i="32"/>
  <c r="F319" i="32"/>
  <c r="F320" i="32"/>
  <c r="F321" i="32"/>
  <c r="E323" i="32"/>
  <c r="F324" i="32"/>
  <c r="F325" i="32"/>
  <c r="E327" i="32"/>
  <c r="E328" i="32"/>
  <c r="F329" i="32"/>
  <c r="B330" i="32"/>
  <c r="E331" i="32"/>
  <c r="F332" i="32"/>
  <c r="F333" i="32"/>
  <c r="E335" i="32"/>
  <c r="F339" i="32"/>
  <c r="F340" i="32"/>
  <c r="E341" i="32"/>
  <c r="F343" i="32"/>
  <c r="F344" i="32"/>
  <c r="E345" i="32"/>
  <c r="F347" i="32"/>
  <c r="F348" i="32"/>
  <c r="E349" i="32"/>
  <c r="F351" i="32"/>
  <c r="F352" i="32"/>
  <c r="E353" i="32"/>
  <c r="F355" i="32"/>
  <c r="F356" i="32"/>
  <c r="E357" i="32"/>
  <c r="F359" i="32"/>
  <c r="E360" i="32"/>
  <c r="E361" i="32"/>
  <c r="F363" i="32"/>
  <c r="E364" i="32"/>
  <c r="E6" i="32"/>
  <c r="G6" i="32" s="1"/>
  <c r="C5" i="32"/>
  <c r="E362" i="32" l="1"/>
  <c r="B362" i="32"/>
  <c r="E358" i="32"/>
  <c r="B358" i="32"/>
  <c r="E354" i="32"/>
  <c r="B354" i="32"/>
  <c r="E350" i="32"/>
  <c r="B350" i="32"/>
  <c r="E346" i="32"/>
  <c r="B346" i="32"/>
  <c r="E342" i="32"/>
  <c r="B342" i="32"/>
  <c r="F338" i="32"/>
  <c r="B338" i="32"/>
  <c r="E334" i="32"/>
  <c r="B334" i="32"/>
  <c r="E326" i="32"/>
  <c r="B326" i="32"/>
  <c r="E322" i="32"/>
  <c r="B322" i="32"/>
  <c r="E318" i="32"/>
  <c r="B318" i="32"/>
  <c r="F314" i="32"/>
  <c r="B314" i="32"/>
  <c r="F310" i="32"/>
  <c r="B310" i="32"/>
  <c r="F306" i="32"/>
  <c r="B306" i="32"/>
  <c r="E294" i="32"/>
  <c r="B294" i="32"/>
  <c r="E290" i="32"/>
  <c r="B290" i="32"/>
  <c r="E286" i="32"/>
  <c r="B286" i="32"/>
  <c r="F282" i="32"/>
  <c r="B282" i="32"/>
  <c r="F274" i="32"/>
  <c r="B274" i="32"/>
  <c r="F230" i="32"/>
  <c r="B230" i="32"/>
  <c r="F226" i="32"/>
  <c r="B226" i="32"/>
  <c r="E222" i="32"/>
  <c r="B222" i="32"/>
  <c r="E190" i="32"/>
  <c r="B190" i="32"/>
  <c r="E186" i="32"/>
  <c r="B186" i="32"/>
  <c r="E182" i="32"/>
  <c r="B182" i="32"/>
  <c r="E138" i="32"/>
  <c r="B138" i="32"/>
  <c r="E134" i="32"/>
  <c r="B134" i="32"/>
  <c r="F126" i="32"/>
  <c r="B126" i="32"/>
  <c r="F122" i="32"/>
  <c r="B122" i="32"/>
  <c r="E90" i="32"/>
  <c r="B90" i="32"/>
  <c r="E50" i="32"/>
  <c r="B50" i="32"/>
  <c r="D5" i="32"/>
  <c r="D7" i="32"/>
  <c r="D8" i="32"/>
  <c r="D9" i="32"/>
  <c r="D15" i="32"/>
  <c r="D19" i="32"/>
  <c r="D23" i="32"/>
  <c r="D27" i="32"/>
  <c r="D32" i="32"/>
  <c r="D36" i="32"/>
  <c r="D40" i="32"/>
  <c r="D44" i="32"/>
  <c r="D45" i="32"/>
  <c r="D49" i="32"/>
  <c r="D53" i="32"/>
  <c r="D57" i="32"/>
  <c r="D61" i="32"/>
  <c r="D65" i="32"/>
  <c r="D69" i="32"/>
  <c r="D73" i="32"/>
  <c r="D77" i="32"/>
  <c r="D81" i="32"/>
  <c r="D85" i="32"/>
  <c r="D89" i="32"/>
  <c r="D93" i="32"/>
  <c r="D97" i="32"/>
  <c r="D101" i="32"/>
  <c r="D105" i="32"/>
  <c r="D109" i="32"/>
  <c r="D113" i="32"/>
  <c r="D16" i="32"/>
  <c r="D18" i="32"/>
  <c r="D25" i="32"/>
  <c r="D30" i="32"/>
  <c r="D37" i="32"/>
  <c r="D39" i="32"/>
  <c r="D51" i="32"/>
  <c r="D58" i="32"/>
  <c r="D60" i="32"/>
  <c r="D67" i="32"/>
  <c r="D74" i="32"/>
  <c r="D76" i="32"/>
  <c r="D83" i="32"/>
  <c r="D90" i="32"/>
  <c r="D92" i="32"/>
  <c r="D99" i="32"/>
  <c r="D106" i="32"/>
  <c r="D108" i="32"/>
  <c r="D115" i="32"/>
  <c r="D118" i="32"/>
  <c r="D122" i="32"/>
  <c r="D126" i="32"/>
  <c r="D130" i="32"/>
  <c r="D134" i="32"/>
  <c r="D138" i="32"/>
  <c r="D142" i="32"/>
  <c r="D17" i="32"/>
  <c r="D22" i="32"/>
  <c r="D24" i="32"/>
  <c r="D31" i="32"/>
  <c r="D33" i="32"/>
  <c r="D38" i="32"/>
  <c r="D43" i="32"/>
  <c r="D47" i="32"/>
  <c r="D52" i="32"/>
  <c r="D54" i="32"/>
  <c r="D59" i="32"/>
  <c r="D64" i="32"/>
  <c r="D66" i="32"/>
  <c r="D71" i="32"/>
  <c r="D78" i="32"/>
  <c r="D104" i="32"/>
  <c r="D111" i="32"/>
  <c r="D116" i="32"/>
  <c r="D123" i="32"/>
  <c r="D125" i="32"/>
  <c r="D132" i="32"/>
  <c r="D139" i="32"/>
  <c r="D141" i="32"/>
  <c r="D146" i="32"/>
  <c r="D150" i="32"/>
  <c r="D155" i="32"/>
  <c r="D159" i="32"/>
  <c r="D163" i="32"/>
  <c r="D167" i="32"/>
  <c r="D10" i="32"/>
  <c r="D13" i="32"/>
  <c r="D28" i="32"/>
  <c r="D41" i="32"/>
  <c r="D50" i="32"/>
  <c r="D56" i="32"/>
  <c r="D72" i="32"/>
  <c r="D75" i="32"/>
  <c r="D88" i="32"/>
  <c r="D91" i="32"/>
  <c r="D94" i="32"/>
  <c r="D107" i="32"/>
  <c r="D110" i="32"/>
  <c r="D121" i="32"/>
  <c r="D128" i="32"/>
  <c r="D133" i="32"/>
  <c r="D135" i="32"/>
  <c r="D140" i="32"/>
  <c r="D145" i="32"/>
  <c r="D152" i="32"/>
  <c r="D157" i="32"/>
  <c r="D164" i="32"/>
  <c r="D166" i="32"/>
  <c r="D172" i="32"/>
  <c r="D185" i="32"/>
  <c r="D186" i="32"/>
  <c r="D187" i="32"/>
  <c r="D188" i="32"/>
  <c r="D201" i="32"/>
  <c r="D202" i="32"/>
  <c r="D203" i="32"/>
  <c r="D204" i="32"/>
  <c r="D217" i="32"/>
  <c r="D218" i="32"/>
  <c r="D219" i="32"/>
  <c r="D220" i="32"/>
  <c r="D233" i="32"/>
  <c r="D234" i="32"/>
  <c r="D235" i="32"/>
  <c r="D236" i="32"/>
  <c r="D249" i="32"/>
  <c r="D250" i="32"/>
  <c r="D251" i="32"/>
  <c r="D252" i="32"/>
  <c r="D260" i="32"/>
  <c r="D268" i="32"/>
  <c r="D276" i="32"/>
  <c r="D284" i="32"/>
  <c r="D11" i="32"/>
  <c r="D14" i="32"/>
  <c r="D35" i="32"/>
  <c r="D48" i="32"/>
  <c r="D68" i="32"/>
  <c r="D98" i="32"/>
  <c r="D102" i="32"/>
  <c r="D131" i="32"/>
  <c r="D137" i="32"/>
  <c r="D149" i="32"/>
  <c r="D151" i="32"/>
  <c r="D158" i="32"/>
  <c r="D160" i="32"/>
  <c r="D165" i="32"/>
  <c r="D173" i="32"/>
  <c r="D180" i="32"/>
  <c r="D183" i="32"/>
  <c r="D190" i="32"/>
  <c r="D193" i="32"/>
  <c r="D200" i="32"/>
  <c r="D207" i="32"/>
  <c r="D210" i="32"/>
  <c r="D213" i="32"/>
  <c r="D224" i="32"/>
  <c r="D227" i="32"/>
  <c r="D230" i="32"/>
  <c r="D237" i="32"/>
  <c r="D244" i="32"/>
  <c r="D247" i="32"/>
  <c r="D254" i="32"/>
  <c r="D263" i="32"/>
  <c r="D265" i="32"/>
  <c r="D274" i="32"/>
  <c r="D277" i="32"/>
  <c r="D280" i="32"/>
  <c r="D283" i="32"/>
  <c r="D286" i="32"/>
  <c r="D289" i="32"/>
  <c r="D290" i="32"/>
  <c r="D295" i="32"/>
  <c r="D300" i="32"/>
  <c r="D305" i="32"/>
  <c r="D306" i="32"/>
  <c r="D311" i="32"/>
  <c r="D316" i="32"/>
  <c r="D321" i="32"/>
  <c r="D322" i="32"/>
  <c r="D327" i="32"/>
  <c r="D333" i="32"/>
  <c r="D334" i="32"/>
  <c r="D21" i="32"/>
  <c r="D55" i="32"/>
  <c r="D95" i="32"/>
  <c r="D100" i="32"/>
  <c r="D112" i="32"/>
  <c r="D117" i="32"/>
  <c r="D168" i="32"/>
  <c r="D184" i="32"/>
  <c r="D205" i="32"/>
  <c r="D209" i="32"/>
  <c r="D222" i="32"/>
  <c r="D226" i="32"/>
  <c r="D239" i="32"/>
  <c r="D241" i="32"/>
  <c r="D243" i="32"/>
  <c r="D245" i="32"/>
  <c r="D273" i="32"/>
  <c r="D281" i="32"/>
  <c r="D285" i="32"/>
  <c r="D292" i="32"/>
  <c r="D297" i="32"/>
  <c r="D310" i="32"/>
  <c r="D315" i="32"/>
  <c r="D318" i="32"/>
  <c r="D320" i="32"/>
  <c r="D323" i="32"/>
  <c r="D325" i="32"/>
  <c r="D328" i="32"/>
  <c r="D339" i="32"/>
  <c r="D340" i="32"/>
  <c r="D347" i="32"/>
  <c r="D348" i="32"/>
  <c r="D355" i="32"/>
  <c r="D356" i="32"/>
  <c r="D363" i="32"/>
  <c r="D20" i="32"/>
  <c r="D46" i="32"/>
  <c r="D63" i="32"/>
  <c r="D80" i="32"/>
  <c r="D86" i="32"/>
  <c r="D103" i="32"/>
  <c r="D114" i="32"/>
  <c r="D119" i="32"/>
  <c r="D127" i="32"/>
  <c r="D136" i="32"/>
  <c r="D144" i="32"/>
  <c r="D154" i="32"/>
  <c r="D169" i="32"/>
  <c r="D189" i="32"/>
  <c r="D206" i="32"/>
  <c r="D221" i="32"/>
  <c r="D223" i="32"/>
  <c r="D225" i="32"/>
  <c r="D229" i="32"/>
  <c r="D238" i="32"/>
  <c r="D240" i="32"/>
  <c r="D242" i="32"/>
  <c r="D246" i="32"/>
  <c r="D255" i="32"/>
  <c r="D282" i="32"/>
  <c r="D288" i="32"/>
  <c r="D291" i="32"/>
  <c r="D293" i="32"/>
  <c r="D296" i="32"/>
  <c r="D301" i="32"/>
  <c r="D314" i="32"/>
  <c r="D319" i="32"/>
  <c r="D324" i="32"/>
  <c r="D329" i="32"/>
  <c r="D332" i="32"/>
  <c r="D335" i="32"/>
  <c r="D338" i="32"/>
  <c r="D343" i="32"/>
  <c r="D344" i="32"/>
  <c r="D351" i="32"/>
  <c r="D352" i="32"/>
  <c r="D359" i="32"/>
  <c r="D26" i="32"/>
  <c r="D42" i="32"/>
  <c r="D70" i="32"/>
  <c r="D82" i="32"/>
  <c r="D87" i="32"/>
  <c r="D120" i="32"/>
  <c r="D124" i="32"/>
  <c r="D129" i="32"/>
  <c r="D148" i="32"/>
  <c r="D161" i="32"/>
  <c r="D170" i="32"/>
  <c r="D174" i="32"/>
  <c r="D176" i="32"/>
  <c r="D178" i="32"/>
  <c r="D182" i="32"/>
  <c r="D191" i="32"/>
  <c r="D195" i="32"/>
  <c r="D197" i="32"/>
  <c r="D199" i="32"/>
  <c r="D208" i="32"/>
  <c r="D212" i="32"/>
  <c r="D214" i="32"/>
  <c r="D216" i="32"/>
  <c r="D231" i="32"/>
  <c r="D248" i="32"/>
  <c r="D256" i="32"/>
  <c r="D258" i="32"/>
  <c r="D262" i="32"/>
  <c r="D264" i="32"/>
  <c r="D266" i="32"/>
  <c r="D6" i="32"/>
  <c r="E336" i="32"/>
  <c r="F336" i="32"/>
  <c r="F330" i="32"/>
  <c r="E330" i="32"/>
  <c r="E302" i="32"/>
  <c r="F302" i="32"/>
  <c r="F298" i="32"/>
  <c r="E298" i="32"/>
  <c r="E278" i="32"/>
  <c r="F278" i="32"/>
  <c r="E270" i="32"/>
  <c r="F270" i="32"/>
  <c r="E266" i="32"/>
  <c r="F266" i="32"/>
  <c r="E262" i="32"/>
  <c r="F262" i="32"/>
  <c r="F258" i="32"/>
  <c r="E258" i="32"/>
  <c r="E254" i="32"/>
  <c r="F254" i="32"/>
  <c r="F250" i="32"/>
  <c r="E250" i="32"/>
  <c r="F246" i="32"/>
  <c r="E246" i="32"/>
  <c r="F242" i="32"/>
  <c r="E242" i="32"/>
  <c r="E238" i="32"/>
  <c r="F238" i="32"/>
  <c r="E234" i="32"/>
  <c r="F234" i="32"/>
  <c r="F218" i="32"/>
  <c r="E218" i="32"/>
  <c r="E214" i="32"/>
  <c r="F214" i="32"/>
  <c r="F210" i="32"/>
  <c r="E210" i="32"/>
  <c r="E206" i="32"/>
  <c r="F206" i="32"/>
  <c r="E202" i="32"/>
  <c r="F202" i="32"/>
  <c r="F198" i="32"/>
  <c r="E198" i="32"/>
  <c r="F194" i="32"/>
  <c r="E194" i="32"/>
  <c r="F178" i="32"/>
  <c r="E178" i="32"/>
  <c r="E174" i="32"/>
  <c r="F174" i="32"/>
  <c r="F170" i="32"/>
  <c r="E170" i="32"/>
  <c r="E166" i="32"/>
  <c r="F166" i="32"/>
  <c r="E162" i="32"/>
  <c r="F162" i="32"/>
  <c r="F158" i="32"/>
  <c r="E158" i="32"/>
  <c r="F154" i="32"/>
  <c r="E154" i="32"/>
  <c r="E150" i="32"/>
  <c r="F150" i="32"/>
  <c r="F146" i="32"/>
  <c r="E146" i="32"/>
  <c r="F142" i="32"/>
  <c r="E142" i="32"/>
  <c r="E130" i="32"/>
  <c r="F130" i="32"/>
  <c r="F118" i="32"/>
  <c r="E118" i="32"/>
  <c r="E114" i="32"/>
  <c r="F114" i="32"/>
  <c r="E110" i="32"/>
  <c r="F110" i="32"/>
  <c r="E106" i="32"/>
  <c r="F106" i="32"/>
  <c r="E102" i="32"/>
  <c r="F102" i="32"/>
  <c r="E98" i="32"/>
  <c r="F98" i="32"/>
  <c r="E94" i="32"/>
  <c r="F94" i="32"/>
  <c r="E86" i="32"/>
  <c r="F86" i="32"/>
  <c r="E82" i="32"/>
  <c r="F82" i="32"/>
  <c r="E78" i="32"/>
  <c r="F78" i="32"/>
  <c r="E74" i="32"/>
  <c r="F74" i="32"/>
  <c r="E70" i="32"/>
  <c r="F70" i="32"/>
  <c r="E66" i="32"/>
  <c r="F66" i="32"/>
  <c r="E62" i="32"/>
  <c r="F62" i="32"/>
  <c r="E58" i="32"/>
  <c r="F58" i="32"/>
  <c r="E54" i="32"/>
  <c r="F54" i="32"/>
  <c r="E46" i="32"/>
  <c r="F46" i="32"/>
  <c r="F42" i="32"/>
  <c r="E42" i="32"/>
  <c r="F38" i="32"/>
  <c r="E38" i="32"/>
  <c r="F34" i="32"/>
  <c r="E34" i="32"/>
  <c r="F30" i="32"/>
  <c r="E30" i="32"/>
  <c r="F26" i="32"/>
  <c r="E26" i="32"/>
  <c r="E22" i="32"/>
  <c r="F22" i="32"/>
  <c r="F18" i="32"/>
  <c r="E18" i="32"/>
  <c r="E14" i="32"/>
  <c r="F14" i="32"/>
  <c r="E10" i="32"/>
  <c r="F10" i="32"/>
  <c r="E363" i="32"/>
  <c r="D361" i="32"/>
  <c r="F358" i="32"/>
  <c r="E356" i="32"/>
  <c r="D354" i="32"/>
  <c r="F349" i="32"/>
  <c r="E347" i="32"/>
  <c r="D345" i="32"/>
  <c r="F342" i="32"/>
  <c r="E340" i="32"/>
  <c r="F334" i="32"/>
  <c r="F331" i="32"/>
  <c r="F328" i="32"/>
  <c r="E325" i="32"/>
  <c r="F318" i="32"/>
  <c r="E315" i="32"/>
  <c r="D312" i="32"/>
  <c r="D309" i="32"/>
  <c r="F305" i="32"/>
  <c r="D302" i="32"/>
  <c r="D299" i="32"/>
  <c r="F295" i="32"/>
  <c r="E292" i="32"/>
  <c r="E289" i="32"/>
  <c r="F285" i="32"/>
  <c r="E281" i="32"/>
  <c r="F277" i="32"/>
  <c r="E273" i="32"/>
  <c r="D269" i="32"/>
  <c r="E247" i="32"/>
  <c r="F239" i="32"/>
  <c r="D232" i="32"/>
  <c r="F224" i="32"/>
  <c r="F216" i="32"/>
  <c r="E209" i="32"/>
  <c r="D194" i="32"/>
  <c r="F186" i="32"/>
  <c r="D179" i="32"/>
  <c r="D171" i="32"/>
  <c r="E159" i="32"/>
  <c r="D147" i="32"/>
  <c r="F129" i="32"/>
  <c r="F90" i="32"/>
  <c r="E67" i="32"/>
  <c r="E45" i="32"/>
  <c r="F337" i="32"/>
  <c r="E337" i="32"/>
  <c r="E317" i="32"/>
  <c r="F317" i="32"/>
  <c r="F313" i="32"/>
  <c r="E313" i="32"/>
  <c r="E269" i="32"/>
  <c r="F269" i="32"/>
  <c r="E261" i="32"/>
  <c r="F261" i="32"/>
  <c r="E257" i="32"/>
  <c r="F257" i="32"/>
  <c r="E253" i="32"/>
  <c r="F253" i="32"/>
  <c r="F241" i="32"/>
  <c r="E241" i="32"/>
  <c r="E237" i="32"/>
  <c r="F237" i="32"/>
  <c r="F233" i="32"/>
  <c r="E233" i="32"/>
  <c r="F229" i="32"/>
  <c r="E229" i="32"/>
  <c r="F225" i="32"/>
  <c r="E225" i="32"/>
  <c r="E221" i="32"/>
  <c r="F221" i="32"/>
  <c r="E217" i="32"/>
  <c r="F217" i="32"/>
  <c r="F201" i="32"/>
  <c r="E201" i="32"/>
  <c r="E197" i="32"/>
  <c r="F197" i="32"/>
  <c r="F193" i="32"/>
  <c r="E193" i="32"/>
  <c r="E189" i="32"/>
  <c r="F189" i="32"/>
  <c r="E185" i="32"/>
  <c r="F185" i="32"/>
  <c r="F181" i="32"/>
  <c r="E181" i="32"/>
  <c r="F177" i="32"/>
  <c r="E177" i="32"/>
  <c r="F169" i="32"/>
  <c r="E169" i="32"/>
  <c r="F161" i="32"/>
  <c r="E161" i="32"/>
  <c r="F157" i="32"/>
  <c r="E157" i="32"/>
  <c r="F153" i="32"/>
  <c r="E153" i="32"/>
  <c r="F145" i="32"/>
  <c r="E145" i="32"/>
  <c r="F141" i="32"/>
  <c r="E141" i="32"/>
  <c r="E137" i="32"/>
  <c r="F137" i="32"/>
  <c r="F133" i="32"/>
  <c r="E133" i="32"/>
  <c r="F125" i="32"/>
  <c r="E125" i="32"/>
  <c r="E121" i="32"/>
  <c r="F121" i="32"/>
  <c r="E113" i="32"/>
  <c r="F113" i="32"/>
  <c r="F109" i="32"/>
  <c r="E109" i="32"/>
  <c r="F105" i="32"/>
  <c r="E105" i="32"/>
  <c r="E97" i="32"/>
  <c r="F97" i="32"/>
  <c r="F93" i="32"/>
  <c r="E93" i="32"/>
  <c r="F89" i="32"/>
  <c r="E89" i="32"/>
  <c r="E85" i="32"/>
  <c r="F85" i="32"/>
  <c r="E81" i="32"/>
  <c r="F81" i="32"/>
  <c r="F77" i="32"/>
  <c r="E77" i="32"/>
  <c r="E69" i="32"/>
  <c r="F69" i="32"/>
  <c r="E65" i="32"/>
  <c r="F65" i="32"/>
  <c r="F61" i="32"/>
  <c r="E61" i="32"/>
  <c r="E53" i="32"/>
  <c r="F53" i="32"/>
  <c r="E49" i="32"/>
  <c r="F49" i="32"/>
  <c r="E41" i="32"/>
  <c r="F41" i="32"/>
  <c r="E37" i="32"/>
  <c r="F37" i="32"/>
  <c r="E33" i="32"/>
  <c r="F33" i="32"/>
  <c r="E29" i="32"/>
  <c r="F29" i="32"/>
  <c r="F25" i="32"/>
  <c r="E25" i="32"/>
  <c r="F21" i="32"/>
  <c r="E21" i="32"/>
  <c r="F13" i="32"/>
  <c r="E13" i="32"/>
  <c r="F9" i="32"/>
  <c r="E9" i="32"/>
  <c r="F362" i="32"/>
  <c r="F360" i="32"/>
  <c r="D358" i="32"/>
  <c r="F353" i="32"/>
  <c r="E351" i="32"/>
  <c r="D349" i="32"/>
  <c r="F346" i="32"/>
  <c r="E344" i="32"/>
  <c r="D342" i="32"/>
  <c r="D337" i="32"/>
  <c r="D331" i="32"/>
  <c r="F327" i="32"/>
  <c r="E324" i="32"/>
  <c r="E321" i="32"/>
  <c r="E314" i="32"/>
  <c r="E311" i="32"/>
  <c r="D308" i="32"/>
  <c r="F304" i="32"/>
  <c r="F301" i="32"/>
  <c r="D298" i="32"/>
  <c r="F294" i="32"/>
  <c r="F291" i="32"/>
  <c r="E288" i="32"/>
  <c r="E284" i="32"/>
  <c r="E280" i="32"/>
  <c r="E276" i="32"/>
  <c r="D272" i="32"/>
  <c r="E268" i="32"/>
  <c r="D261" i="32"/>
  <c r="D253" i="32"/>
  <c r="E245" i="32"/>
  <c r="E230" i="32"/>
  <c r="F222" i="32"/>
  <c r="D215" i="32"/>
  <c r="F207" i="32"/>
  <c r="F199" i="32"/>
  <c r="D192" i="32"/>
  <c r="F184" i="32"/>
  <c r="D177" i="32"/>
  <c r="F168" i="32"/>
  <c r="D156" i="32"/>
  <c r="D143" i="32"/>
  <c r="E126" i="32"/>
  <c r="E107" i="32"/>
  <c r="D84" i="32"/>
  <c r="D62" i="32"/>
  <c r="F39" i="32"/>
  <c r="E17" i="32"/>
  <c r="F108" i="32"/>
  <c r="E108" i="32"/>
  <c r="E104" i="32"/>
  <c r="F104" i="32"/>
  <c r="F100" i="32"/>
  <c r="E100" i="32"/>
  <c r="F96" i="32"/>
  <c r="E96" i="32"/>
  <c r="E92" i="32"/>
  <c r="F92" i="32"/>
  <c r="E88" i="32"/>
  <c r="F88" i="32"/>
  <c r="F84" i="32"/>
  <c r="E84" i="32"/>
  <c r="E80" i="32"/>
  <c r="F80" i="32"/>
  <c r="F76" i="32"/>
  <c r="E76" i="32"/>
  <c r="E72" i="32"/>
  <c r="F72" i="32"/>
  <c r="F68" i="32"/>
  <c r="E68" i="32"/>
  <c r="E64" i="32"/>
  <c r="F64" i="32"/>
  <c r="E60" i="32"/>
  <c r="F60" i="32"/>
  <c r="E56" i="32"/>
  <c r="F56" i="32"/>
  <c r="F52" i="32"/>
  <c r="E52" i="32"/>
  <c r="F48" i="32"/>
  <c r="E48" i="32"/>
  <c r="E44" i="32"/>
  <c r="F44" i="32"/>
  <c r="F40" i="32"/>
  <c r="E40" i="32"/>
  <c r="E36" i="32"/>
  <c r="F36" i="32"/>
  <c r="F32" i="32"/>
  <c r="E32" i="32"/>
  <c r="E28" i="32"/>
  <c r="F28" i="32"/>
  <c r="E24" i="32"/>
  <c r="F24" i="32"/>
  <c r="E20" i="32"/>
  <c r="F20" i="32"/>
  <c r="E16" i="32"/>
  <c r="F16" i="32"/>
  <c r="F12" i="32"/>
  <c r="E12" i="32"/>
  <c r="F364" i="32"/>
  <c r="D362" i="32"/>
  <c r="D360" i="32"/>
  <c r="F357" i="32"/>
  <c r="E355" i="32"/>
  <c r="D353" i="32"/>
  <c r="F350" i="32"/>
  <c r="E348" i="32"/>
  <c r="D346" i="32"/>
  <c r="F341" i="32"/>
  <c r="E339" i="32"/>
  <c r="D336" i="32"/>
  <c r="E333" i="32"/>
  <c r="D330" i="32"/>
  <c r="F326" i="32"/>
  <c r="F323" i="32"/>
  <c r="E320" i="32"/>
  <c r="D317" i="32"/>
  <c r="E310" i="32"/>
  <c r="D307" i="32"/>
  <c r="D304" i="32"/>
  <c r="F300" i="32"/>
  <c r="E297" i="32"/>
  <c r="D294" i="32"/>
  <c r="F290" i="32"/>
  <c r="D287" i="32"/>
  <c r="E283" i="32"/>
  <c r="D279" i="32"/>
  <c r="D275" i="32"/>
  <c r="D271" i="32"/>
  <c r="D267" i="32"/>
  <c r="D259" i="32"/>
  <c r="E243" i="32"/>
  <c r="D228" i="32"/>
  <c r="F220" i="32"/>
  <c r="E213" i="32"/>
  <c r="F205" i="32"/>
  <c r="D198" i="32"/>
  <c r="F190" i="32"/>
  <c r="F182" i="32"/>
  <c r="D175" i="32"/>
  <c r="E165" i="32"/>
  <c r="D153" i="32"/>
  <c r="F138" i="32"/>
  <c r="E122" i="32"/>
  <c r="E101" i="32"/>
  <c r="D79" i="32"/>
  <c r="E57" i="32"/>
  <c r="D34" i="32"/>
  <c r="D12" i="32"/>
  <c r="E312" i="32"/>
  <c r="F312" i="32"/>
  <c r="F308" i="32"/>
  <c r="E308" i="32"/>
  <c r="F272" i="32"/>
  <c r="E272" i="32"/>
  <c r="F264" i="32"/>
  <c r="E264" i="32"/>
  <c r="E260" i="32"/>
  <c r="F260" i="32"/>
  <c r="F256" i="32"/>
  <c r="E256" i="32"/>
  <c r="F252" i="32"/>
  <c r="E252" i="32"/>
  <c r="E248" i="32"/>
  <c r="F248" i="32"/>
  <c r="F244" i="32"/>
  <c r="E244" i="32"/>
  <c r="E240" i="32"/>
  <c r="F240" i="32"/>
  <c r="E236" i="32"/>
  <c r="F236" i="32"/>
  <c r="F232" i="32"/>
  <c r="E232" i="32"/>
  <c r="F228" i="32"/>
  <c r="E228" i="32"/>
  <c r="F212" i="32"/>
  <c r="E212" i="32"/>
  <c r="E208" i="32"/>
  <c r="F208" i="32"/>
  <c r="E204" i="32"/>
  <c r="F204" i="32"/>
  <c r="E200" i="32"/>
  <c r="F200" i="32"/>
  <c r="F196" i="32"/>
  <c r="E196" i="32"/>
  <c r="E192" i="32"/>
  <c r="F192" i="32"/>
  <c r="F180" i="32"/>
  <c r="E180" i="32"/>
  <c r="E176" i="32"/>
  <c r="F176" i="32"/>
  <c r="F172" i="32"/>
  <c r="E172" i="32"/>
  <c r="E164" i="32"/>
  <c r="F164" i="32"/>
  <c r="E160" i="32"/>
  <c r="F160" i="32"/>
  <c r="E156" i="32"/>
  <c r="F156" i="32"/>
  <c r="F152" i="32"/>
  <c r="E152" i="32"/>
  <c r="F148" i="32"/>
  <c r="E148" i="32"/>
  <c r="F144" i="32"/>
  <c r="E144" i="32"/>
  <c r="F140" i="32"/>
  <c r="E140" i="32"/>
  <c r="F136" i="32"/>
  <c r="E136" i="32"/>
  <c r="F132" i="32"/>
  <c r="E132" i="32"/>
  <c r="F128" i="32"/>
  <c r="E128" i="32"/>
  <c r="F124" i="32"/>
  <c r="E124" i="32"/>
  <c r="F120" i="32"/>
  <c r="E120" i="32"/>
  <c r="F116" i="32"/>
  <c r="E116" i="32"/>
  <c r="E307" i="32"/>
  <c r="F307" i="32"/>
  <c r="F303" i="32"/>
  <c r="E303" i="32"/>
  <c r="E287" i="32"/>
  <c r="F287" i="32"/>
  <c r="E279" i="32"/>
  <c r="F279" i="32"/>
  <c r="E275" i="32"/>
  <c r="F275" i="32"/>
  <c r="E271" i="32"/>
  <c r="F271" i="32"/>
  <c r="F267" i="32"/>
  <c r="E267" i="32"/>
  <c r="E263" i="32"/>
  <c r="F263" i="32"/>
  <c r="E259" i="32"/>
  <c r="F259" i="32"/>
  <c r="E255" i="32"/>
  <c r="F255" i="32"/>
  <c r="E251" i="32"/>
  <c r="F251" i="32"/>
  <c r="F235" i="32"/>
  <c r="E235" i="32"/>
  <c r="E231" i="32"/>
  <c r="F231" i="32"/>
  <c r="F227" i="32"/>
  <c r="E227" i="32"/>
  <c r="E223" i="32"/>
  <c r="F223" i="32"/>
  <c r="E219" i="32"/>
  <c r="F219" i="32"/>
  <c r="F215" i="32"/>
  <c r="E215" i="32"/>
  <c r="F211" i="32"/>
  <c r="E211" i="32"/>
  <c r="F195" i="32"/>
  <c r="E195" i="32"/>
  <c r="E191" i="32"/>
  <c r="F191" i="32"/>
  <c r="E187" i="32"/>
  <c r="F187" i="32"/>
  <c r="E183" i="32"/>
  <c r="F183" i="32"/>
  <c r="F179" i="32"/>
  <c r="E179" i="32"/>
  <c r="E175" i="32"/>
  <c r="F175" i="32"/>
  <c r="F171" i="32"/>
  <c r="E171" i="32"/>
  <c r="F167" i="32"/>
  <c r="E167" i="32"/>
  <c r="E163" i="32"/>
  <c r="F163" i="32"/>
  <c r="E155" i="32"/>
  <c r="F155" i="32"/>
  <c r="E151" i="32"/>
  <c r="F151" i="32"/>
  <c r="E147" i="32"/>
  <c r="F147" i="32"/>
  <c r="E143" i="32"/>
  <c r="F143" i="32"/>
  <c r="E139" i="32"/>
  <c r="F139" i="32"/>
  <c r="E135" i="32"/>
  <c r="F135" i="32"/>
  <c r="E131" i="32"/>
  <c r="F131" i="32"/>
  <c r="E127" i="32"/>
  <c r="F127" i="32"/>
  <c r="E123" i="32"/>
  <c r="F123" i="32"/>
  <c r="E119" i="32"/>
  <c r="F119" i="32"/>
  <c r="F115" i="32"/>
  <c r="E115" i="32"/>
  <c r="F111" i="32"/>
  <c r="E111" i="32"/>
  <c r="F103" i="32"/>
  <c r="E103" i="32"/>
  <c r="F99" i="32"/>
  <c r="E99" i="32"/>
  <c r="F95" i="32"/>
  <c r="E95" i="32"/>
  <c r="F91" i="32"/>
  <c r="E91" i="32"/>
  <c r="F87" i="32"/>
  <c r="E87" i="32"/>
  <c r="F83" i="32"/>
  <c r="E83" i="32"/>
  <c r="F79" i="32"/>
  <c r="E79" i="32"/>
  <c r="F75" i="32"/>
  <c r="E75" i="32"/>
  <c r="F71" i="32"/>
  <c r="E71" i="32"/>
  <c r="F63" i="32"/>
  <c r="E63" i="32"/>
  <c r="F59" i="32"/>
  <c r="E59" i="32"/>
  <c r="F55" i="32"/>
  <c r="E55" i="32"/>
  <c r="F51" i="32"/>
  <c r="E51" i="32"/>
  <c r="F47" i="32"/>
  <c r="E47" i="32"/>
  <c r="F43" i="32"/>
  <c r="E43" i="32"/>
  <c r="E35" i="32"/>
  <c r="F35" i="32"/>
  <c r="F31" i="32"/>
  <c r="E31" i="32"/>
  <c r="E27" i="32"/>
  <c r="F27" i="32"/>
  <c r="F19" i="32"/>
  <c r="E19" i="32"/>
  <c r="F15" i="32"/>
  <c r="E15" i="32"/>
  <c r="F11" i="32"/>
  <c r="E11" i="32"/>
  <c r="G47" i="32" s="1"/>
  <c r="F7" i="32"/>
  <c r="E7" i="32"/>
  <c r="D364" i="32"/>
  <c r="F361" i="32"/>
  <c r="E359" i="32"/>
  <c r="D357" i="32"/>
  <c r="F354" i="32"/>
  <c r="E352" i="32"/>
  <c r="D350" i="32"/>
  <c r="F345" i="32"/>
  <c r="E343" i="32"/>
  <c r="D341" i="32"/>
  <c r="E338" i="32"/>
  <c r="F335" i="32"/>
  <c r="E332" i="32"/>
  <c r="E329" i="32"/>
  <c r="D326" i="32"/>
  <c r="F322" i="32"/>
  <c r="E319" i="32"/>
  <c r="E316" i="32"/>
  <c r="D313" i="32"/>
  <c r="F309" i="32"/>
  <c r="E306" i="32"/>
  <c r="D303" i="32"/>
  <c r="F299" i="32"/>
  <c r="F296" i="32"/>
  <c r="E293" i="32"/>
  <c r="F286" i="32"/>
  <c r="E282" i="32"/>
  <c r="D278" i="32"/>
  <c r="E274" i="32"/>
  <c r="D270" i="32"/>
  <c r="E265" i="32"/>
  <c r="D257" i="32"/>
  <c r="E249" i="32"/>
  <c r="E226" i="32"/>
  <c r="D211" i="32"/>
  <c r="F203" i="32"/>
  <c r="D196" i="32"/>
  <c r="E188" i="32"/>
  <c r="D181" i="32"/>
  <c r="F173" i="32"/>
  <c r="D162" i="32"/>
  <c r="F149" i="32"/>
  <c r="F134" i="32"/>
  <c r="E117" i="32"/>
  <c r="D96" i="32"/>
  <c r="F73" i="32"/>
  <c r="F50" i="32"/>
  <c r="D29" i="32"/>
  <c r="E8" i="32"/>
  <c r="G12" i="32" s="1"/>
  <c r="F8" i="32"/>
  <c r="H130" i="32" s="1"/>
  <c r="G7" i="32"/>
  <c r="G188" i="32"/>
  <c r="G36" i="32" l="1"/>
  <c r="G358" i="32"/>
  <c r="G8" i="32"/>
  <c r="H10" i="32"/>
  <c r="G278" i="32"/>
  <c r="G13" i="32"/>
  <c r="G66" i="32"/>
  <c r="G76" i="32"/>
  <c r="H33" i="32"/>
  <c r="G329" i="32"/>
  <c r="G9" i="32"/>
  <c r="G10" i="32"/>
  <c r="H290" i="32"/>
  <c r="H331" i="32"/>
  <c r="G207" i="32"/>
  <c r="G110" i="32"/>
  <c r="H131" i="32"/>
  <c r="G22" i="32"/>
  <c r="H18" i="32"/>
  <c r="H25" i="32"/>
  <c r="H364" i="32"/>
  <c r="G304" i="32"/>
  <c r="G256" i="32"/>
  <c r="G289" i="32"/>
  <c r="G166" i="32"/>
  <c r="G97" i="32"/>
  <c r="G79" i="32"/>
  <c r="H264" i="32"/>
  <c r="G245" i="32"/>
  <c r="H86" i="32"/>
  <c r="H39" i="32"/>
  <c r="H9" i="32"/>
  <c r="H303" i="32"/>
  <c r="H348" i="32"/>
  <c r="G218" i="32"/>
  <c r="G82" i="32"/>
  <c r="G136" i="32"/>
  <c r="G127" i="32"/>
  <c r="G161" i="32"/>
  <c r="H16" i="32"/>
  <c r="H162" i="32"/>
  <c r="H73" i="32"/>
  <c r="H165" i="32"/>
  <c r="G338" i="32"/>
  <c r="G311" i="32"/>
  <c r="G174" i="32"/>
  <c r="G247" i="32"/>
  <c r="G232" i="32"/>
  <c r="G29" i="32"/>
  <c r="G120" i="32"/>
  <c r="H320" i="32"/>
  <c r="G40" i="32"/>
  <c r="H35" i="32"/>
  <c r="H69" i="32"/>
  <c r="G290" i="32"/>
  <c r="H335" i="32"/>
  <c r="H36" i="32"/>
  <c r="H307" i="32"/>
  <c r="G340" i="32"/>
  <c r="G362" i="32"/>
  <c r="G308" i="32"/>
  <c r="H352" i="32"/>
  <c r="G303" i="32"/>
  <c r="G276" i="32"/>
  <c r="G254" i="32"/>
  <c r="G210" i="32"/>
  <c r="G170" i="32"/>
  <c r="G325" i="32"/>
  <c r="G281" i="32"/>
  <c r="G287" i="32"/>
  <c r="G243" i="32"/>
  <c r="G199" i="32"/>
  <c r="G164" i="32"/>
  <c r="G132" i="32"/>
  <c r="G224" i="32"/>
  <c r="G184" i="32"/>
  <c r="G93" i="32"/>
  <c r="G65" i="32"/>
  <c r="G25" i="32"/>
  <c r="G145" i="32"/>
  <c r="G104" i="32"/>
  <c r="G94" i="32"/>
  <c r="G71" i="32"/>
  <c r="G31" i="32"/>
  <c r="G123" i="32"/>
  <c r="G58" i="32"/>
  <c r="G18" i="32"/>
  <c r="G60" i="32"/>
  <c r="G20" i="32"/>
  <c r="H300" i="32"/>
  <c r="H267" i="32"/>
  <c r="H220" i="32"/>
  <c r="H237" i="32"/>
  <c r="H136" i="32"/>
  <c r="H59" i="32"/>
  <c r="H19" i="32"/>
  <c r="H53" i="32"/>
  <c r="G306" i="32"/>
  <c r="H351" i="32"/>
  <c r="H79" i="32"/>
  <c r="H323" i="32"/>
  <c r="G348" i="32"/>
  <c r="G146" i="32"/>
  <c r="G324" i="32"/>
  <c r="H362" i="32"/>
  <c r="G288" i="32"/>
  <c r="G268" i="32"/>
  <c r="G238" i="32"/>
  <c r="G194" i="32"/>
  <c r="G353" i="32"/>
  <c r="G309" i="32"/>
  <c r="G265" i="32"/>
  <c r="G271" i="32"/>
  <c r="G227" i="32"/>
  <c r="G183" i="32"/>
  <c r="G156" i="32"/>
  <c r="G252" i="32"/>
  <c r="G208" i="32"/>
  <c r="G121" i="32"/>
  <c r="G147" i="32"/>
  <c r="G49" i="32"/>
  <c r="G141" i="32"/>
  <c r="G96" i="32"/>
  <c r="G91" i="32"/>
  <c r="G67" i="32"/>
  <c r="G23" i="32"/>
  <c r="G107" i="32"/>
  <c r="G42" i="32"/>
  <c r="G56" i="32"/>
  <c r="H354" i="32"/>
  <c r="H137" i="32"/>
  <c r="H200" i="32"/>
  <c r="H213" i="32"/>
  <c r="H98" i="32"/>
  <c r="H103" i="32"/>
  <c r="G339" i="32"/>
  <c r="G193" i="32"/>
  <c r="H55" i="32"/>
  <c r="H89" i="32"/>
  <c r="H49" i="32"/>
  <c r="G126" i="32"/>
  <c r="G314" i="32"/>
  <c r="H355" i="32"/>
  <c r="H161" i="32"/>
  <c r="G330" i="32"/>
  <c r="G350" i="32"/>
  <c r="H157" i="32"/>
  <c r="H332" i="32"/>
  <c r="G327" i="32"/>
  <c r="G286" i="32"/>
  <c r="G264" i="32"/>
  <c r="G234" i="32"/>
  <c r="G190" i="32"/>
  <c r="G345" i="32"/>
  <c r="G305" i="32"/>
  <c r="G261" i="32"/>
  <c r="G263" i="32"/>
  <c r="G223" i="32"/>
  <c r="G179" i="32"/>
  <c r="G152" i="32"/>
  <c r="G248" i="32"/>
  <c r="G204" i="32"/>
  <c r="G113" i="32"/>
  <c r="G143" i="32"/>
  <c r="G45" i="32"/>
  <c r="G125" i="32"/>
  <c r="G114" i="32"/>
  <c r="G83" i="32"/>
  <c r="G51" i="32"/>
  <c r="G15" i="32"/>
  <c r="G103" i="32"/>
  <c r="G38" i="32"/>
  <c r="G84" i="32"/>
  <c r="H310" i="32"/>
  <c r="H284" i="32"/>
  <c r="H180" i="32"/>
  <c r="H163" i="32"/>
  <c r="G177" i="32"/>
  <c r="H330" i="32"/>
  <c r="H160" i="32"/>
  <c r="H244" i="32"/>
  <c r="H56" i="32"/>
  <c r="H193" i="32"/>
  <c r="H114" i="32"/>
  <c r="H120" i="32"/>
  <c r="H150" i="32"/>
  <c r="H109" i="32"/>
  <c r="H151" i="32"/>
  <c r="H209" i="32"/>
  <c r="H48" i="32"/>
  <c r="H236" i="32"/>
  <c r="H152" i="32"/>
  <c r="H306" i="32"/>
  <c r="H316" i="32"/>
  <c r="H70" i="32"/>
  <c r="H76" i="32"/>
  <c r="H93" i="32"/>
  <c r="H124" i="32"/>
  <c r="H181" i="32"/>
  <c r="H253" i="32"/>
  <c r="H196" i="32"/>
  <c r="H280" i="32"/>
  <c r="H326" i="32"/>
  <c r="H91" i="32"/>
  <c r="H229" i="32"/>
  <c r="H172" i="32"/>
  <c r="H216" i="32"/>
  <c r="H260" i="32"/>
  <c r="H129" i="32"/>
  <c r="H263" i="32"/>
  <c r="H283" i="32"/>
  <c r="H346" i="32"/>
  <c r="H296" i="32"/>
  <c r="G221" i="32"/>
  <c r="G328" i="32"/>
  <c r="G181" i="32"/>
  <c r="H12" i="32"/>
  <c r="H28" i="32"/>
  <c r="H44" i="32"/>
  <c r="H153" i="32"/>
  <c r="H170" i="32"/>
  <c r="H182" i="32"/>
  <c r="H183" i="32"/>
  <c r="H198" i="32"/>
  <c r="H199" i="32"/>
  <c r="H214" i="32"/>
  <c r="H215" i="32"/>
  <c r="H230" i="32"/>
  <c r="H231" i="32"/>
  <c r="H246" i="32"/>
  <c r="H247" i="32"/>
  <c r="H257" i="32"/>
  <c r="H258" i="32"/>
  <c r="H265" i="32"/>
  <c r="H266" i="32"/>
  <c r="H273" i="32"/>
  <c r="H274" i="32"/>
  <c r="H281" i="32"/>
  <c r="H282" i="32"/>
  <c r="H175" i="32"/>
  <c r="H178" i="32"/>
  <c r="H195" i="32"/>
  <c r="H202" i="32"/>
  <c r="H219" i="32"/>
  <c r="H222" i="32"/>
  <c r="H239" i="32"/>
  <c r="H242" i="32"/>
  <c r="H261" i="32"/>
  <c r="H270" i="32"/>
  <c r="H293" i="32"/>
  <c r="H309" i="32"/>
  <c r="H325" i="32"/>
  <c r="H174" i="32"/>
  <c r="H187" i="32"/>
  <c r="H191" i="32"/>
  <c r="H206" i="32"/>
  <c r="H210" i="32"/>
  <c r="H223" i="32"/>
  <c r="H227" i="32"/>
  <c r="H278" i="32"/>
  <c r="H286" i="32"/>
  <c r="H301" i="32"/>
  <c r="H329" i="32"/>
  <c r="H345" i="32"/>
  <c r="H353" i="32"/>
  <c r="H361" i="32"/>
  <c r="H8" i="32"/>
  <c r="H171" i="32"/>
  <c r="H186" i="32"/>
  <c r="H190" i="32"/>
  <c r="H194" i="32"/>
  <c r="H203" i="32"/>
  <c r="H207" i="32"/>
  <c r="H211" i="32"/>
  <c r="H226" i="32"/>
  <c r="H243" i="32"/>
  <c r="H269" i="32"/>
  <c r="H277" i="32"/>
  <c r="H285" i="32"/>
  <c r="H297" i="32"/>
  <c r="H305" i="32"/>
  <c r="H341" i="32"/>
  <c r="H349" i="32"/>
  <c r="H357" i="32"/>
  <c r="H179" i="32"/>
  <c r="H234" i="32"/>
  <c r="H238" i="32"/>
  <c r="H251" i="32"/>
  <c r="H218" i="32"/>
  <c r="H289" i="32"/>
  <c r="H235" i="32"/>
  <c r="H250" i="32"/>
  <c r="H313" i="32"/>
  <c r="H317" i="32"/>
  <c r="H333" i="32"/>
  <c r="H254" i="32"/>
  <c r="H262" i="32"/>
  <c r="H321" i="32"/>
  <c r="H337" i="32"/>
  <c r="H30" i="32"/>
  <c r="H46" i="32"/>
  <c r="H62" i="32"/>
  <c r="H78" i="32"/>
  <c r="H92" i="32"/>
  <c r="H108" i="32"/>
  <c r="H95" i="32"/>
  <c r="H111" i="32"/>
  <c r="H84" i="32"/>
  <c r="H138" i="32"/>
  <c r="H154" i="32"/>
  <c r="H72" i="32"/>
  <c r="H94" i="32"/>
  <c r="H102" i="32"/>
  <c r="H110" i="32"/>
  <c r="H118" i="32"/>
  <c r="H128" i="32"/>
  <c r="H144" i="32"/>
  <c r="H123" i="32"/>
  <c r="H139" i="32"/>
  <c r="H155" i="32"/>
  <c r="H169" i="32"/>
  <c r="H185" i="32"/>
  <c r="H201" i="32"/>
  <c r="H217" i="32"/>
  <c r="H233" i="32"/>
  <c r="H249" i="32"/>
  <c r="H32" i="32"/>
  <c r="H64" i="32"/>
  <c r="H176" i="32"/>
  <c r="H192" i="32"/>
  <c r="H208" i="32"/>
  <c r="H224" i="32"/>
  <c r="H240" i="32"/>
  <c r="H256" i="32"/>
  <c r="H272" i="32"/>
  <c r="H288" i="32"/>
  <c r="H133" i="32"/>
  <c r="H149" i="32"/>
  <c r="H255" i="32"/>
  <c r="H271" i="32"/>
  <c r="H287" i="32"/>
  <c r="H302" i="32"/>
  <c r="H318" i="32"/>
  <c r="H334" i="32"/>
  <c r="H350" i="32"/>
  <c r="H292" i="32"/>
  <c r="H308" i="32"/>
  <c r="H324" i="32"/>
  <c r="H358" i="32"/>
  <c r="H344" i="32"/>
  <c r="H359" i="32"/>
  <c r="H327" i="32"/>
  <c r="H311" i="32"/>
  <c r="H295" i="32"/>
  <c r="H20" i="32"/>
  <c r="H343" i="32"/>
  <c r="H13" i="32"/>
  <c r="H29" i="32"/>
  <c r="H45" i="32"/>
  <c r="H61" i="32"/>
  <c r="H77" i="32"/>
  <c r="H15" i="32"/>
  <c r="H31" i="32"/>
  <c r="H47" i="32"/>
  <c r="H63" i="32"/>
  <c r="H14" i="32"/>
  <c r="H82" i="32"/>
  <c r="H80" i="32"/>
  <c r="H97" i="32"/>
  <c r="H113" i="32"/>
  <c r="H121" i="32"/>
  <c r="H148" i="32"/>
  <c r="H127" i="32"/>
  <c r="H143" i="32"/>
  <c r="H173" i="32"/>
  <c r="H189" i="32"/>
  <c r="H34" i="32"/>
  <c r="H50" i="32"/>
  <c r="H66" i="32"/>
  <c r="H96" i="32"/>
  <c r="H112" i="32"/>
  <c r="H99" i="32"/>
  <c r="H115" i="32"/>
  <c r="H126" i="32"/>
  <c r="H142" i="32"/>
  <c r="H158" i="32"/>
  <c r="H105" i="32"/>
  <c r="H132" i="32"/>
  <c r="H159" i="32"/>
  <c r="H26" i="32"/>
  <c r="H42" i="32"/>
  <c r="H58" i="32"/>
  <c r="H74" i="32"/>
  <c r="H90" i="32"/>
  <c r="H104" i="32"/>
  <c r="H22" i="32"/>
  <c r="H51" i="32"/>
  <c r="H85" i="32"/>
  <c r="H65" i="32"/>
  <c r="H41" i="32"/>
  <c r="G134" i="32"/>
  <c r="G298" i="32"/>
  <c r="G318" i="32"/>
  <c r="H360" i="32"/>
  <c r="H52" i="32"/>
  <c r="H291" i="32"/>
  <c r="H315" i="32"/>
  <c r="G342" i="32"/>
  <c r="G354" i="32"/>
  <c r="H363" i="32"/>
  <c r="G292" i="32"/>
  <c r="H336" i="32"/>
  <c r="H356" i="32"/>
  <c r="G319" i="32"/>
  <c r="G299" i="32"/>
  <c r="G272" i="32"/>
  <c r="G262" i="32"/>
  <c r="G250" i="32"/>
  <c r="G206" i="32"/>
  <c r="G186" i="32"/>
  <c r="G155" i="32"/>
  <c r="G321" i="32"/>
  <c r="G297" i="32"/>
  <c r="G277" i="32"/>
  <c r="G279" i="32"/>
  <c r="G259" i="32"/>
  <c r="G215" i="32"/>
  <c r="G195" i="32"/>
  <c r="G175" i="32"/>
  <c r="G148" i="32"/>
  <c r="G128" i="32"/>
  <c r="G240" i="32"/>
  <c r="G200" i="32"/>
  <c r="G176" i="32"/>
  <c r="G109" i="32"/>
  <c r="G135" i="32"/>
  <c r="G61" i="32"/>
  <c r="G41" i="32"/>
  <c r="G157" i="32"/>
  <c r="G137" i="32"/>
  <c r="G112" i="32"/>
  <c r="G106" i="32"/>
  <c r="G87" i="32"/>
  <c r="G77" i="32"/>
  <c r="G39" i="32"/>
  <c r="G19" i="32"/>
  <c r="G95" i="32"/>
  <c r="G54" i="32"/>
  <c r="H11" i="32"/>
  <c r="H67" i="32"/>
  <c r="H43" i="32"/>
  <c r="H23" i="32"/>
  <c r="H81" i="32"/>
  <c r="H57" i="32"/>
  <c r="H37" i="32"/>
  <c r="H17" i="32"/>
  <c r="G150" i="32"/>
  <c r="G302" i="32"/>
  <c r="G322" i="32"/>
  <c r="H347" i="32"/>
  <c r="G363" i="32"/>
  <c r="H68" i="32"/>
  <c r="H299" i="32"/>
  <c r="H319" i="32"/>
  <c r="G334" i="32"/>
  <c r="G346" i="32"/>
  <c r="G356" i="32"/>
  <c r="G130" i="32"/>
  <c r="G300" i="32"/>
  <c r="G320" i="32"/>
  <c r="H340" i="32"/>
  <c r="G361" i="32"/>
  <c r="G315" i="32"/>
  <c r="G295" i="32"/>
  <c r="G280" i="32"/>
  <c r="G270" i="32"/>
  <c r="G260" i="32"/>
  <c r="G242" i="32"/>
  <c r="G222" i="32"/>
  <c r="G202" i="32"/>
  <c r="G178" i="32"/>
  <c r="G357" i="32"/>
  <c r="G337" i="32"/>
  <c r="G313" i="32"/>
  <c r="G293" i="32"/>
  <c r="G273" i="32"/>
  <c r="G159" i="32"/>
  <c r="G275" i="32"/>
  <c r="G255" i="32"/>
  <c r="G231" i="32"/>
  <c r="G211" i="32"/>
  <c r="G191" i="32"/>
  <c r="G168" i="32"/>
  <c r="G158" i="32"/>
  <c r="G144" i="32"/>
  <c r="G86" i="32"/>
  <c r="G236" i="32"/>
  <c r="G216" i="32"/>
  <c r="G192" i="32"/>
  <c r="G172" i="32"/>
  <c r="G105" i="32"/>
  <c r="G151" i="32"/>
  <c r="G131" i="32"/>
  <c r="G57" i="32"/>
  <c r="G33" i="32"/>
  <c r="G153" i="32"/>
  <c r="G129" i="32"/>
  <c r="G108" i="32"/>
  <c r="G122" i="32"/>
  <c r="G98" i="32"/>
  <c r="G85" i="32"/>
  <c r="G75" i="32"/>
  <c r="G55" i="32"/>
  <c r="G35" i="32"/>
  <c r="G111" i="32"/>
  <c r="G70" i="32"/>
  <c r="G50" i="32"/>
  <c r="G26" i="32"/>
  <c r="G88" i="32"/>
  <c r="G68" i="32"/>
  <c r="G44" i="32"/>
  <c r="G24" i="32"/>
  <c r="H328" i="32"/>
  <c r="H304" i="32"/>
  <c r="H156" i="32"/>
  <c r="H338" i="32"/>
  <c r="H314" i="32"/>
  <c r="H294" i="32"/>
  <c r="H275" i="32"/>
  <c r="H168" i="32"/>
  <c r="H141" i="32"/>
  <c r="H83" i="32"/>
  <c r="H268" i="32"/>
  <c r="H248" i="32"/>
  <c r="H228" i="32"/>
  <c r="H204" i="32"/>
  <c r="H184" i="32"/>
  <c r="H71" i="32"/>
  <c r="H24" i="32"/>
  <c r="H241" i="32"/>
  <c r="H221" i="32"/>
  <c r="H197" i="32"/>
  <c r="H167" i="32"/>
  <c r="H135" i="32"/>
  <c r="H140" i="32"/>
  <c r="H117" i="32"/>
  <c r="H101" i="32"/>
  <c r="H166" i="32"/>
  <c r="H134" i="32"/>
  <c r="H107" i="32"/>
  <c r="H100" i="32"/>
  <c r="H38" i="32"/>
  <c r="G225" i="32"/>
  <c r="C6" i="32"/>
  <c r="C7" i="32" s="1"/>
  <c r="C8" i="32" s="1"/>
  <c r="C9" i="32" s="1"/>
  <c r="C10" i="32" s="1"/>
  <c r="C11" i="32" s="1"/>
  <c r="C12" i="32" s="1"/>
  <c r="C13" i="32" s="1"/>
  <c r="C14" i="32" s="1"/>
  <c r="C15" i="32" s="1"/>
  <c r="C16" i="32" s="1"/>
  <c r="C17" i="32" s="1"/>
  <c r="C18" i="32" s="1"/>
  <c r="C19" i="32" s="1"/>
  <c r="C20" i="32" s="1"/>
  <c r="C21" i="32" s="1"/>
  <c r="C22" i="32" s="1"/>
  <c r="C23" i="32" s="1"/>
  <c r="C24" i="32" s="1"/>
  <c r="C25" i="32" s="1"/>
  <c r="C26" i="32" s="1"/>
  <c r="C27" i="32" s="1"/>
  <c r="C28" i="32" s="1"/>
  <c r="C29" i="32" s="1"/>
  <c r="C30" i="32" s="1"/>
  <c r="C31" i="32" s="1"/>
  <c r="C32" i="32" s="1"/>
  <c r="C33" i="32" s="1"/>
  <c r="C34" i="32" s="1"/>
  <c r="C35" i="32" s="1"/>
  <c r="C36" i="32" s="1"/>
  <c r="C37" i="32" s="1"/>
  <c r="C38" i="32" s="1"/>
  <c r="C39" i="32" s="1"/>
  <c r="C40" i="32" s="1"/>
  <c r="C41" i="32" s="1"/>
  <c r="C42" i="32" s="1"/>
  <c r="C43" i="32" s="1"/>
  <c r="C44" i="32" s="1"/>
  <c r="C45" i="32" s="1"/>
  <c r="C46" i="32" s="1"/>
  <c r="C47" i="32" s="1"/>
  <c r="C48" i="32" s="1"/>
  <c r="C49" i="32" s="1"/>
  <c r="C50" i="32" s="1"/>
  <c r="C51" i="32" s="1"/>
  <c r="C52" i="32" s="1"/>
  <c r="C53" i="32" s="1"/>
  <c r="C54" i="32" s="1"/>
  <c r="C55" i="32" s="1"/>
  <c r="C56" i="32" s="1"/>
  <c r="C57" i="32" s="1"/>
  <c r="C58" i="32" s="1"/>
  <c r="C59" i="32" s="1"/>
  <c r="C60" i="32" s="1"/>
  <c r="C61" i="32" s="1"/>
  <c r="C62" i="32" s="1"/>
  <c r="C63" i="32" s="1"/>
  <c r="C64" i="32" s="1"/>
  <c r="C65" i="32" s="1"/>
  <c r="C66" i="32" s="1"/>
  <c r="C67" i="32" s="1"/>
  <c r="C68" i="32" s="1"/>
  <c r="C69" i="32" s="1"/>
  <c r="C70" i="32" s="1"/>
  <c r="C71" i="32" s="1"/>
  <c r="C72" i="32" s="1"/>
  <c r="C73" i="32" s="1"/>
  <c r="C74" i="32" s="1"/>
  <c r="C75" i="32" s="1"/>
  <c r="C76" i="32" s="1"/>
  <c r="C77" i="32" s="1"/>
  <c r="C78" i="32" s="1"/>
  <c r="C79" i="32" s="1"/>
  <c r="C80" i="32" s="1"/>
  <c r="C81" i="32" s="1"/>
  <c r="C82" i="32" s="1"/>
  <c r="C83" i="32" s="1"/>
  <c r="C84" i="32" s="1"/>
  <c r="C85" i="32" s="1"/>
  <c r="C86" i="32" s="1"/>
  <c r="C87" i="32" s="1"/>
  <c r="C88" i="32" s="1"/>
  <c r="C89" i="32" s="1"/>
  <c r="C90" i="32" s="1"/>
  <c r="C91" i="32" s="1"/>
  <c r="C92" i="32" s="1"/>
  <c r="C93" i="32" s="1"/>
  <c r="C94" i="32" s="1"/>
  <c r="C95" i="32" s="1"/>
  <c r="C96" i="32" s="1"/>
  <c r="C97" i="32" s="1"/>
  <c r="C98" i="32" s="1"/>
  <c r="C99" i="32" s="1"/>
  <c r="C100" i="32" s="1"/>
  <c r="C101" i="32" s="1"/>
  <c r="C102" i="32" s="1"/>
  <c r="C103" i="32" s="1"/>
  <c r="C104" i="32" s="1"/>
  <c r="C105" i="32" s="1"/>
  <c r="C106" i="32" s="1"/>
  <c r="C107" i="32" s="1"/>
  <c r="C108" i="32" s="1"/>
  <c r="C109" i="32" s="1"/>
  <c r="C110" i="32" s="1"/>
  <c r="C111" i="32" s="1"/>
  <c r="C112" i="32" s="1"/>
  <c r="C113" i="32" s="1"/>
  <c r="C114" i="32" s="1"/>
  <c r="C115" i="32" s="1"/>
  <c r="C116" i="32" s="1"/>
  <c r="C117" i="32" s="1"/>
  <c r="C118" i="32" s="1"/>
  <c r="C119" i="32" s="1"/>
  <c r="C120" i="32" s="1"/>
  <c r="C121" i="32" s="1"/>
  <c r="C122" i="32" s="1"/>
  <c r="C123" i="32" s="1"/>
  <c r="C124" i="32" s="1"/>
  <c r="C125" i="32" s="1"/>
  <c r="C126" i="32" s="1"/>
  <c r="C127" i="32" s="1"/>
  <c r="C128" i="32" s="1"/>
  <c r="C129" i="32" s="1"/>
  <c r="C130" i="32" s="1"/>
  <c r="C131" i="32" s="1"/>
  <c r="C132" i="32" s="1"/>
  <c r="C133" i="32" s="1"/>
  <c r="C134" i="32" s="1"/>
  <c r="C135" i="32" s="1"/>
  <c r="C136" i="32" s="1"/>
  <c r="C137" i="32" s="1"/>
  <c r="C138" i="32" s="1"/>
  <c r="C139" i="32" s="1"/>
  <c r="C140" i="32" s="1"/>
  <c r="C141" i="32" s="1"/>
  <c r="C142" i="32" s="1"/>
  <c r="C143" i="32" s="1"/>
  <c r="C144" i="32" s="1"/>
  <c r="C145" i="32" s="1"/>
  <c r="C146" i="32" s="1"/>
  <c r="C147" i="32" s="1"/>
  <c r="C148" i="32" s="1"/>
  <c r="C149" i="32" s="1"/>
  <c r="C150" i="32" s="1"/>
  <c r="C151" i="32" s="1"/>
  <c r="C152" i="32" s="1"/>
  <c r="C153" i="32" s="1"/>
  <c r="C154" i="32" s="1"/>
  <c r="C155" i="32" s="1"/>
  <c r="C156" i="32" s="1"/>
  <c r="C157" i="32" s="1"/>
  <c r="C158" i="32" s="1"/>
  <c r="C159" i="32" s="1"/>
  <c r="C160" i="32" s="1"/>
  <c r="C161" i="32" s="1"/>
  <c r="C162" i="32" s="1"/>
  <c r="C163" i="32" s="1"/>
  <c r="C164" i="32" s="1"/>
  <c r="C165" i="32" s="1"/>
  <c r="C166" i="32" s="1"/>
  <c r="C167" i="32" s="1"/>
  <c r="C168" i="32" s="1"/>
  <c r="C169" i="32" s="1"/>
  <c r="C170" i="32" s="1"/>
  <c r="C171" i="32" s="1"/>
  <c r="C172" i="32" s="1"/>
  <c r="C173" i="32" s="1"/>
  <c r="C174" i="32" s="1"/>
  <c r="C175" i="32" s="1"/>
  <c r="C176" i="32" s="1"/>
  <c r="C177" i="32" s="1"/>
  <c r="C178" i="32" s="1"/>
  <c r="C179" i="32" s="1"/>
  <c r="C180" i="32" s="1"/>
  <c r="C181" i="32" s="1"/>
  <c r="C182" i="32" s="1"/>
  <c r="C183" i="32" s="1"/>
  <c r="C184" i="32" s="1"/>
  <c r="C185" i="32" s="1"/>
  <c r="C186" i="32" s="1"/>
  <c r="C187" i="32" s="1"/>
  <c r="C188" i="32" s="1"/>
  <c r="C189" i="32" s="1"/>
  <c r="C190" i="32" s="1"/>
  <c r="C191" i="32" s="1"/>
  <c r="C192" i="32" s="1"/>
  <c r="C193" i="32" s="1"/>
  <c r="C194" i="32" s="1"/>
  <c r="C195" i="32" s="1"/>
  <c r="C196" i="32" s="1"/>
  <c r="C197" i="32" s="1"/>
  <c r="C198" i="32" s="1"/>
  <c r="C199" i="32" s="1"/>
  <c r="C200" i="32" s="1"/>
  <c r="C201" i="32" s="1"/>
  <c r="C202" i="32" s="1"/>
  <c r="C203" i="32" s="1"/>
  <c r="C204" i="32" s="1"/>
  <c r="C205" i="32" s="1"/>
  <c r="C206" i="32" s="1"/>
  <c r="C207" i="32" s="1"/>
  <c r="C208" i="32" s="1"/>
  <c r="C209" i="32" s="1"/>
  <c r="C210" i="32" s="1"/>
  <c r="C211" i="32" s="1"/>
  <c r="C212" i="32" s="1"/>
  <c r="C213" i="32" s="1"/>
  <c r="C214" i="32" s="1"/>
  <c r="C215" i="32" s="1"/>
  <c r="C216" i="32" s="1"/>
  <c r="C217" i="32" s="1"/>
  <c r="C218" i="32" s="1"/>
  <c r="C219" i="32" s="1"/>
  <c r="C220" i="32" s="1"/>
  <c r="C221" i="32" s="1"/>
  <c r="C222" i="32" s="1"/>
  <c r="C223" i="32" s="1"/>
  <c r="C224" i="32" s="1"/>
  <c r="C225" i="32" s="1"/>
  <c r="C226" i="32" s="1"/>
  <c r="C227" i="32" s="1"/>
  <c r="C228" i="32" s="1"/>
  <c r="C229" i="32" s="1"/>
  <c r="C230" i="32" s="1"/>
  <c r="C231" i="32" s="1"/>
  <c r="C232" i="32" s="1"/>
  <c r="C233" i="32" s="1"/>
  <c r="C234" i="32" s="1"/>
  <c r="C235" i="32" s="1"/>
  <c r="C236" i="32" s="1"/>
  <c r="C237" i="32" s="1"/>
  <c r="C238" i="32" s="1"/>
  <c r="C239" i="32" s="1"/>
  <c r="C240" i="32" s="1"/>
  <c r="C241" i="32" s="1"/>
  <c r="C242" i="32" s="1"/>
  <c r="C243" i="32" s="1"/>
  <c r="C244" i="32" s="1"/>
  <c r="C245" i="32" s="1"/>
  <c r="C246" i="32" s="1"/>
  <c r="C247" i="32" s="1"/>
  <c r="C248" i="32" s="1"/>
  <c r="C249" i="32" s="1"/>
  <c r="C250" i="32" s="1"/>
  <c r="C251" i="32" s="1"/>
  <c r="C252" i="32" s="1"/>
  <c r="C253" i="32" s="1"/>
  <c r="C254" i="32" s="1"/>
  <c r="C255" i="32" s="1"/>
  <c r="C256" i="32" s="1"/>
  <c r="C257" i="32" s="1"/>
  <c r="C258" i="32" s="1"/>
  <c r="C259" i="32" s="1"/>
  <c r="C260" i="32" s="1"/>
  <c r="C261" i="32" s="1"/>
  <c r="C262" i="32" s="1"/>
  <c r="C263" i="32" s="1"/>
  <c r="C264" i="32" s="1"/>
  <c r="C265" i="32" s="1"/>
  <c r="C266" i="32" s="1"/>
  <c r="C267" i="32" s="1"/>
  <c r="C268" i="32" s="1"/>
  <c r="C269" i="32" s="1"/>
  <c r="C270" i="32" s="1"/>
  <c r="C271" i="32" s="1"/>
  <c r="C272" i="32" s="1"/>
  <c r="C273" i="32" s="1"/>
  <c r="C274" i="32" s="1"/>
  <c r="C275" i="32" s="1"/>
  <c r="C276" i="32" s="1"/>
  <c r="C277" i="32" s="1"/>
  <c r="C278" i="32" s="1"/>
  <c r="C279" i="32" s="1"/>
  <c r="C280" i="32" s="1"/>
  <c r="C281" i="32" s="1"/>
  <c r="C282" i="32" s="1"/>
  <c r="C283" i="32" s="1"/>
  <c r="C284" i="32" s="1"/>
  <c r="C285" i="32" s="1"/>
  <c r="C286" i="32" s="1"/>
  <c r="C287" i="32" s="1"/>
  <c r="C288" i="32" s="1"/>
  <c r="C289" i="32" s="1"/>
  <c r="C290" i="32" s="1"/>
  <c r="C291" i="32" s="1"/>
  <c r="C292" i="32" s="1"/>
  <c r="C293" i="32" s="1"/>
  <c r="C294" i="32" s="1"/>
  <c r="C295" i="32" s="1"/>
  <c r="C296" i="32" s="1"/>
  <c r="C297" i="32" s="1"/>
  <c r="C298" i="32" s="1"/>
  <c r="C299" i="32" s="1"/>
  <c r="C300" i="32" s="1"/>
  <c r="C301" i="32" s="1"/>
  <c r="C302" i="32" s="1"/>
  <c r="C303" i="32" s="1"/>
  <c r="C304" i="32" s="1"/>
  <c r="C305" i="32" s="1"/>
  <c r="C306" i="32" s="1"/>
  <c r="C307" i="32" s="1"/>
  <c r="C308" i="32" s="1"/>
  <c r="C309" i="32" s="1"/>
  <c r="C310" i="32" s="1"/>
  <c r="C311" i="32" s="1"/>
  <c r="C312" i="32" s="1"/>
  <c r="C313" i="32" s="1"/>
  <c r="C314" i="32" s="1"/>
  <c r="C315" i="32" s="1"/>
  <c r="C316" i="32" s="1"/>
  <c r="C317" i="32" s="1"/>
  <c r="C318" i="32" s="1"/>
  <c r="C319" i="32" s="1"/>
  <c r="C320" i="32" s="1"/>
  <c r="C321" i="32" s="1"/>
  <c r="C322" i="32" s="1"/>
  <c r="C323" i="32" s="1"/>
  <c r="C324" i="32" s="1"/>
  <c r="C325" i="32" s="1"/>
  <c r="C326" i="32" s="1"/>
  <c r="C327" i="32" s="1"/>
  <c r="C328" i="32" s="1"/>
  <c r="C329" i="32" s="1"/>
  <c r="C330" i="32" s="1"/>
  <c r="C331" i="32" s="1"/>
  <c r="C332" i="32" s="1"/>
  <c r="C333" i="32" s="1"/>
  <c r="C334" i="32" s="1"/>
  <c r="C335" i="32" s="1"/>
  <c r="C336" i="32" s="1"/>
  <c r="C337" i="32" s="1"/>
  <c r="C338" i="32" s="1"/>
  <c r="C339" i="32" s="1"/>
  <c r="C340" i="32" s="1"/>
  <c r="C341" i="32" s="1"/>
  <c r="C342" i="32" s="1"/>
  <c r="C343" i="32" s="1"/>
  <c r="C344" i="32" s="1"/>
  <c r="C345" i="32" s="1"/>
  <c r="C346" i="32" s="1"/>
  <c r="C347" i="32" s="1"/>
  <c r="C348" i="32" s="1"/>
  <c r="C349" i="32" s="1"/>
  <c r="C350" i="32" s="1"/>
  <c r="C351" i="32" s="1"/>
  <c r="C352" i="32" s="1"/>
  <c r="C353" i="32" s="1"/>
  <c r="C354" i="32" s="1"/>
  <c r="C355" i="32" s="1"/>
  <c r="C356" i="32" s="1"/>
  <c r="C357" i="32" s="1"/>
  <c r="C358" i="32" s="1"/>
  <c r="C359" i="32" s="1"/>
  <c r="C360" i="32" s="1"/>
  <c r="C361" i="32" s="1"/>
  <c r="C362" i="32" s="1"/>
  <c r="C363" i="32" s="1"/>
  <c r="C364" i="32" s="1"/>
  <c r="H27" i="32"/>
  <c r="H21" i="32"/>
  <c r="H339" i="32"/>
  <c r="G332" i="32"/>
  <c r="G316" i="32"/>
  <c r="G284" i="32"/>
  <c r="G226" i="32"/>
  <c r="G341" i="32"/>
  <c r="G257" i="32"/>
  <c r="G239" i="32"/>
  <c r="G160" i="32"/>
  <c r="G220" i="32"/>
  <c r="G90" i="32"/>
  <c r="G17" i="32"/>
  <c r="G92" i="32"/>
  <c r="G63" i="32"/>
  <c r="G119" i="32"/>
  <c r="G34" i="32"/>
  <c r="G72" i="32"/>
  <c r="G52" i="32"/>
  <c r="G28" i="32"/>
  <c r="H312" i="32"/>
  <c r="H164" i="32"/>
  <c r="H342" i="32"/>
  <c r="H322" i="32"/>
  <c r="H298" i="32"/>
  <c r="H279" i="32"/>
  <c r="H259" i="32"/>
  <c r="H145" i="32"/>
  <c r="H125" i="32"/>
  <c r="H276" i="32"/>
  <c r="H252" i="32"/>
  <c r="H232" i="32"/>
  <c r="H212" i="32"/>
  <c r="H188" i="32"/>
  <c r="H87" i="32"/>
  <c r="H40" i="32"/>
  <c r="H245" i="32"/>
  <c r="H225" i="32"/>
  <c r="H205" i="32"/>
  <c r="H177" i="32"/>
  <c r="H147" i="32"/>
  <c r="H75" i="32"/>
  <c r="H122" i="32"/>
  <c r="H106" i="32"/>
  <c r="H88" i="32"/>
  <c r="H146" i="32"/>
  <c r="H119" i="32"/>
  <c r="H116" i="32"/>
  <c r="H54" i="32"/>
  <c r="G343" i="32"/>
  <c r="G253" i="32"/>
  <c r="G209" i="32"/>
  <c r="G335" i="32"/>
  <c r="G249" i="32"/>
  <c r="G169" i="32"/>
  <c r="G197" i="32"/>
  <c r="G355" i="32"/>
  <c r="G201" i="32"/>
  <c r="G233" i="32"/>
  <c r="G347" i="32"/>
  <c r="G217" i="32"/>
  <c r="G173" i="32"/>
  <c r="G189" i="32"/>
  <c r="G205" i="32"/>
  <c r="G229" i="32"/>
  <c r="G237" i="32"/>
  <c r="G142" i="32"/>
  <c r="G294" i="32"/>
  <c r="G310" i="32"/>
  <c r="G326" i="32"/>
  <c r="G359" i="32"/>
  <c r="G78" i="32"/>
  <c r="G336" i="32"/>
  <c r="G344" i="32"/>
  <c r="G352" i="32"/>
  <c r="G138" i="32"/>
  <c r="G296" i="32"/>
  <c r="G312" i="32"/>
  <c r="G323" i="32"/>
  <c r="G307" i="32"/>
  <c r="G291" i="32"/>
  <c r="G282" i="32"/>
  <c r="G274" i="32"/>
  <c r="G266" i="32"/>
  <c r="G258" i="32"/>
  <c r="G246" i="32"/>
  <c r="G230" i="32"/>
  <c r="G214" i="32"/>
  <c r="G198" i="32"/>
  <c r="G182" i="32"/>
  <c r="G163" i="32"/>
  <c r="G349" i="32"/>
  <c r="G333" i="32"/>
  <c r="G317" i="32"/>
  <c r="G301" i="32"/>
  <c r="G285" i="32"/>
  <c r="G269" i="32"/>
  <c r="G167" i="32"/>
  <c r="G283" i="32"/>
  <c r="G267" i="32"/>
  <c r="G251" i="32"/>
  <c r="G235" i="32"/>
  <c r="G219" i="32"/>
  <c r="G203" i="32"/>
  <c r="G187" i="32"/>
  <c r="G171" i="32"/>
  <c r="G162" i="32"/>
  <c r="G154" i="32"/>
  <c r="G140" i="32"/>
  <c r="G124" i="32"/>
  <c r="G244" i="32"/>
  <c r="G228" i="32"/>
  <c r="G212" i="32"/>
  <c r="G196" i="32"/>
  <c r="G180" i="32"/>
  <c r="G117" i="32"/>
  <c r="G101" i="32"/>
  <c r="G74" i="32"/>
  <c r="G139" i="32"/>
  <c r="G69" i="32"/>
  <c r="G53" i="32"/>
  <c r="G37" i="32"/>
  <c r="G21" i="32"/>
  <c r="G165" i="32"/>
  <c r="G149" i="32"/>
  <c r="G133" i="32"/>
  <c r="G116" i="32"/>
  <c r="G100" i="32"/>
  <c r="G118" i="32"/>
  <c r="G102" i="32"/>
  <c r="G89" i="32"/>
  <c r="G81" i="32"/>
  <c r="G73" i="32"/>
  <c r="G59" i="32"/>
  <c r="G43" i="32"/>
  <c r="G27" i="32"/>
  <c r="G11" i="32"/>
  <c r="G115" i="32"/>
  <c r="G99" i="32"/>
  <c r="G62" i="32"/>
  <c r="G46" i="32"/>
  <c r="G30" i="32"/>
  <c r="G14" i="32"/>
  <c r="G80" i="32"/>
  <c r="G64" i="32"/>
  <c r="G48" i="32"/>
  <c r="G32" i="32"/>
  <c r="G16" i="32"/>
  <c r="G241" i="32"/>
  <c r="H7" i="32"/>
  <c r="G364" i="32"/>
  <c r="G360" i="32"/>
  <c r="G331" i="32"/>
  <c r="G185" i="32"/>
  <c r="G213" i="32"/>
  <c r="G351" i="32"/>
  <c r="H60" i="32"/>
  <c r="H6" i="32"/>
</calcChain>
</file>

<file path=xl/comments1.xml><?xml version="1.0" encoding="utf-8"?>
<comments xmlns="http://schemas.openxmlformats.org/spreadsheetml/2006/main">
  <authors>
    <author>Gerard Verschuuren</author>
  </authors>
  <commentList>
    <comment ref="E5" authorId="0" shapeId="0">
      <text>
        <r>
          <rPr>
            <b/>
            <sz val="10"/>
            <color indexed="81"/>
            <rFont val="Tahoma"/>
            <family val="2"/>
          </rPr>
          <t>Use IPMT() based on PV in $C$2</t>
        </r>
      </text>
    </comment>
    <comment ref="F5" authorId="0" shapeId="0">
      <text>
        <r>
          <rPr>
            <b/>
            <sz val="10"/>
            <color indexed="81"/>
            <rFont val="Tahoma"/>
            <family val="2"/>
          </rPr>
          <t>Use PPMT() based on $C$2</t>
        </r>
      </text>
    </comment>
    <comment ref="A6" authorId="0" shapeId="0">
      <text>
        <r>
          <rPr>
            <b/>
            <sz val="10"/>
            <color indexed="81"/>
            <rFont val="Tahoma"/>
            <family val="2"/>
          </rPr>
          <t>Use Formula:
previous cell + 1</t>
        </r>
      </text>
    </comment>
    <comment ref="B6" authorId="0" shapeId="0">
      <text>
        <r>
          <rPr>
            <b/>
            <sz val="10"/>
            <color indexed="81"/>
            <rFont val="Tahoma"/>
            <family val="2"/>
          </rPr>
          <t>Use DATE() function</t>
        </r>
      </text>
    </comment>
    <comment ref="C6" authorId="0" shapeId="0">
      <text>
        <r>
          <rPr>
            <b/>
            <sz val="10"/>
            <color indexed="81"/>
            <rFont val="Tahoma"/>
            <family val="2"/>
          </rPr>
          <t>Previous Balance minus Principal</t>
        </r>
      </text>
    </comment>
  </commentList>
</comments>
</file>

<file path=xl/sharedStrings.xml><?xml version="1.0" encoding="utf-8"?>
<sst xmlns="http://schemas.openxmlformats.org/spreadsheetml/2006/main" count="12" uniqueCount="12">
  <si>
    <t>Loan</t>
  </si>
  <si>
    <t>Period</t>
  </si>
  <si>
    <t>Monthly</t>
  </si>
  <si>
    <t>Years</t>
  </si>
  <si>
    <t>APR fixed</t>
  </si>
  <si>
    <t>Date</t>
  </si>
  <si>
    <t>Balance</t>
  </si>
  <si>
    <t>Payment</t>
  </si>
  <si>
    <t>Interest</t>
  </si>
  <si>
    <t>Principal</t>
  </si>
  <si>
    <t>Cum.Interest</t>
  </si>
  <si>
    <t>Cum.Principal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</si>
</sst>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[$-409]mmm\-yy;@"/>
    <numFmt numFmtId="166" formatCode="#,##0.00;[Red]#,##0.00"/>
  </numFmts>
  <fonts count="20" x14ac:knownFonts="1">
    <font>
      <sz val="10"/>
      <name val="Arial"/>
    </font>
    <font>
      <sz val="10"/>
      <name val="Arial"/>
      <family val="2"/>
    </font>
    <font>
      <b/>
      <sz val="11"/>
      <name val="Arial"/>
      <family val="2"/>
    </font>
    <font>
      <b/>
      <sz val="10"/>
      <color indexed="81"/>
      <name val="Tahoma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1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">
    <xf numFmtId="0" fontId="0" fillId="0" borderId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8" borderId="0" applyNumberFormat="0" applyBorder="0" applyAlignment="0" applyProtection="0"/>
    <xf numFmtId="0" fontId="5" fillId="6" borderId="0" applyNumberFormat="0" applyBorder="0" applyAlignment="0" applyProtection="0"/>
    <xf numFmtId="0" fontId="5" fillId="9" borderId="0" applyNumberFormat="0" applyBorder="0" applyAlignment="0" applyProtection="0"/>
    <xf numFmtId="0" fontId="4" fillId="7" borderId="0" applyNumberFormat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12" borderId="0" applyNumberFormat="0" applyBorder="0" applyAlignment="0" applyProtection="0"/>
    <xf numFmtId="0" fontId="5" fillId="6" borderId="0" applyNumberFormat="0" applyBorder="0" applyAlignment="0" applyProtection="0"/>
    <xf numFmtId="0" fontId="5" fillId="13" borderId="0" applyNumberFormat="0" applyBorder="0" applyAlignment="0" applyProtection="0"/>
    <xf numFmtId="0" fontId="4" fillId="13" borderId="0" applyNumberFormat="0" applyBorder="0" applyAlignment="0" applyProtection="0"/>
    <xf numFmtId="0" fontId="6" fillId="14" borderId="0" applyNumberFormat="0" applyBorder="0" applyAlignment="0" applyProtection="0"/>
    <xf numFmtId="0" fontId="7" fillId="15" borderId="1" applyNumberFormat="0" applyAlignment="0" applyProtection="0"/>
    <xf numFmtId="0" fontId="8" fillId="8" borderId="2" applyNumberFormat="0" applyAlignment="0" applyProtection="0"/>
    <xf numFmtId="44" fontId="1" fillId="0" borderId="0" applyFont="0" applyFill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10" fillId="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13" borderId="1" applyNumberFormat="0" applyAlignment="0" applyProtection="0"/>
    <xf numFmtId="0" fontId="15" fillId="0" borderId="6" applyNumberFormat="0" applyFill="0" applyAlignment="0" applyProtection="0"/>
    <xf numFmtId="0" fontId="16" fillId="19" borderId="0" applyNumberFormat="0" applyBorder="0" applyAlignment="0" applyProtection="0"/>
    <xf numFmtId="0" fontId="1" fillId="6" borderId="7" applyNumberFormat="0" applyFont="0" applyAlignment="0" applyProtection="0"/>
    <xf numFmtId="0" fontId="17" fillId="15" borderId="8" applyNumberFormat="0" applyAlignment="0" applyProtection="0"/>
    <xf numFmtId="0" fontId="18" fillId="0" borderId="0" applyNumberFormat="0" applyFill="0" applyBorder="0" applyAlignment="0" applyProtection="0"/>
    <xf numFmtId="0" fontId="9" fillId="0" borderId="9" applyNumberFormat="0" applyFill="0" applyAlignment="0" applyProtection="0"/>
    <xf numFmtId="0" fontId="19" fillId="0" borderId="0" applyNumberForma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0" fontId="2" fillId="0" borderId="10" xfId="0" applyFont="1" applyBorder="1"/>
    <xf numFmtId="0" fontId="2" fillId="0" borderId="11" xfId="0" applyFont="1" applyBorder="1"/>
    <xf numFmtId="0" fontId="2" fillId="0" borderId="12" xfId="0" applyFont="1" applyBorder="1"/>
    <xf numFmtId="10" fontId="2" fillId="0" borderId="13" xfId="0" applyNumberFormat="1" applyFont="1" applyBorder="1"/>
    <xf numFmtId="0" fontId="2" fillId="0" borderId="13" xfId="0" applyFont="1" applyBorder="1"/>
    <xf numFmtId="8" fontId="2" fillId="0" borderId="14" xfId="0" applyNumberFormat="1" applyFont="1" applyBorder="1"/>
    <xf numFmtId="0" fontId="2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165" fontId="2" fillId="0" borderId="0" xfId="0" applyNumberFormat="1" applyFont="1"/>
    <xf numFmtId="166" fontId="2" fillId="0" borderId="0" xfId="28" applyNumberFormat="1" applyFont="1" applyBorder="1"/>
    <xf numFmtId="166" fontId="2" fillId="21" borderId="15" xfId="28" applyNumberFormat="1" applyFont="1" applyFill="1" applyBorder="1"/>
    <xf numFmtId="8" fontId="2" fillId="20" borderId="16" xfId="0" applyNumberFormat="1" applyFont="1" applyFill="1" applyBorder="1"/>
    <xf numFmtId="165" fontId="2" fillId="20" borderId="16" xfId="0" applyNumberFormat="1" applyFont="1" applyFill="1" applyBorder="1"/>
    <xf numFmtId="166" fontId="2" fillId="20" borderId="16" xfId="28" applyNumberFormat="1" applyFont="1" applyFill="1" applyBorder="1"/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Currency" xfId="28" builtinId="4"/>
    <cellStyle name="Emphasis 1" xfId="29"/>
    <cellStyle name="Emphasis 2" xfId="30"/>
    <cellStyle name="Emphasis 3" xfId="31"/>
    <cellStyle name="Good" xfId="32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47626</xdr:colOff>
      <xdr:row>2</xdr:row>
      <xdr:rowOff>15875</xdr:rowOff>
    </xdr:from>
    <xdr:to>
      <xdr:col>12</xdr:col>
      <xdr:colOff>222250</xdr:colOff>
      <xdr:row>5</xdr:row>
      <xdr:rowOff>95250</xdr:rowOff>
    </xdr:to>
    <xdr:sp macro="" textlink="">
      <xdr:nvSpPr>
        <xdr:cNvPr id="2" name="Rounded Rectangle 1"/>
        <xdr:cNvSpPr/>
      </xdr:nvSpPr>
      <xdr:spPr>
        <a:xfrm>
          <a:off x="7651751" y="404813"/>
          <a:ext cx="2008187" cy="6508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/>
            <a:t>Ctrl + Shift + L</a:t>
          </a:r>
          <a:endParaRPr lang="en-US" sz="2000" b="1" i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364"/>
  <sheetViews>
    <sheetView tabSelected="1" zoomScale="120" zoomScaleNormal="120" workbookViewId="0">
      <selection activeCell="C2" sqref="C2"/>
    </sheetView>
  </sheetViews>
  <sheetFormatPr defaultRowHeight="15" x14ac:dyDescent="0.25"/>
  <cols>
    <col min="1" max="1" width="11.7109375" style="1" bestFit="1" customWidth="1"/>
    <col min="2" max="2" width="12.7109375" style="1" bestFit="1" customWidth="1"/>
    <col min="3" max="3" width="13.5703125" style="1" bestFit="1" customWidth="1"/>
    <col min="4" max="4" width="11.7109375" style="1" customWidth="1"/>
    <col min="5" max="5" width="10.85546875" style="1" customWidth="1"/>
    <col min="6" max="6" width="14.140625" style="1" bestFit="1" customWidth="1"/>
    <col min="7" max="8" width="15.140625" style="1" bestFit="1" customWidth="1"/>
    <col min="9" max="16384" width="9.140625" style="1"/>
  </cols>
  <sheetData>
    <row r="1" spans="1:9" x14ac:dyDescent="0.25">
      <c r="C1" s="2" t="s">
        <v>0</v>
      </c>
      <c r="D1" s="3" t="s">
        <v>4</v>
      </c>
      <c r="E1" s="3" t="s">
        <v>3</v>
      </c>
      <c r="F1" s="4" t="s">
        <v>2</v>
      </c>
    </row>
    <row r="2" spans="1:9" ht="15.75" thickBot="1" x14ac:dyDescent="0.3">
      <c r="B2" s="10"/>
      <c r="C2" s="12">
        <v>65000</v>
      </c>
      <c r="D2" s="5">
        <v>5.6000000000000001E-2</v>
      </c>
      <c r="E2" s="6">
        <v>30</v>
      </c>
      <c r="F2" s="7">
        <f>PMT(D2/12,E2*12,C2)</f>
        <v>-373.15133741689175</v>
      </c>
    </row>
    <row r="4" spans="1:9" s="8" customFormat="1" x14ac:dyDescent="0.25">
      <c r="A4" s="8" t="s">
        <v>1</v>
      </c>
      <c r="B4" s="8" t="s">
        <v>5</v>
      </c>
      <c r="C4" s="8" t="s">
        <v>6</v>
      </c>
      <c r="D4" s="9" t="s">
        <v>7</v>
      </c>
      <c r="E4" s="9" t="s">
        <v>8</v>
      </c>
      <c r="F4" s="9" t="s">
        <v>9</v>
      </c>
      <c r="G4" s="9" t="s">
        <v>10</v>
      </c>
      <c r="H4" s="9" t="s">
        <v>11</v>
      </c>
      <c r="I4" s="9"/>
    </row>
    <row r="5" spans="1:9" x14ac:dyDescent="0.25">
      <c r="A5" s="1">
        <f t="shared" ref="A5:A68" si="0">ROW(A1)</f>
        <v>1</v>
      </c>
      <c r="B5" s="14">
        <f ca="1">DATE(YEAR(NOW()),MONTH(NOW())+A5,1)</f>
        <v>42705</v>
      </c>
      <c r="C5" s="11">
        <f>C2</f>
        <v>65000</v>
      </c>
      <c r="D5" s="13">
        <f>$F$2</f>
        <v>-373.15133741689175</v>
      </c>
      <c r="E5" s="13">
        <f>IPMT($D$2/12,A5,$E$2*12,$C$2)</f>
        <v>-303.33333333333337</v>
      </c>
      <c r="F5" s="13">
        <f>PPMT($D$2/12,A5,$E$2*12,$C$2)</f>
        <v>-69.81800408355835</v>
      </c>
      <c r="G5" s="13">
        <f>SUM($E$5:E5)</f>
        <v>-303.33333333333337</v>
      </c>
      <c r="H5" s="13">
        <f>SUM($F$5:F5)</f>
        <v>-69.81800408355835</v>
      </c>
    </row>
    <row r="6" spans="1:9" x14ac:dyDescent="0.25">
      <c r="A6" s="1">
        <f t="shared" si="0"/>
        <v>2</v>
      </c>
      <c r="B6" s="14">
        <f t="shared" ref="B6:B69" ca="1" si="1">DATE(YEAR(NOW()),MONTH(NOW())+A6,1)</f>
        <v>42736</v>
      </c>
      <c r="C6" s="15">
        <f>C5+F5</f>
        <v>64930.181995916442</v>
      </c>
      <c r="D6" s="13">
        <f>$F$2</f>
        <v>-373.15133741689175</v>
      </c>
      <c r="E6" s="13">
        <f>IPMT($D$2/12,A6,$E$2*12,$C$2)</f>
        <v>-303.00751598094342</v>
      </c>
      <c r="F6" s="13">
        <f>PPMT($D$2/12,A6,$E$2*12,$C$2)</f>
        <v>-70.143821435948297</v>
      </c>
      <c r="G6" s="13">
        <f>SUM($E$5:E6)</f>
        <v>-606.34084931427674</v>
      </c>
      <c r="H6" s="13">
        <f>SUM($F$5:F6)</f>
        <v>-139.96182551950665</v>
      </c>
    </row>
    <row r="7" spans="1:9" x14ac:dyDescent="0.25">
      <c r="A7" s="1">
        <f t="shared" si="0"/>
        <v>3</v>
      </c>
      <c r="B7" s="14">
        <f t="shared" ca="1" si="1"/>
        <v>42767</v>
      </c>
      <c r="C7" s="15">
        <f t="shared" ref="C7:C70" si="2">C6+F6</f>
        <v>64860.038174480491</v>
      </c>
      <c r="D7" s="13">
        <f t="shared" ref="D7:D70" si="3">$F$2</f>
        <v>-373.15133741689175</v>
      </c>
      <c r="E7" s="13">
        <f t="shared" ref="E7:E70" si="4">IPMT($D$2/12,A7,$E$2*12,$C$2)</f>
        <v>-302.6801781475757</v>
      </c>
      <c r="F7" s="13">
        <f t="shared" ref="F7:F70" si="5">PPMT($D$2/12,A7,$E$2*12,$C$2)</f>
        <v>-70.471159269316033</v>
      </c>
      <c r="G7" s="13">
        <f>SUM($E$5:E7)</f>
        <v>-909.02102746185244</v>
      </c>
      <c r="H7" s="13">
        <f>SUM($F$5:F7)</f>
        <v>-210.43298478882269</v>
      </c>
    </row>
    <row r="8" spans="1:9" x14ac:dyDescent="0.25">
      <c r="A8" s="1">
        <f t="shared" si="0"/>
        <v>4</v>
      </c>
      <c r="B8" s="14">
        <f t="shared" ca="1" si="1"/>
        <v>42795</v>
      </c>
      <c r="C8" s="15">
        <f t="shared" si="2"/>
        <v>64789.567015211178</v>
      </c>
      <c r="D8" s="13">
        <f t="shared" si="3"/>
        <v>-373.15133741689175</v>
      </c>
      <c r="E8" s="13">
        <f t="shared" si="4"/>
        <v>-302.35131273765222</v>
      </c>
      <c r="F8" s="13">
        <f t="shared" si="5"/>
        <v>-70.800024679239513</v>
      </c>
      <c r="G8" s="13">
        <f>SUM($E$5:E8)</f>
        <v>-1211.3723401995046</v>
      </c>
      <c r="H8" s="13">
        <f>SUM($F$5:F8)</f>
        <v>-281.23300946806222</v>
      </c>
    </row>
    <row r="9" spans="1:9" x14ac:dyDescent="0.25">
      <c r="A9" s="1">
        <f t="shared" si="0"/>
        <v>5</v>
      </c>
      <c r="B9" s="14">
        <f t="shared" ca="1" si="1"/>
        <v>42826</v>
      </c>
      <c r="C9" s="15">
        <f t="shared" si="2"/>
        <v>64718.766990531942</v>
      </c>
      <c r="D9" s="13">
        <f t="shared" si="3"/>
        <v>-373.15133741689175</v>
      </c>
      <c r="E9" s="13">
        <f t="shared" si="4"/>
        <v>-302.0209126224824</v>
      </c>
      <c r="F9" s="13">
        <f t="shared" si="5"/>
        <v>-71.130424794409308</v>
      </c>
      <c r="G9" s="13">
        <f>SUM($E$5:E9)</f>
        <v>-1513.3932528219871</v>
      </c>
      <c r="H9" s="13">
        <f>SUM($F$5:F9)</f>
        <v>-352.36343426247151</v>
      </c>
    </row>
    <row r="10" spans="1:9" x14ac:dyDescent="0.25">
      <c r="A10" s="1">
        <f t="shared" si="0"/>
        <v>6</v>
      </c>
      <c r="B10" s="14">
        <f t="shared" ca="1" si="1"/>
        <v>42856</v>
      </c>
      <c r="C10" s="15">
        <f t="shared" si="2"/>
        <v>64647.636565737535</v>
      </c>
      <c r="D10" s="13">
        <f t="shared" si="3"/>
        <v>-373.15133741689175</v>
      </c>
      <c r="E10" s="13">
        <f t="shared" si="4"/>
        <v>-301.68897064010855</v>
      </c>
      <c r="F10" s="13">
        <f t="shared" si="5"/>
        <v>-71.462366776783213</v>
      </c>
      <c r="G10" s="13">
        <f>SUM($E$5:E10)</f>
        <v>-1815.0822234620955</v>
      </c>
      <c r="H10" s="13">
        <f>SUM($F$5:F10)</f>
        <v>-423.82580103925471</v>
      </c>
    </row>
    <row r="11" spans="1:9" x14ac:dyDescent="0.25">
      <c r="A11" s="1">
        <f t="shared" si="0"/>
        <v>7</v>
      </c>
      <c r="B11" s="14">
        <f t="shared" ca="1" si="1"/>
        <v>42887</v>
      </c>
      <c r="C11" s="15">
        <f t="shared" si="2"/>
        <v>64576.174198960754</v>
      </c>
      <c r="D11" s="13">
        <f t="shared" si="3"/>
        <v>-373.15133741689175</v>
      </c>
      <c r="E11" s="13">
        <f t="shared" si="4"/>
        <v>-301.3554795951502</v>
      </c>
      <c r="F11" s="13">
        <f t="shared" si="5"/>
        <v>-71.795857821741549</v>
      </c>
      <c r="G11" s="13">
        <f>SUM($E$5:E11)</f>
        <v>-2116.4377030572459</v>
      </c>
      <c r="H11" s="13">
        <f>SUM($F$5:F11)</f>
        <v>-495.62165886099626</v>
      </c>
    </row>
    <row r="12" spans="1:9" x14ac:dyDescent="0.25">
      <c r="A12" s="1">
        <f t="shared" si="0"/>
        <v>8</v>
      </c>
      <c r="B12" s="14">
        <f t="shared" ca="1" si="1"/>
        <v>42917</v>
      </c>
      <c r="C12" s="15">
        <f t="shared" si="2"/>
        <v>64504.37834113901</v>
      </c>
      <c r="D12" s="13">
        <f t="shared" si="3"/>
        <v>-373.15133741689175</v>
      </c>
      <c r="E12" s="13">
        <f t="shared" si="4"/>
        <v>-301.02043225864873</v>
      </c>
      <c r="F12" s="13">
        <f t="shared" si="5"/>
        <v>-72.130905158242996</v>
      </c>
      <c r="G12" s="13">
        <f>SUM($E$5:E12)</f>
        <v>-2417.4581353158947</v>
      </c>
      <c r="H12" s="13">
        <f>SUM($F$5:F12)</f>
        <v>-567.75256401923923</v>
      </c>
    </row>
    <row r="13" spans="1:9" x14ac:dyDescent="0.25">
      <c r="A13" s="1">
        <f t="shared" si="0"/>
        <v>9</v>
      </c>
      <c r="B13" s="14">
        <f t="shared" ca="1" si="1"/>
        <v>42948</v>
      </c>
      <c r="C13" s="15">
        <f t="shared" si="2"/>
        <v>64432.247435980767</v>
      </c>
      <c r="D13" s="13">
        <f t="shared" si="3"/>
        <v>-373.15133741689175</v>
      </c>
      <c r="E13" s="13">
        <f t="shared" si="4"/>
        <v>-300.68382136791024</v>
      </c>
      <c r="F13" s="13">
        <f t="shared" si="5"/>
        <v>-72.46751604898148</v>
      </c>
      <c r="G13" s="13">
        <f>SUM($E$5:E13)</f>
        <v>-2718.1419566838049</v>
      </c>
      <c r="H13" s="13">
        <f>SUM($F$5:F13)</f>
        <v>-640.22008006822068</v>
      </c>
    </row>
    <row r="14" spans="1:9" x14ac:dyDescent="0.25">
      <c r="A14" s="1">
        <f t="shared" si="0"/>
        <v>10</v>
      </c>
      <c r="B14" s="14">
        <f t="shared" ca="1" si="1"/>
        <v>42979</v>
      </c>
      <c r="C14" s="15">
        <f t="shared" si="2"/>
        <v>64359.779919931789</v>
      </c>
      <c r="D14" s="13">
        <f t="shared" si="3"/>
        <v>-373.15133741689175</v>
      </c>
      <c r="E14" s="13">
        <f t="shared" si="4"/>
        <v>-300.34563962634837</v>
      </c>
      <c r="F14" s="13">
        <f t="shared" si="5"/>
        <v>-72.805697790543377</v>
      </c>
      <c r="G14" s="13">
        <f>SUM($E$5:E14)</f>
        <v>-3018.4875963101531</v>
      </c>
      <c r="H14" s="13">
        <f>SUM($F$5:F14)</f>
        <v>-713.02577785876406</v>
      </c>
    </row>
    <row r="15" spans="1:9" x14ac:dyDescent="0.25">
      <c r="A15" s="1">
        <f t="shared" si="0"/>
        <v>11</v>
      </c>
      <c r="B15" s="14">
        <f t="shared" ca="1" si="1"/>
        <v>43009</v>
      </c>
      <c r="C15" s="15">
        <f t="shared" si="2"/>
        <v>64286.974222141245</v>
      </c>
      <c r="D15" s="13">
        <f t="shared" si="3"/>
        <v>-373.15133741689175</v>
      </c>
      <c r="E15" s="13">
        <f t="shared" si="4"/>
        <v>-300.00587970332583</v>
      </c>
      <c r="F15" s="13">
        <f t="shared" si="5"/>
        <v>-73.145457713565918</v>
      </c>
      <c r="G15" s="13">
        <f>SUM($E$5:E15)</f>
        <v>-3318.4934760134788</v>
      </c>
      <c r="H15" s="13">
        <f>SUM($F$5:F15)</f>
        <v>-786.17123557233003</v>
      </c>
    </row>
    <row r="16" spans="1:9" x14ac:dyDescent="0.25">
      <c r="A16" s="1">
        <f t="shared" si="0"/>
        <v>12</v>
      </c>
      <c r="B16" s="14">
        <f t="shared" ca="1" si="1"/>
        <v>43040</v>
      </c>
      <c r="C16" s="15">
        <f t="shared" si="2"/>
        <v>64213.828764427679</v>
      </c>
      <c r="D16" s="13">
        <f t="shared" si="3"/>
        <v>-373.15133741689175</v>
      </c>
      <c r="E16" s="13">
        <f t="shared" si="4"/>
        <v>-299.66453423399582</v>
      </c>
      <c r="F16" s="13">
        <f t="shared" si="5"/>
        <v>-73.486803182895898</v>
      </c>
      <c r="G16" s="13">
        <f>SUM($E$5:E16)</f>
        <v>-3618.1580102474745</v>
      </c>
      <c r="H16" s="13">
        <f>SUM($F$5:F16)</f>
        <v>-859.6580387552259</v>
      </c>
    </row>
    <row r="17" spans="1:8" x14ac:dyDescent="0.25">
      <c r="A17" s="1">
        <f t="shared" si="0"/>
        <v>13</v>
      </c>
      <c r="B17" s="14">
        <f t="shared" ca="1" si="1"/>
        <v>43070</v>
      </c>
      <c r="C17" s="15">
        <f t="shared" si="2"/>
        <v>64140.341961244783</v>
      </c>
      <c r="D17" s="13">
        <f t="shared" si="3"/>
        <v>-373.15133741689175</v>
      </c>
      <c r="E17" s="13">
        <f t="shared" si="4"/>
        <v>-299.32159581914237</v>
      </c>
      <c r="F17" s="13">
        <f t="shared" si="5"/>
        <v>-73.829741597749404</v>
      </c>
      <c r="G17" s="13">
        <f>SUM($E$5:E17)</f>
        <v>-3917.4796060666167</v>
      </c>
      <c r="H17" s="13">
        <f>SUM($F$5:F17)</f>
        <v>-933.48778035297528</v>
      </c>
    </row>
    <row r="18" spans="1:8" x14ac:dyDescent="0.25">
      <c r="A18" s="1">
        <f t="shared" si="0"/>
        <v>14</v>
      </c>
      <c r="B18" s="14">
        <f t="shared" ca="1" si="1"/>
        <v>43101</v>
      </c>
      <c r="C18" s="15">
        <f t="shared" si="2"/>
        <v>64066.512219647033</v>
      </c>
      <c r="D18" s="13">
        <f t="shared" si="3"/>
        <v>-373.15133741689175</v>
      </c>
      <c r="E18" s="13">
        <f t="shared" si="4"/>
        <v>-298.97705702501952</v>
      </c>
      <c r="F18" s="13">
        <f t="shared" si="5"/>
        <v>-74.174280391872244</v>
      </c>
      <c r="G18" s="13">
        <f>SUM($E$5:E18)</f>
        <v>-4216.4566630916361</v>
      </c>
      <c r="H18" s="13">
        <f>SUM($F$5:F18)</f>
        <v>-1007.6620607448475</v>
      </c>
    </row>
    <row r="19" spans="1:8" x14ac:dyDescent="0.25">
      <c r="A19" s="1">
        <f t="shared" si="0"/>
        <v>15</v>
      </c>
      <c r="B19" s="14">
        <f t="shared" ca="1" si="1"/>
        <v>43132</v>
      </c>
      <c r="C19" s="15">
        <f t="shared" si="2"/>
        <v>63992.337939255158</v>
      </c>
      <c r="D19" s="13">
        <f t="shared" si="3"/>
        <v>-373.15133741689175</v>
      </c>
      <c r="E19" s="13">
        <f t="shared" si="4"/>
        <v>-298.63091038319078</v>
      </c>
      <c r="F19" s="13">
        <f t="shared" si="5"/>
        <v>-74.520427033700983</v>
      </c>
      <c r="G19" s="13">
        <f>SUM($E$5:E19)</f>
        <v>-4515.087573474827</v>
      </c>
      <c r="H19" s="13">
        <f>SUM($F$5:F19)</f>
        <v>-1082.1824877785484</v>
      </c>
    </row>
    <row r="20" spans="1:8" x14ac:dyDescent="0.25">
      <c r="A20" s="1">
        <f t="shared" si="0"/>
        <v>16</v>
      </c>
      <c r="B20" s="14">
        <f t="shared" ca="1" si="1"/>
        <v>43160</v>
      </c>
      <c r="C20" s="15">
        <f t="shared" si="2"/>
        <v>63917.81751222146</v>
      </c>
      <c r="D20" s="13">
        <f t="shared" si="3"/>
        <v>-373.15133741689175</v>
      </c>
      <c r="E20" s="13">
        <f t="shared" si="4"/>
        <v>-298.28314839036682</v>
      </c>
      <c r="F20" s="13">
        <f t="shared" si="5"/>
        <v>-74.868189026524917</v>
      </c>
      <c r="G20" s="13">
        <f>SUM($E$5:E20)</f>
        <v>-4813.3707218651934</v>
      </c>
      <c r="H20" s="13">
        <f>SUM($F$5:F20)</f>
        <v>-1157.0506768050734</v>
      </c>
    </row>
    <row r="21" spans="1:8" x14ac:dyDescent="0.25">
      <c r="A21" s="1">
        <f t="shared" si="0"/>
        <v>17</v>
      </c>
      <c r="B21" s="14">
        <f t="shared" ca="1" si="1"/>
        <v>43191</v>
      </c>
      <c r="C21" s="15">
        <f t="shared" si="2"/>
        <v>63842.949323194938</v>
      </c>
      <c r="D21" s="13">
        <f t="shared" si="3"/>
        <v>-373.15133741689175</v>
      </c>
      <c r="E21" s="13">
        <f t="shared" si="4"/>
        <v>-297.93376350824309</v>
      </c>
      <c r="F21" s="13">
        <f t="shared" si="5"/>
        <v>-75.217573908648703</v>
      </c>
      <c r="G21" s="13">
        <f>SUM($E$5:E21)</f>
        <v>-5111.3044853734364</v>
      </c>
      <c r="H21" s="13">
        <f>SUM($F$5:F21)</f>
        <v>-1232.2682507137222</v>
      </c>
    </row>
    <row r="22" spans="1:8" x14ac:dyDescent="0.25">
      <c r="A22" s="1">
        <f t="shared" si="0"/>
        <v>18</v>
      </c>
      <c r="B22" s="14">
        <f t="shared" ca="1" si="1"/>
        <v>43221</v>
      </c>
      <c r="C22" s="15">
        <f t="shared" si="2"/>
        <v>63767.731749286293</v>
      </c>
      <c r="D22" s="13">
        <f t="shared" si="3"/>
        <v>-373.15133741689175</v>
      </c>
      <c r="E22" s="13">
        <f t="shared" si="4"/>
        <v>-297.58274816333602</v>
      </c>
      <c r="F22" s="13">
        <f t="shared" si="5"/>
        <v>-75.568589253555729</v>
      </c>
      <c r="G22" s="13">
        <f>SUM($E$5:E22)</f>
        <v>-5408.8872335367723</v>
      </c>
      <c r="H22" s="13">
        <f>SUM($F$5:F22)</f>
        <v>-1307.8368399672779</v>
      </c>
    </row>
    <row r="23" spans="1:8" x14ac:dyDescent="0.25">
      <c r="A23" s="1">
        <f t="shared" si="0"/>
        <v>19</v>
      </c>
      <c r="B23" s="14">
        <f t="shared" ca="1" si="1"/>
        <v>43252</v>
      </c>
      <c r="C23" s="15">
        <f t="shared" si="2"/>
        <v>63692.163160032738</v>
      </c>
      <c r="D23" s="13">
        <f t="shared" si="3"/>
        <v>-373.15133741689175</v>
      </c>
      <c r="E23" s="13">
        <f t="shared" si="4"/>
        <v>-297.23009474681942</v>
      </c>
      <c r="F23" s="13">
        <f t="shared" si="5"/>
        <v>-75.921242670072303</v>
      </c>
      <c r="G23" s="13">
        <f>SUM($E$5:E23)</f>
        <v>-5706.1173282835916</v>
      </c>
      <c r="H23" s="13">
        <f>SUM($F$5:F23)</f>
        <v>-1383.7580826373503</v>
      </c>
    </row>
    <row r="24" spans="1:8" x14ac:dyDescent="0.25">
      <c r="A24" s="1">
        <f t="shared" si="0"/>
        <v>20</v>
      </c>
      <c r="B24" s="14">
        <f t="shared" ca="1" si="1"/>
        <v>43282</v>
      </c>
      <c r="C24" s="15">
        <f t="shared" si="2"/>
        <v>63616.241917362669</v>
      </c>
      <c r="D24" s="13">
        <f t="shared" si="3"/>
        <v>-373.15133741689175</v>
      </c>
      <c r="E24" s="13">
        <f t="shared" si="4"/>
        <v>-296.87579561435911</v>
      </c>
      <c r="F24" s="13">
        <f t="shared" si="5"/>
        <v>-76.275541802532658</v>
      </c>
      <c r="G24" s="13">
        <f>SUM($E$5:E24)</f>
        <v>-6002.9931238979507</v>
      </c>
      <c r="H24" s="13">
        <f>SUM($F$5:F24)</f>
        <v>-1460.0336244398829</v>
      </c>
    </row>
    <row r="25" spans="1:8" x14ac:dyDescent="0.25">
      <c r="A25" s="1">
        <f t="shared" si="0"/>
        <v>21</v>
      </c>
      <c r="B25" s="14">
        <f t="shared" ca="1" si="1"/>
        <v>43313</v>
      </c>
      <c r="C25" s="15">
        <f t="shared" si="2"/>
        <v>63539.966375560136</v>
      </c>
      <c r="D25" s="13">
        <f t="shared" si="3"/>
        <v>-373.15133741689175</v>
      </c>
      <c r="E25" s="13">
        <f t="shared" si="4"/>
        <v>-296.51984308594723</v>
      </c>
      <c r="F25" s="13">
        <f t="shared" si="5"/>
        <v>-76.631494330944477</v>
      </c>
      <c r="G25" s="13">
        <f>SUM($E$5:E25)</f>
        <v>-6299.512966983898</v>
      </c>
      <c r="H25" s="13">
        <f>SUM($F$5:F25)</f>
        <v>-1536.6651187708273</v>
      </c>
    </row>
    <row r="26" spans="1:8" x14ac:dyDescent="0.25">
      <c r="A26" s="1">
        <f t="shared" si="0"/>
        <v>22</v>
      </c>
      <c r="B26" s="14">
        <f t="shared" ca="1" si="1"/>
        <v>43344</v>
      </c>
      <c r="C26" s="15">
        <f t="shared" si="2"/>
        <v>63463.334881229188</v>
      </c>
      <c r="D26" s="13">
        <f t="shared" si="3"/>
        <v>-373.15133741689175</v>
      </c>
      <c r="E26" s="13">
        <f t="shared" si="4"/>
        <v>-296.16222944573622</v>
      </c>
      <c r="F26" s="13">
        <f t="shared" si="5"/>
        <v>-76.989107971155534</v>
      </c>
      <c r="G26" s="13">
        <f>SUM($E$5:E26)</f>
        <v>-6595.6751964296345</v>
      </c>
      <c r="H26" s="13">
        <f>SUM($F$5:F26)</f>
        <v>-1613.6542267419829</v>
      </c>
    </row>
    <row r="27" spans="1:8" x14ac:dyDescent="0.25">
      <c r="A27" s="1">
        <f t="shared" si="0"/>
        <v>23</v>
      </c>
      <c r="B27" s="14">
        <f t="shared" ca="1" si="1"/>
        <v>43374</v>
      </c>
      <c r="C27" s="15">
        <f t="shared" si="2"/>
        <v>63386.345773258035</v>
      </c>
      <c r="D27" s="13">
        <f t="shared" si="3"/>
        <v>-373.15133741689175</v>
      </c>
      <c r="E27" s="13">
        <f t="shared" si="4"/>
        <v>-295.8029469418708</v>
      </c>
      <c r="F27" s="13">
        <f t="shared" si="5"/>
        <v>-77.348390475020935</v>
      </c>
      <c r="G27" s="13">
        <f>SUM($E$5:E27)</f>
        <v>-6891.4781433715052</v>
      </c>
      <c r="H27" s="13">
        <f>SUM($F$5:F27)</f>
        <v>-1691.0026172170039</v>
      </c>
    </row>
    <row r="28" spans="1:8" x14ac:dyDescent="0.25">
      <c r="A28" s="1">
        <f t="shared" si="0"/>
        <v>24</v>
      </c>
      <c r="B28" s="14">
        <f t="shared" ca="1" si="1"/>
        <v>43405</v>
      </c>
      <c r="C28" s="15">
        <f t="shared" si="2"/>
        <v>63308.997382783018</v>
      </c>
      <c r="D28" s="13">
        <f t="shared" si="3"/>
        <v>-373.15133741689175</v>
      </c>
      <c r="E28" s="13">
        <f t="shared" si="4"/>
        <v>-295.44198778632068</v>
      </c>
      <c r="F28" s="13">
        <f t="shared" si="5"/>
        <v>-77.70934963057104</v>
      </c>
      <c r="G28" s="13">
        <f>SUM($E$5:E28)</f>
        <v>-7186.9201311578263</v>
      </c>
      <c r="H28" s="13">
        <f>SUM($F$5:F28)</f>
        <v>-1768.711966847575</v>
      </c>
    </row>
    <row r="29" spans="1:8" x14ac:dyDescent="0.25">
      <c r="A29" s="1">
        <f t="shared" si="0"/>
        <v>25</v>
      </c>
      <c r="B29" s="14">
        <f t="shared" ca="1" si="1"/>
        <v>43435</v>
      </c>
      <c r="C29" s="15">
        <f t="shared" si="2"/>
        <v>63231.28803315245</v>
      </c>
      <c r="D29" s="13">
        <f t="shared" si="3"/>
        <v>-373.15133741689175</v>
      </c>
      <c r="E29" s="13">
        <f t="shared" si="4"/>
        <v>-295.07934415471135</v>
      </c>
      <c r="F29" s="13">
        <f t="shared" si="5"/>
        <v>-78.071993262180371</v>
      </c>
      <c r="G29" s="13">
        <f>SUM($E$5:E29)</f>
        <v>-7481.9994753125375</v>
      </c>
      <c r="H29" s="13">
        <f>SUM($F$5:F29)</f>
        <v>-1846.7839601097553</v>
      </c>
    </row>
    <row r="30" spans="1:8" x14ac:dyDescent="0.25">
      <c r="A30" s="1">
        <f t="shared" si="0"/>
        <v>26</v>
      </c>
      <c r="B30" s="14">
        <f t="shared" ca="1" si="1"/>
        <v>43466</v>
      </c>
      <c r="C30" s="15">
        <f t="shared" si="2"/>
        <v>63153.216039890271</v>
      </c>
      <c r="D30" s="13">
        <f t="shared" si="3"/>
        <v>-373.15133741689175</v>
      </c>
      <c r="E30" s="13">
        <f t="shared" si="4"/>
        <v>-294.71500818615453</v>
      </c>
      <c r="F30" s="13">
        <f t="shared" si="5"/>
        <v>-78.436329230737201</v>
      </c>
      <c r="G30" s="13">
        <f>SUM($E$5:E30)</f>
        <v>-7776.7144834986921</v>
      </c>
      <c r="H30" s="13">
        <f>SUM($F$5:F30)</f>
        <v>-1925.2202893404924</v>
      </c>
    </row>
    <row r="31" spans="1:8" x14ac:dyDescent="0.25">
      <c r="A31" s="1">
        <f t="shared" si="0"/>
        <v>27</v>
      </c>
      <c r="B31" s="14">
        <f t="shared" ca="1" si="1"/>
        <v>43497</v>
      </c>
      <c r="C31" s="15">
        <f t="shared" si="2"/>
        <v>63074.779710659532</v>
      </c>
      <c r="D31" s="13">
        <f t="shared" si="3"/>
        <v>-373.15133741689175</v>
      </c>
      <c r="E31" s="13">
        <f t="shared" si="4"/>
        <v>-294.34897198307777</v>
      </c>
      <c r="F31" s="13">
        <f t="shared" si="5"/>
        <v>-78.802365433813989</v>
      </c>
      <c r="G31" s="13">
        <f>SUM($E$5:E31)</f>
        <v>-8071.0634554817698</v>
      </c>
      <c r="H31" s="13">
        <f>SUM($F$5:F31)</f>
        <v>-2004.0226547743064</v>
      </c>
    </row>
    <row r="32" spans="1:8" x14ac:dyDescent="0.25">
      <c r="A32" s="1">
        <f t="shared" si="0"/>
        <v>28</v>
      </c>
      <c r="B32" s="14">
        <f t="shared" ca="1" si="1"/>
        <v>43525</v>
      </c>
      <c r="C32" s="15">
        <f t="shared" si="2"/>
        <v>62995.977345225714</v>
      </c>
      <c r="D32" s="13">
        <f t="shared" si="3"/>
        <v>-373.15133741689175</v>
      </c>
      <c r="E32" s="13">
        <f t="shared" si="4"/>
        <v>-293.98122761105333</v>
      </c>
      <c r="F32" s="13">
        <f t="shared" si="5"/>
        <v>-79.17010980583845</v>
      </c>
      <c r="G32" s="13">
        <f>SUM($E$5:E32)</f>
        <v>-8365.0446830928231</v>
      </c>
      <c r="H32" s="13">
        <f>SUM($F$5:F32)</f>
        <v>-2083.1927645801447</v>
      </c>
    </row>
    <row r="33" spans="1:8" x14ac:dyDescent="0.25">
      <c r="A33" s="1">
        <f t="shared" si="0"/>
        <v>29</v>
      </c>
      <c r="B33" s="14">
        <f t="shared" ca="1" si="1"/>
        <v>43556</v>
      </c>
      <c r="C33" s="15">
        <f t="shared" si="2"/>
        <v>62916.807235419874</v>
      </c>
      <c r="D33" s="13">
        <f t="shared" si="3"/>
        <v>-373.15133741689175</v>
      </c>
      <c r="E33" s="13">
        <f t="shared" si="4"/>
        <v>-293.61176709862605</v>
      </c>
      <c r="F33" s="13">
        <f t="shared" si="5"/>
        <v>-79.539570318265703</v>
      </c>
      <c r="G33" s="13">
        <f>SUM($E$5:E33)</f>
        <v>-8658.656450191449</v>
      </c>
      <c r="H33" s="13">
        <f>SUM($F$5:F33)</f>
        <v>-2162.7323348984105</v>
      </c>
    </row>
    <row r="34" spans="1:8" x14ac:dyDescent="0.25">
      <c r="A34" s="1">
        <f t="shared" si="0"/>
        <v>30</v>
      </c>
      <c r="B34" s="14">
        <f t="shared" ca="1" si="1"/>
        <v>43586</v>
      </c>
      <c r="C34" s="15">
        <f t="shared" si="2"/>
        <v>62837.267665101608</v>
      </c>
      <c r="D34" s="13">
        <f t="shared" si="3"/>
        <v>-373.15133741689175</v>
      </c>
      <c r="E34" s="13">
        <f t="shared" si="4"/>
        <v>-293.2405824371408</v>
      </c>
      <c r="F34" s="13">
        <f t="shared" si="5"/>
        <v>-79.910754979750948</v>
      </c>
      <c r="G34" s="13">
        <f>SUM($E$5:E34)</f>
        <v>-8951.8970326285889</v>
      </c>
      <c r="H34" s="13">
        <f>SUM($F$5:F34)</f>
        <v>-2242.6430898781614</v>
      </c>
    </row>
    <row r="35" spans="1:8" x14ac:dyDescent="0.25">
      <c r="A35" s="1">
        <f t="shared" si="0"/>
        <v>31</v>
      </c>
      <c r="B35" s="14">
        <f t="shared" ca="1" si="1"/>
        <v>43617</v>
      </c>
      <c r="C35" s="15">
        <f t="shared" si="2"/>
        <v>62757.35691012186</v>
      </c>
      <c r="D35" s="13">
        <f t="shared" si="3"/>
        <v>-373.15133741689175</v>
      </c>
      <c r="E35" s="13">
        <f t="shared" si="4"/>
        <v>-292.86766558056866</v>
      </c>
      <c r="F35" s="13">
        <f t="shared" si="5"/>
        <v>-80.283671836323109</v>
      </c>
      <c r="G35" s="13">
        <f>SUM($E$5:E35)</f>
        <v>-9244.7646982091574</v>
      </c>
      <c r="H35" s="13">
        <f>SUM($F$5:F35)</f>
        <v>-2322.9267617144847</v>
      </c>
    </row>
    <row r="36" spans="1:8" x14ac:dyDescent="0.25">
      <c r="A36" s="1">
        <f t="shared" si="0"/>
        <v>32</v>
      </c>
      <c r="B36" s="14">
        <f t="shared" ca="1" si="1"/>
        <v>43647</v>
      </c>
      <c r="C36" s="15">
        <f t="shared" si="2"/>
        <v>62677.073238285535</v>
      </c>
      <c r="D36" s="13">
        <f t="shared" si="3"/>
        <v>-373.15133741689175</v>
      </c>
      <c r="E36" s="13">
        <f t="shared" si="4"/>
        <v>-292.49300844533246</v>
      </c>
      <c r="F36" s="13">
        <f t="shared" si="5"/>
        <v>-80.658328971559271</v>
      </c>
      <c r="G36" s="13">
        <f>SUM($E$5:E36)</f>
        <v>-9537.2577066544891</v>
      </c>
      <c r="H36" s="13">
        <f>SUM($F$5:F36)</f>
        <v>-2403.5850906860437</v>
      </c>
    </row>
    <row r="37" spans="1:8" x14ac:dyDescent="0.25">
      <c r="A37" s="1">
        <f t="shared" si="0"/>
        <v>33</v>
      </c>
      <c r="B37" s="14">
        <f t="shared" ca="1" si="1"/>
        <v>43678</v>
      </c>
      <c r="C37" s="15">
        <f t="shared" si="2"/>
        <v>62596.414909313979</v>
      </c>
      <c r="D37" s="13">
        <f t="shared" si="3"/>
        <v>-373.15133741689175</v>
      </c>
      <c r="E37" s="13">
        <f t="shared" si="4"/>
        <v>-292.1166029101318</v>
      </c>
      <c r="F37" s="13">
        <f t="shared" si="5"/>
        <v>-81.034734506759904</v>
      </c>
      <c r="G37" s="13">
        <f>SUM($E$5:E37)</f>
        <v>-9829.3743095646205</v>
      </c>
      <c r="H37" s="13">
        <f>SUM($F$5:F37)</f>
        <v>-2484.6198251928035</v>
      </c>
    </row>
    <row r="38" spans="1:8" x14ac:dyDescent="0.25">
      <c r="A38" s="1">
        <f t="shared" si="0"/>
        <v>34</v>
      </c>
      <c r="B38" s="14">
        <f t="shared" ca="1" si="1"/>
        <v>43709</v>
      </c>
      <c r="C38" s="15">
        <f t="shared" si="2"/>
        <v>62515.380174807222</v>
      </c>
      <c r="D38" s="13">
        <f t="shared" si="3"/>
        <v>-373.15133741689175</v>
      </c>
      <c r="E38" s="13">
        <f t="shared" si="4"/>
        <v>-291.73844081576698</v>
      </c>
      <c r="F38" s="13">
        <f t="shared" si="5"/>
        <v>-81.412896601124757</v>
      </c>
      <c r="G38" s="13">
        <f>SUM($E$5:E38)</f>
        <v>-10121.112750380387</v>
      </c>
      <c r="H38" s="13">
        <f>SUM($F$5:F38)</f>
        <v>-2566.0327217939284</v>
      </c>
    </row>
    <row r="39" spans="1:8" x14ac:dyDescent="0.25">
      <c r="A39" s="1">
        <f t="shared" si="0"/>
        <v>35</v>
      </c>
      <c r="B39" s="14">
        <f t="shared" ca="1" si="1"/>
        <v>43739</v>
      </c>
      <c r="C39" s="15">
        <f t="shared" si="2"/>
        <v>62433.967278206095</v>
      </c>
      <c r="D39" s="13">
        <f t="shared" si="3"/>
        <v>-373.15133741689175</v>
      </c>
      <c r="E39" s="13">
        <f t="shared" si="4"/>
        <v>-291.35851396496173</v>
      </c>
      <c r="F39" s="13">
        <f t="shared" si="5"/>
        <v>-81.792823451930019</v>
      </c>
      <c r="G39" s="13">
        <f>SUM($E$5:E39)</f>
        <v>-10412.471264345349</v>
      </c>
      <c r="H39" s="13">
        <f>SUM($F$5:F39)</f>
        <v>-2647.8255452458584</v>
      </c>
    </row>
    <row r="40" spans="1:8" x14ac:dyDescent="0.25">
      <c r="A40" s="1">
        <f t="shared" si="0"/>
        <v>36</v>
      </c>
      <c r="B40" s="14">
        <f t="shared" ca="1" si="1"/>
        <v>43770</v>
      </c>
      <c r="C40" s="15">
        <f t="shared" si="2"/>
        <v>62352.174454754168</v>
      </c>
      <c r="D40" s="13">
        <f t="shared" si="3"/>
        <v>-373.15133741689175</v>
      </c>
      <c r="E40" s="13">
        <f t="shared" si="4"/>
        <v>-290.97681412218606</v>
      </c>
      <c r="F40" s="13">
        <f t="shared" si="5"/>
        <v>-82.174523294705708</v>
      </c>
      <c r="G40" s="13">
        <f>SUM($E$5:E40)</f>
        <v>-10703.448078467536</v>
      </c>
      <c r="H40" s="13">
        <f>SUM($F$5:F40)</f>
        <v>-2730.0000685405639</v>
      </c>
    </row>
    <row r="41" spans="1:8" x14ac:dyDescent="0.25">
      <c r="A41" s="1">
        <f t="shared" si="0"/>
        <v>37</v>
      </c>
      <c r="B41" s="14">
        <f t="shared" ca="1" si="1"/>
        <v>43800</v>
      </c>
      <c r="C41" s="15">
        <f t="shared" si="2"/>
        <v>62269.999931459461</v>
      </c>
      <c r="D41" s="13">
        <f t="shared" si="3"/>
        <v>-373.15133741689175</v>
      </c>
      <c r="E41" s="13">
        <f t="shared" si="4"/>
        <v>-290.59333301347743</v>
      </c>
      <c r="F41" s="13">
        <f t="shared" si="5"/>
        <v>-82.558004403414316</v>
      </c>
      <c r="G41" s="13">
        <f>SUM($E$5:E41)</f>
        <v>-10994.041411481014</v>
      </c>
      <c r="H41" s="13">
        <f>SUM($F$5:F41)</f>
        <v>-2812.558072943978</v>
      </c>
    </row>
    <row r="42" spans="1:8" x14ac:dyDescent="0.25">
      <c r="A42" s="1">
        <f t="shared" si="0"/>
        <v>38</v>
      </c>
      <c r="B42" s="14">
        <f t="shared" ca="1" si="1"/>
        <v>43831</v>
      </c>
      <c r="C42" s="15">
        <f t="shared" si="2"/>
        <v>62187.441927056047</v>
      </c>
      <c r="D42" s="13">
        <f t="shared" si="3"/>
        <v>-373.15133741689175</v>
      </c>
      <c r="E42" s="13">
        <f t="shared" si="4"/>
        <v>-290.20806232626148</v>
      </c>
      <c r="F42" s="13">
        <f t="shared" si="5"/>
        <v>-82.943275090630252</v>
      </c>
      <c r="G42" s="13">
        <f>SUM($E$5:E42)</f>
        <v>-11284.249473807275</v>
      </c>
      <c r="H42" s="13">
        <f>SUM($F$5:F42)</f>
        <v>-2895.5013480346083</v>
      </c>
    </row>
    <row r="43" spans="1:8" x14ac:dyDescent="0.25">
      <c r="A43" s="1">
        <f t="shared" si="0"/>
        <v>39</v>
      </c>
      <c r="B43" s="14">
        <f t="shared" ca="1" si="1"/>
        <v>43862</v>
      </c>
      <c r="C43" s="15">
        <f t="shared" si="2"/>
        <v>62104.498651965419</v>
      </c>
      <c r="D43" s="13">
        <f t="shared" si="3"/>
        <v>-373.15133741689175</v>
      </c>
      <c r="E43" s="13">
        <f t="shared" si="4"/>
        <v>-289.82099370917189</v>
      </c>
      <c r="F43" s="13">
        <f t="shared" si="5"/>
        <v>-83.330343707719877</v>
      </c>
      <c r="G43" s="13">
        <f>SUM($E$5:E43)</f>
        <v>-11574.070467516447</v>
      </c>
      <c r="H43" s="13">
        <f>SUM($F$5:F43)</f>
        <v>-2978.8316917423281</v>
      </c>
    </row>
    <row r="44" spans="1:8" x14ac:dyDescent="0.25">
      <c r="A44" s="1">
        <f t="shared" si="0"/>
        <v>40</v>
      </c>
      <c r="B44" s="14">
        <f t="shared" ca="1" si="1"/>
        <v>43891</v>
      </c>
      <c r="C44" s="15">
        <f t="shared" si="2"/>
        <v>62021.1683082577</v>
      </c>
      <c r="D44" s="13">
        <f t="shared" si="3"/>
        <v>-373.15133741689175</v>
      </c>
      <c r="E44" s="13">
        <f t="shared" si="4"/>
        <v>-289.43211877186917</v>
      </c>
      <c r="F44" s="13">
        <f t="shared" si="5"/>
        <v>-83.719218645022551</v>
      </c>
      <c r="G44" s="13">
        <f>SUM($E$5:E44)</f>
        <v>-11863.502586288316</v>
      </c>
      <c r="H44" s="13">
        <f>SUM($F$5:F44)</f>
        <v>-3062.5509103873505</v>
      </c>
    </row>
    <row r="45" spans="1:8" x14ac:dyDescent="0.25">
      <c r="A45" s="1">
        <f t="shared" si="0"/>
        <v>41</v>
      </c>
      <c r="B45" s="14">
        <f t="shared" ca="1" si="1"/>
        <v>43922</v>
      </c>
      <c r="C45" s="15">
        <f t="shared" si="2"/>
        <v>61937.449089612681</v>
      </c>
      <c r="D45" s="13">
        <f t="shared" si="3"/>
        <v>-373.15133741689175</v>
      </c>
      <c r="E45" s="13">
        <f t="shared" si="4"/>
        <v>-289.04142908485909</v>
      </c>
      <c r="F45" s="13">
        <f t="shared" si="5"/>
        <v>-84.10990833203266</v>
      </c>
      <c r="G45" s="13">
        <f>SUM($E$5:E45)</f>
        <v>-12152.544015373174</v>
      </c>
      <c r="H45" s="13">
        <f>SUM($F$5:F45)</f>
        <v>-3146.6608187193833</v>
      </c>
    </row>
    <row r="46" spans="1:8" x14ac:dyDescent="0.25">
      <c r="A46" s="1">
        <f t="shared" si="0"/>
        <v>42</v>
      </c>
      <c r="B46" s="14">
        <f t="shared" ca="1" si="1"/>
        <v>43952</v>
      </c>
      <c r="C46" s="15">
        <f t="shared" si="2"/>
        <v>61853.339181280651</v>
      </c>
      <c r="D46" s="13">
        <f t="shared" si="3"/>
        <v>-373.15133741689175</v>
      </c>
      <c r="E46" s="13">
        <f t="shared" si="4"/>
        <v>-288.64891617930959</v>
      </c>
      <c r="F46" s="13">
        <f t="shared" si="5"/>
        <v>-84.502421237582141</v>
      </c>
      <c r="G46" s="13">
        <f>SUM($E$5:E46)</f>
        <v>-12441.192931552483</v>
      </c>
      <c r="H46" s="13">
        <f>SUM($F$5:F46)</f>
        <v>-3231.1632399569653</v>
      </c>
    </row>
    <row r="47" spans="1:8" x14ac:dyDescent="0.25">
      <c r="A47" s="1">
        <f t="shared" si="0"/>
        <v>43</v>
      </c>
      <c r="B47" s="14">
        <f t="shared" ca="1" si="1"/>
        <v>43983</v>
      </c>
      <c r="C47" s="15">
        <f t="shared" si="2"/>
        <v>61768.836760043072</v>
      </c>
      <c r="D47" s="13">
        <f t="shared" si="3"/>
        <v>-373.15133741689175</v>
      </c>
      <c r="E47" s="13">
        <f t="shared" si="4"/>
        <v>-288.25457154686757</v>
      </c>
      <c r="F47" s="13">
        <f t="shared" si="5"/>
        <v>-84.896765870024183</v>
      </c>
      <c r="G47" s="13">
        <f>SUM($E$5:E47)</f>
        <v>-12729.447503099351</v>
      </c>
      <c r="H47" s="13">
        <f>SUM($F$5:F47)</f>
        <v>-3316.0600058269893</v>
      </c>
    </row>
    <row r="48" spans="1:8" x14ac:dyDescent="0.25">
      <c r="A48" s="1">
        <f t="shared" si="0"/>
        <v>44</v>
      </c>
      <c r="B48" s="14">
        <f t="shared" ca="1" si="1"/>
        <v>44013</v>
      </c>
      <c r="C48" s="15">
        <f t="shared" si="2"/>
        <v>61683.939994173044</v>
      </c>
      <c r="D48" s="13">
        <f t="shared" si="3"/>
        <v>-373.15133741689175</v>
      </c>
      <c r="E48" s="13">
        <f t="shared" si="4"/>
        <v>-287.85838663947408</v>
      </c>
      <c r="F48" s="13">
        <f t="shared" si="5"/>
        <v>-85.292950777417644</v>
      </c>
      <c r="G48" s="13">
        <f>SUM($E$5:E48)</f>
        <v>-13017.305889738825</v>
      </c>
      <c r="H48" s="13">
        <f>SUM($F$5:F48)</f>
        <v>-3401.3529566044067</v>
      </c>
    </row>
    <row r="49" spans="1:8" x14ac:dyDescent="0.25">
      <c r="A49" s="1">
        <f t="shared" si="0"/>
        <v>45</v>
      </c>
      <c r="B49" s="14">
        <f t="shared" ca="1" si="1"/>
        <v>44044</v>
      </c>
      <c r="C49" s="15">
        <f t="shared" si="2"/>
        <v>61598.647043395627</v>
      </c>
      <c r="D49" s="13">
        <f t="shared" si="3"/>
        <v>-373.15133741689175</v>
      </c>
      <c r="E49" s="13">
        <f t="shared" si="4"/>
        <v>-287.46035286917947</v>
      </c>
      <c r="F49" s="13">
        <f t="shared" si="5"/>
        <v>-85.690984547712262</v>
      </c>
      <c r="G49" s="13">
        <f>SUM($E$5:E49)</f>
        <v>-13304.766242608004</v>
      </c>
      <c r="H49" s="13">
        <f>SUM($F$5:F49)</f>
        <v>-3487.0439411521188</v>
      </c>
    </row>
    <row r="50" spans="1:8" x14ac:dyDescent="0.25">
      <c r="A50" s="1">
        <f t="shared" si="0"/>
        <v>46</v>
      </c>
      <c r="B50" s="14">
        <f t="shared" ca="1" si="1"/>
        <v>44075</v>
      </c>
      <c r="C50" s="15">
        <f t="shared" si="2"/>
        <v>61512.956058847914</v>
      </c>
      <c r="D50" s="13">
        <f t="shared" si="3"/>
        <v>-373.15133741689175</v>
      </c>
      <c r="E50" s="13">
        <f t="shared" si="4"/>
        <v>-287.06046160795682</v>
      </c>
      <c r="F50" s="13">
        <f t="shared" si="5"/>
        <v>-86.090875808934896</v>
      </c>
      <c r="G50" s="13">
        <f>SUM($E$5:E50)</f>
        <v>-13591.82670421596</v>
      </c>
      <c r="H50" s="13">
        <f>SUM($F$5:F50)</f>
        <v>-3573.1348169610537</v>
      </c>
    </row>
    <row r="51" spans="1:8" x14ac:dyDescent="0.25">
      <c r="A51" s="1">
        <f t="shared" si="0"/>
        <v>47</v>
      </c>
      <c r="B51" s="14">
        <f t="shared" ca="1" si="1"/>
        <v>44105</v>
      </c>
      <c r="C51" s="15">
        <f t="shared" si="2"/>
        <v>61426.865183038979</v>
      </c>
      <c r="D51" s="13">
        <f t="shared" si="3"/>
        <v>-373.15133741689175</v>
      </c>
      <c r="E51" s="13">
        <f t="shared" si="4"/>
        <v>-286.65870418751518</v>
      </c>
      <c r="F51" s="13">
        <f t="shared" si="5"/>
        <v>-86.492633229376608</v>
      </c>
      <c r="G51" s="13">
        <f>SUM($E$5:E51)</f>
        <v>-13878.485408403476</v>
      </c>
      <c r="H51" s="13">
        <f>SUM($F$5:F51)</f>
        <v>-3659.6274501904304</v>
      </c>
    </row>
    <row r="52" spans="1:8" x14ac:dyDescent="0.25">
      <c r="A52" s="1">
        <f t="shared" si="0"/>
        <v>48</v>
      </c>
      <c r="B52" s="14">
        <f t="shared" ca="1" si="1"/>
        <v>44136</v>
      </c>
      <c r="C52" s="15">
        <f t="shared" si="2"/>
        <v>61340.372549809603</v>
      </c>
      <c r="D52" s="13">
        <f t="shared" si="3"/>
        <v>-373.15133741689175</v>
      </c>
      <c r="E52" s="13">
        <f t="shared" si="4"/>
        <v>-286.25507189911139</v>
      </c>
      <c r="F52" s="13">
        <f t="shared" si="5"/>
        <v>-86.896265517780364</v>
      </c>
      <c r="G52" s="13">
        <f>SUM($E$5:E52)</f>
        <v>-14164.740480302587</v>
      </c>
      <c r="H52" s="13">
        <f>SUM($F$5:F52)</f>
        <v>-3746.5237157082106</v>
      </c>
    </row>
    <row r="53" spans="1:8" x14ac:dyDescent="0.25">
      <c r="A53" s="1">
        <f t="shared" si="0"/>
        <v>49</v>
      </c>
      <c r="B53" s="14">
        <f t="shared" ca="1" si="1"/>
        <v>44166</v>
      </c>
      <c r="C53" s="15">
        <f t="shared" si="2"/>
        <v>61253.476284291821</v>
      </c>
      <c r="D53" s="13">
        <f t="shared" si="3"/>
        <v>-373.15133741689175</v>
      </c>
      <c r="E53" s="13">
        <f t="shared" si="4"/>
        <v>-285.84955599336172</v>
      </c>
      <c r="F53" s="13">
        <f t="shared" si="5"/>
        <v>-87.301781423530002</v>
      </c>
      <c r="G53" s="13">
        <f>SUM($E$5:E53)</f>
        <v>-14450.590036295949</v>
      </c>
      <c r="H53" s="13">
        <f>SUM($F$5:F53)</f>
        <v>-3833.8254971317406</v>
      </c>
    </row>
    <row r="54" spans="1:8" x14ac:dyDescent="0.25">
      <c r="A54" s="1">
        <f t="shared" si="0"/>
        <v>50</v>
      </c>
      <c r="B54" s="14">
        <f t="shared" ca="1" si="1"/>
        <v>44197</v>
      </c>
      <c r="C54" s="15">
        <f t="shared" si="2"/>
        <v>61166.174502868293</v>
      </c>
      <c r="D54" s="13">
        <f t="shared" si="3"/>
        <v>-373.15133741689175</v>
      </c>
      <c r="E54" s="13">
        <f t="shared" si="4"/>
        <v>-285.44214768005196</v>
      </c>
      <c r="F54" s="13">
        <f t="shared" si="5"/>
        <v>-87.709189736839818</v>
      </c>
      <c r="G54" s="13">
        <f>SUM($E$5:E54)</f>
        <v>-14736.032183976002</v>
      </c>
      <c r="H54" s="13">
        <f>SUM($F$5:F54)</f>
        <v>-3921.5346868685806</v>
      </c>
    </row>
    <row r="55" spans="1:8" x14ac:dyDescent="0.25">
      <c r="A55" s="1">
        <f t="shared" si="0"/>
        <v>51</v>
      </c>
      <c r="B55" s="14">
        <f t="shared" ca="1" si="1"/>
        <v>44228</v>
      </c>
      <c r="C55" s="15">
        <f t="shared" si="2"/>
        <v>61078.465313131455</v>
      </c>
      <c r="D55" s="13">
        <f t="shared" si="3"/>
        <v>-373.15133741689175</v>
      </c>
      <c r="E55" s="13">
        <f t="shared" si="4"/>
        <v>-285.03283812794666</v>
      </c>
      <c r="F55" s="13">
        <f t="shared" si="5"/>
        <v>-88.118499288945074</v>
      </c>
      <c r="G55" s="13">
        <f>SUM($E$5:E55)</f>
        <v>-15021.065022103949</v>
      </c>
      <c r="H55" s="13">
        <f>SUM($F$5:F55)</f>
        <v>-4009.6531861575259</v>
      </c>
    </row>
    <row r="56" spans="1:8" x14ac:dyDescent="0.25">
      <c r="A56" s="1">
        <f t="shared" si="0"/>
        <v>52</v>
      </c>
      <c r="B56" s="14">
        <f t="shared" ca="1" si="1"/>
        <v>44256</v>
      </c>
      <c r="C56" s="15">
        <f t="shared" si="2"/>
        <v>60990.346813842509</v>
      </c>
      <c r="D56" s="13">
        <f t="shared" si="3"/>
        <v>-373.15133741689175</v>
      </c>
      <c r="E56" s="13">
        <f t="shared" si="4"/>
        <v>-284.62161846459827</v>
      </c>
      <c r="F56" s="13">
        <f t="shared" si="5"/>
        <v>-88.529718952293479</v>
      </c>
      <c r="G56" s="13">
        <f>SUM($E$5:E56)</f>
        <v>-15305.686640568547</v>
      </c>
      <c r="H56" s="13">
        <f>SUM($F$5:F56)</f>
        <v>-4098.1829051098193</v>
      </c>
    </row>
    <row r="57" spans="1:8" x14ac:dyDescent="0.25">
      <c r="A57" s="1">
        <f t="shared" si="0"/>
        <v>53</v>
      </c>
      <c r="B57" s="14">
        <f t="shared" ca="1" si="1"/>
        <v>44287</v>
      </c>
      <c r="C57" s="15">
        <f t="shared" si="2"/>
        <v>60901.817094890212</v>
      </c>
      <c r="D57" s="13">
        <f t="shared" si="3"/>
        <v>-373.15133741689175</v>
      </c>
      <c r="E57" s="13">
        <f t="shared" si="4"/>
        <v>-284.20847977615426</v>
      </c>
      <c r="F57" s="13">
        <f t="shared" si="5"/>
        <v>-88.942857640737515</v>
      </c>
      <c r="G57" s="13">
        <f>SUM($E$5:E57)</f>
        <v>-15589.895120344701</v>
      </c>
      <c r="H57" s="13">
        <f>SUM($F$5:F57)</f>
        <v>-4187.1257627505565</v>
      </c>
    </row>
    <row r="58" spans="1:8" x14ac:dyDescent="0.25">
      <c r="A58" s="1">
        <f t="shared" si="0"/>
        <v>54</v>
      </c>
      <c r="B58" s="14">
        <f t="shared" ca="1" si="1"/>
        <v>44317</v>
      </c>
      <c r="C58" s="15">
        <f t="shared" si="2"/>
        <v>60812.874237249474</v>
      </c>
      <c r="D58" s="13">
        <f t="shared" si="3"/>
        <v>-373.15133741689175</v>
      </c>
      <c r="E58" s="13">
        <f t="shared" si="4"/>
        <v>-283.7934131071641</v>
      </c>
      <c r="F58" s="13">
        <f t="shared" si="5"/>
        <v>-89.357924309727622</v>
      </c>
      <c r="G58" s="13">
        <f>SUM($E$5:E58)</f>
        <v>-15873.688533451865</v>
      </c>
      <c r="H58" s="13">
        <f>SUM($F$5:F58)</f>
        <v>-4276.483687060284</v>
      </c>
    </row>
    <row r="59" spans="1:8" x14ac:dyDescent="0.25">
      <c r="A59" s="1">
        <f t="shared" si="0"/>
        <v>55</v>
      </c>
      <c r="B59" s="14">
        <f t="shared" ca="1" si="1"/>
        <v>44348</v>
      </c>
      <c r="C59" s="15">
        <f t="shared" si="2"/>
        <v>60723.516312939748</v>
      </c>
      <c r="D59" s="13">
        <f t="shared" si="3"/>
        <v>-373.15133741689175</v>
      </c>
      <c r="E59" s="13">
        <f t="shared" si="4"/>
        <v>-283.37640946038539</v>
      </c>
      <c r="F59" s="13">
        <f t="shared" si="5"/>
        <v>-89.774927956506346</v>
      </c>
      <c r="G59" s="13">
        <f>SUM($E$5:E59)</f>
        <v>-16157.06494291225</v>
      </c>
      <c r="H59" s="13">
        <f>SUM($F$5:F59)</f>
        <v>-4366.2586150167899</v>
      </c>
    </row>
    <row r="60" spans="1:8" x14ac:dyDescent="0.25">
      <c r="A60" s="1">
        <f t="shared" si="0"/>
        <v>56</v>
      </c>
      <c r="B60" s="14">
        <f t="shared" ca="1" si="1"/>
        <v>44378</v>
      </c>
      <c r="C60" s="15">
        <f t="shared" si="2"/>
        <v>60633.741384983245</v>
      </c>
      <c r="D60" s="13">
        <f t="shared" si="3"/>
        <v>-373.15133741689175</v>
      </c>
      <c r="E60" s="13">
        <f t="shared" si="4"/>
        <v>-282.95745979658835</v>
      </c>
      <c r="F60" s="13">
        <f t="shared" si="5"/>
        <v>-90.193877620303368</v>
      </c>
      <c r="G60" s="13">
        <f>SUM($E$5:E60)</f>
        <v>-16440.022402708837</v>
      </c>
      <c r="H60" s="13">
        <f>SUM($F$5:F60)</f>
        <v>-4456.4524926370932</v>
      </c>
    </row>
    <row r="61" spans="1:8" x14ac:dyDescent="0.25">
      <c r="A61" s="1">
        <f t="shared" si="0"/>
        <v>57</v>
      </c>
      <c r="B61" s="14">
        <f t="shared" ca="1" si="1"/>
        <v>44409</v>
      </c>
      <c r="C61" s="15">
        <f t="shared" si="2"/>
        <v>60543.547507362942</v>
      </c>
      <c r="D61" s="13">
        <f t="shared" si="3"/>
        <v>-373.15133741689175</v>
      </c>
      <c r="E61" s="13">
        <f t="shared" si="4"/>
        <v>-282.53655503436028</v>
      </c>
      <c r="F61" s="13">
        <f t="shared" si="5"/>
        <v>-90.614782382531473</v>
      </c>
      <c r="G61" s="13">
        <f>SUM($E$5:E61)</f>
        <v>-16722.558957743197</v>
      </c>
      <c r="H61" s="13">
        <f>SUM($F$5:F61)</f>
        <v>-4547.0672750196245</v>
      </c>
    </row>
    <row r="62" spans="1:8" x14ac:dyDescent="0.25">
      <c r="A62" s="1">
        <f t="shared" si="0"/>
        <v>58</v>
      </c>
      <c r="B62" s="14">
        <f t="shared" ca="1" si="1"/>
        <v>44440</v>
      </c>
      <c r="C62" s="15">
        <f t="shared" si="2"/>
        <v>60452.932724980412</v>
      </c>
      <c r="D62" s="13">
        <f t="shared" si="3"/>
        <v>-373.15133741689175</v>
      </c>
      <c r="E62" s="13">
        <f t="shared" si="4"/>
        <v>-282.11368604990849</v>
      </c>
      <c r="F62" s="13">
        <f t="shared" si="5"/>
        <v>-91.037651366983255</v>
      </c>
      <c r="G62" s="13">
        <f>SUM($E$5:E62)</f>
        <v>-17004.672643793107</v>
      </c>
      <c r="H62" s="13">
        <f>SUM($F$5:F62)</f>
        <v>-4638.104926386608</v>
      </c>
    </row>
    <row r="63" spans="1:8" x14ac:dyDescent="0.25">
      <c r="A63" s="1">
        <f t="shared" si="0"/>
        <v>59</v>
      </c>
      <c r="B63" s="14">
        <f t="shared" ca="1" si="1"/>
        <v>44470</v>
      </c>
      <c r="C63" s="15">
        <f t="shared" si="2"/>
        <v>60361.895073613428</v>
      </c>
      <c r="D63" s="13">
        <f t="shared" si="3"/>
        <v>-373.15133741689175</v>
      </c>
      <c r="E63" s="13">
        <f t="shared" si="4"/>
        <v>-281.68884367686258</v>
      </c>
      <c r="F63" s="13">
        <f t="shared" si="5"/>
        <v>-91.462493740029203</v>
      </c>
      <c r="G63" s="13">
        <f>SUM($E$5:E63)</f>
        <v>-17286.361487469971</v>
      </c>
      <c r="H63" s="13">
        <f>SUM($F$5:F63)</f>
        <v>-4729.5674201266374</v>
      </c>
    </row>
    <row r="64" spans="1:8" x14ac:dyDescent="0.25">
      <c r="A64" s="1">
        <f t="shared" si="0"/>
        <v>60</v>
      </c>
      <c r="B64" s="14">
        <f t="shared" ca="1" si="1"/>
        <v>44501</v>
      </c>
      <c r="C64" s="15">
        <f t="shared" si="2"/>
        <v>60270.432579873399</v>
      </c>
      <c r="D64" s="13">
        <f t="shared" si="3"/>
        <v>-373.15133741689175</v>
      </c>
      <c r="E64" s="13">
        <f t="shared" si="4"/>
        <v>-281.26201870607571</v>
      </c>
      <c r="F64" s="13">
        <f t="shared" si="5"/>
        <v>-91.889318710815999</v>
      </c>
      <c r="G64" s="13">
        <f>SUM($E$5:E64)</f>
        <v>-17567.623506176045</v>
      </c>
      <c r="H64" s="13">
        <f>SUM($F$5:F64)</f>
        <v>-4821.4567388374535</v>
      </c>
    </row>
    <row r="65" spans="1:8" x14ac:dyDescent="0.25">
      <c r="A65" s="1">
        <f t="shared" si="0"/>
        <v>61</v>
      </c>
      <c r="B65" s="14">
        <f t="shared" ca="1" si="1"/>
        <v>44531</v>
      </c>
      <c r="C65" s="15">
        <f t="shared" si="2"/>
        <v>60178.54326116258</v>
      </c>
      <c r="D65" s="13">
        <f t="shared" si="3"/>
        <v>-373.15133741689175</v>
      </c>
      <c r="E65" s="13">
        <f t="shared" si="4"/>
        <v>-280.83320188542524</v>
      </c>
      <c r="F65" s="13">
        <f t="shared" si="5"/>
        <v>-92.318135531466453</v>
      </c>
      <c r="G65" s="13">
        <f>SUM($E$5:E65)</f>
        <v>-17848.456708061469</v>
      </c>
      <c r="H65" s="13">
        <f>SUM($F$5:F65)</f>
        <v>-4913.7748743689199</v>
      </c>
    </row>
    <row r="66" spans="1:8" x14ac:dyDescent="0.25">
      <c r="A66" s="1">
        <f t="shared" si="0"/>
        <v>62</v>
      </c>
      <c r="B66" s="14">
        <f t="shared" ca="1" si="1"/>
        <v>44562</v>
      </c>
      <c r="C66" s="15">
        <f t="shared" si="2"/>
        <v>60086.225125631114</v>
      </c>
      <c r="D66" s="13">
        <f t="shared" si="3"/>
        <v>-373.15133741689175</v>
      </c>
      <c r="E66" s="13">
        <f t="shared" si="4"/>
        <v>-280.40238391961174</v>
      </c>
      <c r="F66" s="13">
        <f t="shared" si="5"/>
        <v>-92.748953497279985</v>
      </c>
      <c r="G66" s="13">
        <f>SUM($E$5:E66)</f>
        <v>-18128.859091981081</v>
      </c>
      <c r="H66" s="13">
        <f>SUM($F$5:F66)</f>
        <v>-5006.5238278662</v>
      </c>
    </row>
    <row r="67" spans="1:8" x14ac:dyDescent="0.25">
      <c r="A67" s="1">
        <f t="shared" si="0"/>
        <v>63</v>
      </c>
      <c r="B67" s="14">
        <f t="shared" ca="1" si="1"/>
        <v>44593</v>
      </c>
      <c r="C67" s="15">
        <f t="shared" si="2"/>
        <v>59993.476172133836</v>
      </c>
      <c r="D67" s="13">
        <f t="shared" si="3"/>
        <v>-373.15133741689175</v>
      </c>
      <c r="E67" s="13">
        <f t="shared" si="4"/>
        <v>-279.96955546995775</v>
      </c>
      <c r="F67" s="13">
        <f t="shared" si="5"/>
        <v>-93.181781946933967</v>
      </c>
      <c r="G67" s="13">
        <f>SUM($E$5:E67)</f>
        <v>-18408.828647451039</v>
      </c>
      <c r="H67" s="13">
        <f>SUM($F$5:F67)</f>
        <v>-5099.7056098131343</v>
      </c>
    </row>
    <row r="68" spans="1:8" x14ac:dyDescent="0.25">
      <c r="A68" s="1">
        <f t="shared" si="0"/>
        <v>64</v>
      </c>
      <c r="B68" s="14">
        <f t="shared" ca="1" si="1"/>
        <v>44621</v>
      </c>
      <c r="C68" s="15">
        <f t="shared" si="2"/>
        <v>59900.2943901869</v>
      </c>
      <c r="D68" s="13">
        <f t="shared" si="3"/>
        <v>-373.15133741689175</v>
      </c>
      <c r="E68" s="13">
        <f t="shared" si="4"/>
        <v>-279.53470715420548</v>
      </c>
      <c r="F68" s="13">
        <f t="shared" si="5"/>
        <v>-93.6166302626863</v>
      </c>
      <c r="G68" s="13">
        <f>SUM($E$5:E68)</f>
        <v>-18688.363354605244</v>
      </c>
      <c r="H68" s="13">
        <f>SUM($F$5:F68)</f>
        <v>-5193.3222400758204</v>
      </c>
    </row>
    <row r="69" spans="1:8" x14ac:dyDescent="0.25">
      <c r="A69" s="1">
        <f t="shared" ref="A69:A132" si="6">ROW(A65)</f>
        <v>65</v>
      </c>
      <c r="B69" s="14">
        <f t="shared" ca="1" si="1"/>
        <v>44652</v>
      </c>
      <c r="C69" s="15">
        <f t="shared" si="2"/>
        <v>59806.677759924212</v>
      </c>
      <c r="D69" s="13">
        <f t="shared" si="3"/>
        <v>-373.15133741689175</v>
      </c>
      <c r="E69" s="13">
        <f t="shared" si="4"/>
        <v>-279.09782954631282</v>
      </c>
      <c r="F69" s="13">
        <f t="shared" si="5"/>
        <v>-94.053507870578855</v>
      </c>
      <c r="G69" s="13">
        <f>SUM($E$5:E69)</f>
        <v>-18967.461184151558</v>
      </c>
      <c r="H69" s="13">
        <f>SUM($F$5:F69)</f>
        <v>-5287.3757479463993</v>
      </c>
    </row>
    <row r="70" spans="1:8" x14ac:dyDescent="0.25">
      <c r="A70" s="1">
        <f t="shared" si="6"/>
        <v>66</v>
      </c>
      <c r="B70" s="14">
        <f t="shared" ref="B70:B133" ca="1" si="7">DATE(YEAR(NOW()),MONTH(NOW())+A70,1)</f>
        <v>44682</v>
      </c>
      <c r="C70" s="15">
        <f t="shared" si="2"/>
        <v>59712.624252053633</v>
      </c>
      <c r="D70" s="13">
        <f t="shared" si="3"/>
        <v>-373.15133741689175</v>
      </c>
      <c r="E70" s="13">
        <f t="shared" si="4"/>
        <v>-278.65891317625017</v>
      </c>
      <c r="F70" s="13">
        <f t="shared" si="5"/>
        <v>-94.492424240641569</v>
      </c>
      <c r="G70" s="13">
        <f>SUM($E$5:E70)</f>
        <v>-19246.120097327806</v>
      </c>
      <c r="H70" s="13">
        <f>SUM($F$5:F70)</f>
        <v>-5381.8681721870407</v>
      </c>
    </row>
    <row r="71" spans="1:8" x14ac:dyDescent="0.25">
      <c r="A71" s="1">
        <f t="shared" si="6"/>
        <v>67</v>
      </c>
      <c r="B71" s="14">
        <f t="shared" ca="1" si="7"/>
        <v>44713</v>
      </c>
      <c r="C71" s="15">
        <f t="shared" ref="C71:C134" si="8">C70+F70</f>
        <v>59618.131827812991</v>
      </c>
      <c r="D71" s="13">
        <f t="shared" ref="D71:D134" si="9">$F$2</f>
        <v>-373.15133741689175</v>
      </c>
      <c r="E71" s="13">
        <f t="shared" ref="E71:E134" si="10">IPMT($D$2/12,A71,$E$2*12,$C$2)</f>
        <v>-278.21794852979383</v>
      </c>
      <c r="F71" s="13">
        <f t="shared" ref="F71:F134" si="11">PPMT($D$2/12,A71,$E$2*12,$C$2)</f>
        <v>-94.933388887097877</v>
      </c>
      <c r="G71" s="13">
        <f>SUM($E$5:E71)</f>
        <v>-19524.338045857599</v>
      </c>
      <c r="H71" s="13">
        <f>SUM($F$5:F71)</f>
        <v>-5476.8015610741386</v>
      </c>
    </row>
    <row r="72" spans="1:8" x14ac:dyDescent="0.25">
      <c r="A72" s="1">
        <f t="shared" si="6"/>
        <v>68</v>
      </c>
      <c r="B72" s="14">
        <f t="shared" ca="1" si="7"/>
        <v>44743</v>
      </c>
      <c r="C72" s="15">
        <f t="shared" si="8"/>
        <v>59523.198438925894</v>
      </c>
      <c r="D72" s="13">
        <f t="shared" si="9"/>
        <v>-373.15133741689175</v>
      </c>
      <c r="E72" s="13">
        <f t="shared" si="10"/>
        <v>-277.77492604832071</v>
      </c>
      <c r="F72" s="13">
        <f t="shared" si="11"/>
        <v>-95.376411368571013</v>
      </c>
      <c r="G72" s="13">
        <f>SUM($E$5:E72)</f>
        <v>-19802.112971905921</v>
      </c>
      <c r="H72" s="13">
        <f>SUM($F$5:F72)</f>
        <v>-5572.1779724427097</v>
      </c>
    </row>
    <row r="73" spans="1:8" x14ac:dyDescent="0.25">
      <c r="A73" s="1">
        <f t="shared" si="6"/>
        <v>69</v>
      </c>
      <c r="B73" s="14">
        <f t="shared" ca="1" si="7"/>
        <v>44774</v>
      </c>
      <c r="C73" s="15">
        <f t="shared" si="8"/>
        <v>59427.822027557326</v>
      </c>
      <c r="D73" s="13">
        <f t="shared" si="9"/>
        <v>-373.15133741689175</v>
      </c>
      <c r="E73" s="13">
        <f t="shared" si="10"/>
        <v>-277.32983612860073</v>
      </c>
      <c r="F73" s="13">
        <f t="shared" si="11"/>
        <v>-95.821501288291003</v>
      </c>
      <c r="G73" s="13">
        <f>SUM($E$5:E73)</f>
        <v>-20079.442808034521</v>
      </c>
      <c r="H73" s="13">
        <f>SUM($F$5:F73)</f>
        <v>-5667.9994737310008</v>
      </c>
    </row>
    <row r="74" spans="1:8" x14ac:dyDescent="0.25">
      <c r="A74" s="1">
        <f t="shared" si="6"/>
        <v>70</v>
      </c>
      <c r="B74" s="14">
        <f t="shared" ca="1" si="7"/>
        <v>44805</v>
      </c>
      <c r="C74" s="15">
        <f t="shared" si="8"/>
        <v>59332.000526269032</v>
      </c>
      <c r="D74" s="13">
        <f t="shared" si="9"/>
        <v>-373.15133741689175</v>
      </c>
      <c r="E74" s="13">
        <f t="shared" si="10"/>
        <v>-276.88266912258871</v>
      </c>
      <c r="F74" s="13">
        <f t="shared" si="11"/>
        <v>-96.268668294303012</v>
      </c>
      <c r="G74" s="13">
        <f>SUM($E$5:E74)</f>
        <v>-20356.325477157108</v>
      </c>
      <c r="H74" s="13">
        <f>SUM($F$5:F74)</f>
        <v>-5764.2681420253039</v>
      </c>
    </row>
    <row r="75" spans="1:8" x14ac:dyDescent="0.25">
      <c r="A75" s="1">
        <f t="shared" si="6"/>
        <v>71</v>
      </c>
      <c r="B75" s="14">
        <f t="shared" ca="1" si="7"/>
        <v>44835</v>
      </c>
      <c r="C75" s="15">
        <f t="shared" si="8"/>
        <v>59235.73185797473</v>
      </c>
      <c r="D75" s="13">
        <f t="shared" si="9"/>
        <v>-373.15133741689175</v>
      </c>
      <c r="E75" s="13">
        <f t="shared" si="10"/>
        <v>-276.43341533721531</v>
      </c>
      <c r="F75" s="13">
        <f t="shared" si="11"/>
        <v>-96.717922079676427</v>
      </c>
      <c r="G75" s="13">
        <f>SUM($E$5:E75)</f>
        <v>-20632.758892494323</v>
      </c>
      <c r="H75" s="13">
        <f>SUM($F$5:F75)</f>
        <v>-5860.98606410498</v>
      </c>
    </row>
    <row r="76" spans="1:8" x14ac:dyDescent="0.25">
      <c r="A76" s="1">
        <f t="shared" si="6"/>
        <v>72</v>
      </c>
      <c r="B76" s="14">
        <f t="shared" ca="1" si="7"/>
        <v>44866</v>
      </c>
      <c r="C76" s="15">
        <f t="shared" si="8"/>
        <v>59139.013935895055</v>
      </c>
      <c r="D76" s="13">
        <f t="shared" si="9"/>
        <v>-373.15133741689175</v>
      </c>
      <c r="E76" s="13">
        <f t="shared" si="10"/>
        <v>-275.9820650341768</v>
      </c>
      <c r="F76" s="13">
        <f t="shared" si="11"/>
        <v>-97.169272382714951</v>
      </c>
      <c r="G76" s="13">
        <f>SUM($E$5:E76)</f>
        <v>-20908.740957528498</v>
      </c>
      <c r="H76" s="13">
        <f>SUM($F$5:F76)</f>
        <v>-5958.1553364876945</v>
      </c>
    </row>
    <row r="77" spans="1:8" x14ac:dyDescent="0.25">
      <c r="A77" s="1">
        <f t="shared" si="6"/>
        <v>73</v>
      </c>
      <c r="B77" s="14">
        <f t="shared" ca="1" si="7"/>
        <v>44896</v>
      </c>
      <c r="C77" s="15">
        <f t="shared" si="8"/>
        <v>59041.84466351234</v>
      </c>
      <c r="D77" s="13">
        <f t="shared" si="9"/>
        <v>-373.15133741689175</v>
      </c>
      <c r="E77" s="13">
        <f t="shared" si="10"/>
        <v>-275.52860842972416</v>
      </c>
      <c r="F77" s="13">
        <f t="shared" si="11"/>
        <v>-97.622728987167591</v>
      </c>
      <c r="G77" s="13">
        <f>SUM($E$5:E77)</f>
        <v>-21184.269565958224</v>
      </c>
      <c r="H77" s="13">
        <f>SUM($F$5:F77)</f>
        <v>-6055.7780654748622</v>
      </c>
    </row>
    <row r="78" spans="1:8" x14ac:dyDescent="0.25">
      <c r="A78" s="1">
        <f t="shared" si="6"/>
        <v>74</v>
      </c>
      <c r="B78" s="14">
        <f t="shared" ca="1" si="7"/>
        <v>44927</v>
      </c>
      <c r="C78" s="15">
        <f t="shared" si="8"/>
        <v>58944.221934525172</v>
      </c>
      <c r="D78" s="13">
        <f t="shared" si="9"/>
        <v>-373.15133741689175</v>
      </c>
      <c r="E78" s="13">
        <f t="shared" si="10"/>
        <v>-275.07303569445071</v>
      </c>
      <c r="F78" s="13">
        <f t="shared" si="11"/>
        <v>-98.078301722441068</v>
      </c>
      <c r="G78" s="13">
        <f>SUM($E$5:E78)</f>
        <v>-21459.342601652676</v>
      </c>
      <c r="H78" s="13">
        <f>SUM($F$5:F78)</f>
        <v>-6153.8563671973034</v>
      </c>
    </row>
    <row r="79" spans="1:8" x14ac:dyDescent="0.25">
      <c r="A79" s="1">
        <f t="shared" si="6"/>
        <v>75</v>
      </c>
      <c r="B79" s="14">
        <f t="shared" ca="1" si="7"/>
        <v>44958</v>
      </c>
      <c r="C79" s="15">
        <f t="shared" si="8"/>
        <v>58846.143632802734</v>
      </c>
      <c r="D79" s="13">
        <f t="shared" si="9"/>
        <v>-373.15133741689175</v>
      </c>
      <c r="E79" s="13">
        <f t="shared" si="10"/>
        <v>-274.61533695307929</v>
      </c>
      <c r="F79" s="13">
        <f t="shared" si="11"/>
        <v>-98.536000463812442</v>
      </c>
      <c r="G79" s="13">
        <f>SUM($E$5:E79)</f>
        <v>-21733.957938605756</v>
      </c>
      <c r="H79" s="13">
        <f>SUM($F$5:F79)</f>
        <v>-6252.3923676611157</v>
      </c>
    </row>
    <row r="80" spans="1:8" x14ac:dyDescent="0.25">
      <c r="A80" s="1">
        <f t="shared" si="6"/>
        <v>76</v>
      </c>
      <c r="B80" s="14">
        <f t="shared" ca="1" si="7"/>
        <v>44986</v>
      </c>
      <c r="C80" s="15">
        <f t="shared" si="8"/>
        <v>58747.607632338921</v>
      </c>
      <c r="D80" s="13">
        <f t="shared" si="9"/>
        <v>-373.15133741689175</v>
      </c>
      <c r="E80" s="13">
        <f t="shared" si="10"/>
        <v>-274.15550228424814</v>
      </c>
      <c r="F80" s="13">
        <f t="shared" si="11"/>
        <v>-98.995835132643592</v>
      </c>
      <c r="G80" s="13">
        <f>SUM($E$5:E80)</f>
        <v>-22008.113440890003</v>
      </c>
      <c r="H80" s="13">
        <f>SUM($F$5:F80)</f>
        <v>-6351.3882027937589</v>
      </c>
    </row>
    <row r="81" spans="1:8" x14ac:dyDescent="0.25">
      <c r="A81" s="1">
        <f t="shared" si="6"/>
        <v>77</v>
      </c>
      <c r="B81" s="14">
        <f t="shared" ca="1" si="7"/>
        <v>45017</v>
      </c>
      <c r="C81" s="15">
        <f t="shared" si="8"/>
        <v>58648.611797206278</v>
      </c>
      <c r="D81" s="13">
        <f t="shared" si="9"/>
        <v>-373.15133741689175</v>
      </c>
      <c r="E81" s="13">
        <f t="shared" si="10"/>
        <v>-273.69352172029579</v>
      </c>
      <c r="F81" s="13">
        <f t="shared" si="11"/>
        <v>-99.457815696595887</v>
      </c>
      <c r="G81" s="13">
        <f>SUM($E$5:E81)</f>
        <v>-22281.806962610299</v>
      </c>
      <c r="H81" s="13">
        <f>SUM($F$5:F81)</f>
        <v>-6450.8460184903552</v>
      </c>
    </row>
    <row r="82" spans="1:8" x14ac:dyDescent="0.25">
      <c r="A82" s="1">
        <f t="shared" si="6"/>
        <v>78</v>
      </c>
      <c r="B82" s="14">
        <f t="shared" ca="1" si="7"/>
        <v>45047</v>
      </c>
      <c r="C82" s="15">
        <f t="shared" si="8"/>
        <v>58549.153981509684</v>
      </c>
      <c r="D82" s="13">
        <f t="shared" si="9"/>
        <v>-373.15133741689175</v>
      </c>
      <c r="E82" s="13">
        <f t="shared" si="10"/>
        <v>-273.22938524704506</v>
      </c>
      <c r="F82" s="13">
        <f t="shared" si="11"/>
        <v>-99.921952169846691</v>
      </c>
      <c r="G82" s="13">
        <f>SUM($E$5:E82)</f>
        <v>-22555.036347857345</v>
      </c>
      <c r="H82" s="13">
        <f>SUM($F$5:F82)</f>
        <v>-6550.7679706602021</v>
      </c>
    </row>
    <row r="83" spans="1:8" x14ac:dyDescent="0.25">
      <c r="A83" s="1">
        <f t="shared" si="6"/>
        <v>79</v>
      </c>
      <c r="B83" s="14">
        <f t="shared" ca="1" si="7"/>
        <v>45078</v>
      </c>
      <c r="C83" s="15">
        <f t="shared" si="8"/>
        <v>58449.232029339837</v>
      </c>
      <c r="D83" s="13">
        <f t="shared" si="9"/>
        <v>-373.15133741689175</v>
      </c>
      <c r="E83" s="13">
        <f t="shared" si="10"/>
        <v>-272.76308280358575</v>
      </c>
      <c r="F83" s="13">
        <f t="shared" si="11"/>
        <v>-100.38825461330597</v>
      </c>
      <c r="G83" s="13">
        <f>SUM($E$5:E83)</f>
        <v>-22827.799430660933</v>
      </c>
      <c r="H83" s="13">
        <f>SUM($F$5:F83)</f>
        <v>-6651.1562252735084</v>
      </c>
    </row>
    <row r="84" spans="1:8" x14ac:dyDescent="0.25">
      <c r="A84" s="1">
        <f t="shared" si="6"/>
        <v>80</v>
      </c>
      <c r="B84" s="14">
        <f t="shared" ca="1" si="7"/>
        <v>45108</v>
      </c>
      <c r="C84" s="15">
        <f t="shared" si="8"/>
        <v>58348.843774726534</v>
      </c>
      <c r="D84" s="13">
        <f t="shared" si="9"/>
        <v>-373.15133741689175</v>
      </c>
      <c r="E84" s="13">
        <f t="shared" si="10"/>
        <v>-272.29460428205704</v>
      </c>
      <c r="F84" s="13">
        <f t="shared" si="11"/>
        <v>-100.85673313483473</v>
      </c>
      <c r="G84" s="13">
        <f>SUM($E$5:E84)</f>
        <v>-23100.094034942991</v>
      </c>
      <c r="H84" s="13">
        <f>SUM($F$5:F84)</f>
        <v>-6752.0129584083434</v>
      </c>
    </row>
    <row r="85" spans="1:8" x14ac:dyDescent="0.25">
      <c r="A85" s="1">
        <f t="shared" si="6"/>
        <v>81</v>
      </c>
      <c r="B85" s="14">
        <f t="shared" ca="1" si="7"/>
        <v>45139</v>
      </c>
      <c r="C85" s="15">
        <f t="shared" si="8"/>
        <v>58247.987041591703</v>
      </c>
      <c r="D85" s="13">
        <f t="shared" si="9"/>
        <v>-373.15133741689175</v>
      </c>
      <c r="E85" s="13">
        <f t="shared" si="10"/>
        <v>-271.82393952742774</v>
      </c>
      <c r="F85" s="13">
        <f t="shared" si="11"/>
        <v>-101.32739788946395</v>
      </c>
      <c r="G85" s="13">
        <f>SUM($E$5:E85)</f>
        <v>-23371.91797447042</v>
      </c>
      <c r="H85" s="13">
        <f>SUM($F$5:F85)</f>
        <v>-6853.3403562978074</v>
      </c>
    </row>
    <row r="86" spans="1:8" x14ac:dyDescent="0.25">
      <c r="A86" s="1">
        <f t="shared" si="6"/>
        <v>82</v>
      </c>
      <c r="B86" s="14">
        <f t="shared" ca="1" si="7"/>
        <v>45170</v>
      </c>
      <c r="C86" s="15">
        <f t="shared" si="8"/>
        <v>58146.659643702238</v>
      </c>
      <c r="D86" s="13">
        <f t="shared" si="9"/>
        <v>-373.15133741689175</v>
      </c>
      <c r="E86" s="13">
        <f t="shared" si="10"/>
        <v>-271.35107833727693</v>
      </c>
      <c r="F86" s="13">
        <f t="shared" si="11"/>
        <v>-101.8002590796148</v>
      </c>
      <c r="G86" s="13">
        <f>SUM($E$5:E86)</f>
        <v>-23643.269052807696</v>
      </c>
      <c r="H86" s="13">
        <f>SUM($F$5:F86)</f>
        <v>-6955.1406153774224</v>
      </c>
    </row>
    <row r="87" spans="1:8" x14ac:dyDescent="0.25">
      <c r="A87" s="1">
        <f t="shared" si="6"/>
        <v>83</v>
      </c>
      <c r="B87" s="14">
        <f t="shared" ca="1" si="7"/>
        <v>45200</v>
      </c>
      <c r="C87" s="15">
        <f t="shared" si="8"/>
        <v>58044.859384622621</v>
      </c>
      <c r="D87" s="13">
        <f t="shared" si="9"/>
        <v>-373.15133741689175</v>
      </c>
      <c r="E87" s="13">
        <f t="shared" si="10"/>
        <v>-270.87601046157209</v>
      </c>
      <c r="F87" s="13">
        <f t="shared" si="11"/>
        <v>-102.27532695531966</v>
      </c>
      <c r="G87" s="13">
        <f>SUM($E$5:E87)</f>
        <v>-23914.145063269269</v>
      </c>
      <c r="H87" s="13">
        <f>SUM($F$5:F87)</f>
        <v>-7057.4159423327419</v>
      </c>
    </row>
    <row r="88" spans="1:8" x14ac:dyDescent="0.25">
      <c r="A88" s="1">
        <f t="shared" si="6"/>
        <v>84</v>
      </c>
      <c r="B88" s="14">
        <f t="shared" ca="1" si="7"/>
        <v>45231</v>
      </c>
      <c r="C88" s="15">
        <f t="shared" si="8"/>
        <v>57942.5840576673</v>
      </c>
      <c r="D88" s="13">
        <f t="shared" si="9"/>
        <v>-373.15133741689175</v>
      </c>
      <c r="E88" s="13">
        <f t="shared" si="10"/>
        <v>-270.39872560244731</v>
      </c>
      <c r="F88" s="13">
        <f t="shared" si="11"/>
        <v>-102.75261181444449</v>
      </c>
      <c r="G88" s="13">
        <f>SUM($E$5:E88)</f>
        <v>-24184.543788871717</v>
      </c>
      <c r="H88" s="13">
        <f>SUM($F$5:F88)</f>
        <v>-7160.1685541471861</v>
      </c>
    </row>
    <row r="89" spans="1:8" x14ac:dyDescent="0.25">
      <c r="A89" s="1">
        <f t="shared" si="6"/>
        <v>85</v>
      </c>
      <c r="B89" s="14">
        <f t="shared" ca="1" si="7"/>
        <v>45261</v>
      </c>
      <c r="C89" s="15">
        <f t="shared" si="8"/>
        <v>57839.831445852855</v>
      </c>
      <c r="D89" s="13">
        <f t="shared" si="9"/>
        <v>-373.15133741689175</v>
      </c>
      <c r="E89" s="13">
        <f t="shared" si="10"/>
        <v>-269.91921341397983</v>
      </c>
      <c r="F89" s="13">
        <f t="shared" si="11"/>
        <v>-103.23212400291192</v>
      </c>
      <c r="G89" s="13">
        <f>SUM($E$5:E89)</f>
        <v>-24454.463002285698</v>
      </c>
      <c r="H89" s="13">
        <f>SUM($F$5:F89)</f>
        <v>-7263.4006781500984</v>
      </c>
    </row>
    <row r="90" spans="1:8" x14ac:dyDescent="0.25">
      <c r="A90" s="1">
        <f t="shared" si="6"/>
        <v>86</v>
      </c>
      <c r="B90" s="14">
        <f t="shared" ca="1" si="7"/>
        <v>45292</v>
      </c>
      <c r="C90" s="15">
        <f t="shared" si="8"/>
        <v>57736.599321849942</v>
      </c>
      <c r="D90" s="13">
        <f t="shared" si="9"/>
        <v>-373.15133741689175</v>
      </c>
      <c r="E90" s="13">
        <f t="shared" si="10"/>
        <v>-269.43746350196625</v>
      </c>
      <c r="F90" s="13">
        <f t="shared" si="11"/>
        <v>-103.71387391492549</v>
      </c>
      <c r="G90" s="13">
        <f>SUM($E$5:E90)</f>
        <v>-24723.900465787665</v>
      </c>
      <c r="H90" s="13">
        <f>SUM($F$5:F90)</f>
        <v>-7367.1145520650243</v>
      </c>
    </row>
    <row r="91" spans="1:8" x14ac:dyDescent="0.25">
      <c r="A91" s="1">
        <f t="shared" si="6"/>
        <v>87</v>
      </c>
      <c r="B91" s="14">
        <f t="shared" ca="1" si="7"/>
        <v>45323</v>
      </c>
      <c r="C91" s="15">
        <f t="shared" si="8"/>
        <v>57632.885447935019</v>
      </c>
      <c r="D91" s="13">
        <f t="shared" si="9"/>
        <v>-373.15133741689175</v>
      </c>
      <c r="E91" s="13">
        <f t="shared" si="10"/>
        <v>-268.95346542369657</v>
      </c>
      <c r="F91" s="13">
        <f t="shared" si="11"/>
        <v>-104.19787199319515</v>
      </c>
      <c r="G91" s="13">
        <f>SUM($E$5:E91)</f>
        <v>-24992.853931211361</v>
      </c>
      <c r="H91" s="13">
        <f>SUM($F$5:F91)</f>
        <v>-7471.3124240582192</v>
      </c>
    </row>
    <row r="92" spans="1:8" x14ac:dyDescent="0.25">
      <c r="A92" s="1">
        <f t="shared" si="6"/>
        <v>88</v>
      </c>
      <c r="B92" s="14">
        <f t="shared" ca="1" si="7"/>
        <v>45352</v>
      </c>
      <c r="C92" s="15">
        <f t="shared" si="8"/>
        <v>57528.687575941825</v>
      </c>
      <c r="D92" s="13">
        <f t="shared" si="9"/>
        <v>-373.15133741689175</v>
      </c>
      <c r="E92" s="13">
        <f t="shared" si="10"/>
        <v>-268.46720868772832</v>
      </c>
      <c r="F92" s="13">
        <f t="shared" si="11"/>
        <v>-104.68412872916339</v>
      </c>
      <c r="G92" s="13">
        <f>SUM($E$5:E92)</f>
        <v>-25261.32113989909</v>
      </c>
      <c r="H92" s="13">
        <f>SUM($F$5:F92)</f>
        <v>-7575.9965527873828</v>
      </c>
    </row>
    <row r="93" spans="1:8" x14ac:dyDescent="0.25">
      <c r="A93" s="1">
        <f t="shared" si="6"/>
        <v>89</v>
      </c>
      <c r="B93" s="14">
        <f t="shared" ca="1" si="7"/>
        <v>45383</v>
      </c>
      <c r="C93" s="15">
        <f t="shared" si="8"/>
        <v>57424.003447212664</v>
      </c>
      <c r="D93" s="13">
        <f t="shared" si="9"/>
        <v>-373.15133741689175</v>
      </c>
      <c r="E93" s="13">
        <f t="shared" si="10"/>
        <v>-267.97868275365892</v>
      </c>
      <c r="F93" s="13">
        <f t="shared" si="11"/>
        <v>-105.17265466323281</v>
      </c>
      <c r="G93" s="13">
        <f>SUM($E$5:E93)</f>
        <v>-25529.299822652749</v>
      </c>
      <c r="H93" s="13">
        <f>SUM($F$5:F93)</f>
        <v>-7681.1692074506154</v>
      </c>
    </row>
    <row r="94" spans="1:8" x14ac:dyDescent="0.25">
      <c r="A94" s="1">
        <f t="shared" si="6"/>
        <v>90</v>
      </c>
      <c r="B94" s="14">
        <f t="shared" ca="1" si="7"/>
        <v>45413</v>
      </c>
      <c r="C94" s="15">
        <f t="shared" si="8"/>
        <v>57318.83079254943</v>
      </c>
      <c r="D94" s="13">
        <f t="shared" si="9"/>
        <v>-373.15133741689175</v>
      </c>
      <c r="E94" s="13">
        <f t="shared" si="10"/>
        <v>-267.48787703189714</v>
      </c>
      <c r="F94" s="13">
        <f t="shared" si="11"/>
        <v>-105.66346038499456</v>
      </c>
      <c r="G94" s="13">
        <f>SUM($E$5:E94)</f>
        <v>-25796.787699684646</v>
      </c>
      <c r="H94" s="13">
        <f>SUM($F$5:F94)</f>
        <v>-7786.8326678356098</v>
      </c>
    </row>
    <row r="95" spans="1:8" x14ac:dyDescent="0.25">
      <c r="A95" s="1">
        <f t="shared" si="6"/>
        <v>91</v>
      </c>
      <c r="B95" s="14">
        <f t="shared" ca="1" si="7"/>
        <v>45444</v>
      </c>
      <c r="C95" s="15">
        <f t="shared" si="8"/>
        <v>57213.167332164434</v>
      </c>
      <c r="D95" s="13">
        <f t="shared" si="9"/>
        <v>-373.15133741689175</v>
      </c>
      <c r="E95" s="13">
        <f t="shared" si="10"/>
        <v>-266.99478088343386</v>
      </c>
      <c r="F95" s="13">
        <f t="shared" si="11"/>
        <v>-106.15655653345789</v>
      </c>
      <c r="G95" s="13">
        <f>SUM($E$5:E95)</f>
        <v>-26063.782480568079</v>
      </c>
      <c r="H95" s="13">
        <f>SUM($F$5:F95)</f>
        <v>-7892.9892243690674</v>
      </c>
    </row>
    <row r="96" spans="1:8" x14ac:dyDescent="0.25">
      <c r="A96" s="1">
        <f t="shared" si="6"/>
        <v>92</v>
      </c>
      <c r="B96" s="14">
        <f t="shared" ca="1" si="7"/>
        <v>45474</v>
      </c>
      <c r="C96" s="15">
        <f t="shared" si="8"/>
        <v>57107.010775630974</v>
      </c>
      <c r="D96" s="13">
        <f t="shared" si="9"/>
        <v>-373.15133741689175</v>
      </c>
      <c r="E96" s="13">
        <f t="shared" si="10"/>
        <v>-266.49938361961102</v>
      </c>
      <c r="F96" s="13">
        <f t="shared" si="11"/>
        <v>-106.65195379728068</v>
      </c>
      <c r="G96" s="13">
        <f>SUM($E$5:E96)</f>
        <v>-26330.281864187691</v>
      </c>
      <c r="H96" s="13">
        <f>SUM($F$5:F96)</f>
        <v>-7999.6411781663483</v>
      </c>
    </row>
    <row r="97" spans="1:8" x14ac:dyDescent="0.25">
      <c r="A97" s="1">
        <f t="shared" si="6"/>
        <v>93</v>
      </c>
      <c r="B97" s="14">
        <f t="shared" ca="1" si="7"/>
        <v>45505</v>
      </c>
      <c r="C97" s="15">
        <f t="shared" si="8"/>
        <v>57000.358821833695</v>
      </c>
      <c r="D97" s="13">
        <f t="shared" si="9"/>
        <v>-373.15133741689175</v>
      </c>
      <c r="E97" s="13">
        <f t="shared" si="10"/>
        <v>-266.00167450189042</v>
      </c>
      <c r="F97" s="13">
        <f t="shared" si="11"/>
        <v>-107.14966291500133</v>
      </c>
      <c r="G97" s="13">
        <f>SUM($E$5:E97)</f>
        <v>-26596.283538689582</v>
      </c>
      <c r="H97" s="13">
        <f>SUM($F$5:F97)</f>
        <v>-8106.7908410813498</v>
      </c>
    </row>
    <row r="98" spans="1:8" x14ac:dyDescent="0.25">
      <c r="A98" s="1">
        <f t="shared" si="6"/>
        <v>94</v>
      </c>
      <c r="B98" s="14">
        <f t="shared" ca="1" si="7"/>
        <v>45536</v>
      </c>
      <c r="C98" s="15">
        <f t="shared" si="8"/>
        <v>56893.209158918697</v>
      </c>
      <c r="D98" s="13">
        <f t="shared" si="9"/>
        <v>-373.15133741689175</v>
      </c>
      <c r="E98" s="13">
        <f t="shared" si="10"/>
        <v>-265.5016427416204</v>
      </c>
      <c r="F98" s="13">
        <f t="shared" si="11"/>
        <v>-107.64969467527132</v>
      </c>
      <c r="G98" s="13">
        <f>SUM($E$5:E98)</f>
        <v>-26861.785181431202</v>
      </c>
      <c r="H98" s="13">
        <f>SUM($F$5:F98)</f>
        <v>-8214.4405357566211</v>
      </c>
    </row>
    <row r="99" spans="1:8" x14ac:dyDescent="0.25">
      <c r="A99" s="1">
        <f t="shared" si="6"/>
        <v>95</v>
      </c>
      <c r="B99" s="14">
        <f t="shared" ca="1" si="7"/>
        <v>45566</v>
      </c>
      <c r="C99" s="15">
        <f t="shared" si="8"/>
        <v>56785.559464243423</v>
      </c>
      <c r="D99" s="13">
        <f t="shared" si="9"/>
        <v>-373.15133741689175</v>
      </c>
      <c r="E99" s="13">
        <f t="shared" si="10"/>
        <v>-264.99927749980253</v>
      </c>
      <c r="F99" s="13">
        <f t="shared" si="11"/>
        <v>-108.15205991708925</v>
      </c>
      <c r="G99" s="13">
        <f>SUM($E$5:E99)</f>
        <v>-27126.784458931004</v>
      </c>
      <c r="H99" s="13">
        <f>SUM($F$5:F99)</f>
        <v>-8322.5925956737101</v>
      </c>
    </row>
    <row r="100" spans="1:8" x14ac:dyDescent="0.25">
      <c r="A100" s="1">
        <f t="shared" si="6"/>
        <v>96</v>
      </c>
      <c r="B100" s="14">
        <f t="shared" ca="1" si="7"/>
        <v>45597</v>
      </c>
      <c r="C100" s="15">
        <f t="shared" si="8"/>
        <v>56677.407404326332</v>
      </c>
      <c r="D100" s="13">
        <f t="shared" si="9"/>
        <v>-373.15133741689175</v>
      </c>
      <c r="E100" s="13">
        <f t="shared" si="10"/>
        <v>-264.49456788685609</v>
      </c>
      <c r="F100" s="13">
        <f t="shared" si="11"/>
        <v>-108.65676953003567</v>
      </c>
      <c r="G100" s="13">
        <f>SUM($E$5:E100)</f>
        <v>-27391.279026817861</v>
      </c>
      <c r="H100" s="13">
        <f>SUM($F$5:F100)</f>
        <v>-8431.2493652037465</v>
      </c>
    </row>
    <row r="101" spans="1:8" x14ac:dyDescent="0.25">
      <c r="A101" s="1">
        <f t="shared" si="6"/>
        <v>97</v>
      </c>
      <c r="B101" s="14">
        <f t="shared" ca="1" si="7"/>
        <v>45627</v>
      </c>
      <c r="C101" s="15">
        <f t="shared" si="8"/>
        <v>56568.750634796299</v>
      </c>
      <c r="D101" s="13">
        <f t="shared" si="9"/>
        <v>-373.15133741689175</v>
      </c>
      <c r="E101" s="13">
        <f t="shared" si="10"/>
        <v>-263.98750296238256</v>
      </c>
      <c r="F101" s="13">
        <f t="shared" si="11"/>
        <v>-109.16383445450917</v>
      </c>
      <c r="G101" s="13">
        <f>SUM($E$5:E101)</f>
        <v>-27655.266529780245</v>
      </c>
      <c r="H101" s="13">
        <f>SUM($F$5:F101)</f>
        <v>-8540.4131996582564</v>
      </c>
    </row>
    <row r="102" spans="1:8" x14ac:dyDescent="0.25">
      <c r="A102" s="1">
        <f t="shared" si="6"/>
        <v>98</v>
      </c>
      <c r="B102" s="14">
        <f t="shared" ca="1" si="7"/>
        <v>45658</v>
      </c>
      <c r="C102" s="15">
        <f t="shared" si="8"/>
        <v>56459.586800341793</v>
      </c>
      <c r="D102" s="13">
        <f t="shared" si="9"/>
        <v>-373.15133741689175</v>
      </c>
      <c r="E102" s="13">
        <f t="shared" si="10"/>
        <v>-263.47807173492816</v>
      </c>
      <c r="F102" s="13">
        <f t="shared" si="11"/>
        <v>-109.67326568196356</v>
      </c>
      <c r="G102" s="13">
        <f>SUM($E$5:E102)</f>
        <v>-27918.744601515173</v>
      </c>
      <c r="H102" s="13">
        <f>SUM($F$5:F102)</f>
        <v>-8650.0864653402205</v>
      </c>
    </row>
    <row r="103" spans="1:8" x14ac:dyDescent="0.25">
      <c r="A103" s="1">
        <f t="shared" si="6"/>
        <v>99</v>
      </c>
      <c r="B103" s="14">
        <f t="shared" ca="1" si="7"/>
        <v>45689</v>
      </c>
      <c r="C103" s="15">
        <f t="shared" si="8"/>
        <v>56349.913534659827</v>
      </c>
      <c r="D103" s="13">
        <f t="shared" si="9"/>
        <v>-373.15133741689175</v>
      </c>
      <c r="E103" s="13">
        <f t="shared" si="10"/>
        <v>-262.9662631617457</v>
      </c>
      <c r="F103" s="13">
        <f t="shared" si="11"/>
        <v>-110.18507425514606</v>
      </c>
      <c r="G103" s="13">
        <f>SUM($E$5:E103)</f>
        <v>-28181.710864676919</v>
      </c>
      <c r="H103" s="13">
        <f>SUM($F$5:F103)</f>
        <v>-8760.2715395953674</v>
      </c>
    </row>
    <row r="104" spans="1:8" x14ac:dyDescent="0.25">
      <c r="A104" s="1">
        <f t="shared" si="6"/>
        <v>100</v>
      </c>
      <c r="B104" s="14">
        <f t="shared" ca="1" si="7"/>
        <v>45717</v>
      </c>
      <c r="C104" s="15">
        <f t="shared" si="8"/>
        <v>56239.72846040468</v>
      </c>
      <c r="D104" s="13">
        <f t="shared" si="9"/>
        <v>-373.15133741689175</v>
      </c>
      <c r="E104" s="13">
        <f t="shared" si="10"/>
        <v>-262.45206614855499</v>
      </c>
      <c r="F104" s="13">
        <f t="shared" si="11"/>
        <v>-110.69927126833674</v>
      </c>
      <c r="G104" s="13">
        <f>SUM($E$5:E104)</f>
        <v>-28444.162930825474</v>
      </c>
      <c r="H104" s="13">
        <f>SUM($F$5:F104)</f>
        <v>-8870.9708108637042</v>
      </c>
    </row>
    <row r="105" spans="1:8" x14ac:dyDescent="0.25">
      <c r="A105" s="1">
        <f t="shared" si="6"/>
        <v>101</v>
      </c>
      <c r="B105" s="14">
        <f t="shared" ca="1" si="7"/>
        <v>45748</v>
      </c>
      <c r="C105" s="15">
        <f t="shared" si="8"/>
        <v>56129.029189136345</v>
      </c>
      <c r="D105" s="13">
        <f t="shared" si="9"/>
        <v>-373.15133741689175</v>
      </c>
      <c r="E105" s="13">
        <f t="shared" si="10"/>
        <v>-261.93546954930281</v>
      </c>
      <c r="F105" s="13">
        <f t="shared" si="11"/>
        <v>-111.21586786758894</v>
      </c>
      <c r="G105" s="13">
        <f>SUM($E$5:E105)</f>
        <v>-28706.098400374776</v>
      </c>
      <c r="H105" s="13">
        <f>SUM($F$5:F105)</f>
        <v>-8982.1866787312938</v>
      </c>
    </row>
    <row r="106" spans="1:8" x14ac:dyDescent="0.25">
      <c r="A106" s="1">
        <f t="shared" si="6"/>
        <v>102</v>
      </c>
      <c r="B106" s="14">
        <f t="shared" ca="1" si="7"/>
        <v>45778</v>
      </c>
      <c r="C106" s="15">
        <f t="shared" si="8"/>
        <v>56017.813321268753</v>
      </c>
      <c r="D106" s="13">
        <f t="shared" si="9"/>
        <v>-373.15133741689175</v>
      </c>
      <c r="E106" s="13">
        <f t="shared" si="10"/>
        <v>-261.41646216592068</v>
      </c>
      <c r="F106" s="13">
        <f t="shared" si="11"/>
        <v>-111.73487525097106</v>
      </c>
      <c r="G106" s="13">
        <f>SUM($E$5:E106)</f>
        <v>-28967.514862540698</v>
      </c>
      <c r="H106" s="13">
        <f>SUM($F$5:F106)</f>
        <v>-9093.9215539822653</v>
      </c>
    </row>
    <row r="107" spans="1:8" x14ac:dyDescent="0.25">
      <c r="A107" s="1">
        <f t="shared" si="6"/>
        <v>103</v>
      </c>
      <c r="B107" s="14">
        <f t="shared" ca="1" si="7"/>
        <v>45809</v>
      </c>
      <c r="C107" s="15">
        <f t="shared" si="8"/>
        <v>55906.078446017782</v>
      </c>
      <c r="D107" s="13">
        <f t="shared" si="9"/>
        <v>-373.15133741689175</v>
      </c>
      <c r="E107" s="13">
        <f t="shared" si="10"/>
        <v>-260.89503274808283</v>
      </c>
      <c r="F107" s="13">
        <f t="shared" si="11"/>
        <v>-112.25630466880892</v>
      </c>
      <c r="G107" s="13">
        <f>SUM($E$5:E107)</f>
        <v>-29228.40989528878</v>
      </c>
      <c r="H107" s="13">
        <f>SUM($F$5:F107)</f>
        <v>-9206.1778586510736</v>
      </c>
    </row>
    <row r="108" spans="1:8" x14ac:dyDescent="0.25">
      <c r="A108" s="1">
        <f t="shared" si="6"/>
        <v>104</v>
      </c>
      <c r="B108" s="14">
        <f t="shared" ca="1" si="7"/>
        <v>45839</v>
      </c>
      <c r="C108" s="15">
        <f t="shared" si="8"/>
        <v>55793.822141348974</v>
      </c>
      <c r="D108" s="13">
        <f t="shared" si="9"/>
        <v>-373.15133741689175</v>
      </c>
      <c r="E108" s="13">
        <f t="shared" si="10"/>
        <v>-260.37116999296171</v>
      </c>
      <c r="F108" s="13">
        <f t="shared" si="11"/>
        <v>-112.78016742393002</v>
      </c>
      <c r="G108" s="13">
        <f>SUM($E$5:E108)</f>
        <v>-29488.781065281742</v>
      </c>
      <c r="H108" s="13">
        <f>SUM($F$5:F108)</f>
        <v>-9318.9580260750045</v>
      </c>
    </row>
    <row r="109" spans="1:8" x14ac:dyDescent="0.25">
      <c r="A109" s="1">
        <f t="shared" si="6"/>
        <v>105</v>
      </c>
      <c r="B109" s="14">
        <f t="shared" ca="1" si="7"/>
        <v>45870</v>
      </c>
      <c r="C109" s="15">
        <f t="shared" si="8"/>
        <v>55681.041973925043</v>
      </c>
      <c r="D109" s="13">
        <f t="shared" si="9"/>
        <v>-373.15133741689175</v>
      </c>
      <c r="E109" s="13">
        <f t="shared" si="10"/>
        <v>-259.84486254498336</v>
      </c>
      <c r="F109" s="13">
        <f t="shared" si="11"/>
        <v>-113.30647487190836</v>
      </c>
      <c r="G109" s="13">
        <f>SUM($E$5:E109)</f>
        <v>-29748.625927826724</v>
      </c>
      <c r="H109" s="13">
        <f>SUM($F$5:F109)</f>
        <v>-9432.2645009469124</v>
      </c>
    </row>
    <row r="110" spans="1:8" x14ac:dyDescent="0.25">
      <c r="A110" s="1">
        <f t="shared" si="6"/>
        <v>106</v>
      </c>
      <c r="B110" s="14">
        <f t="shared" ca="1" si="7"/>
        <v>45901</v>
      </c>
      <c r="C110" s="15">
        <f t="shared" si="8"/>
        <v>55567.735499053131</v>
      </c>
      <c r="D110" s="13">
        <f t="shared" si="9"/>
        <v>-373.15133741689175</v>
      </c>
      <c r="E110" s="13">
        <f t="shared" si="10"/>
        <v>-259.31609899558111</v>
      </c>
      <c r="F110" s="13">
        <f t="shared" si="11"/>
        <v>-113.83523842131062</v>
      </c>
      <c r="G110" s="13">
        <f>SUM($E$5:E110)</f>
        <v>-30007.942026822304</v>
      </c>
      <c r="H110" s="13">
        <f>SUM($F$5:F110)</f>
        <v>-9546.0997393682228</v>
      </c>
    </row>
    <row r="111" spans="1:8" x14ac:dyDescent="0.25">
      <c r="A111" s="1">
        <f t="shared" si="6"/>
        <v>107</v>
      </c>
      <c r="B111" s="14">
        <f t="shared" ca="1" si="7"/>
        <v>45931</v>
      </c>
      <c r="C111" s="15">
        <f t="shared" si="8"/>
        <v>55453.900260631817</v>
      </c>
      <c r="D111" s="13">
        <f t="shared" si="9"/>
        <v>-373.15133741689175</v>
      </c>
      <c r="E111" s="13">
        <f t="shared" si="10"/>
        <v>-258.78486788294839</v>
      </c>
      <c r="F111" s="13">
        <f t="shared" si="11"/>
        <v>-114.36646953394337</v>
      </c>
      <c r="G111" s="13">
        <f>SUM($E$5:E111)</f>
        <v>-30266.726894705251</v>
      </c>
      <c r="H111" s="13">
        <f>SUM($F$5:F111)</f>
        <v>-9660.4662089021658</v>
      </c>
    </row>
    <row r="112" spans="1:8" x14ac:dyDescent="0.25">
      <c r="A112" s="1">
        <f t="shared" si="6"/>
        <v>108</v>
      </c>
      <c r="B112" s="14">
        <f t="shared" ca="1" si="7"/>
        <v>45962</v>
      </c>
      <c r="C112" s="15">
        <f t="shared" si="8"/>
        <v>55339.533791097871</v>
      </c>
      <c r="D112" s="13">
        <f t="shared" si="9"/>
        <v>-373.15133741689175</v>
      </c>
      <c r="E112" s="13">
        <f t="shared" si="10"/>
        <v>-258.25115769178996</v>
      </c>
      <c r="F112" s="13">
        <f t="shared" si="11"/>
        <v>-114.90017972510179</v>
      </c>
      <c r="G112" s="13">
        <f>SUM($E$5:E112)</f>
        <v>-30524.97805239704</v>
      </c>
      <c r="H112" s="13">
        <f>SUM($F$5:F112)</f>
        <v>-9775.366388627268</v>
      </c>
    </row>
    <row r="113" spans="1:8" x14ac:dyDescent="0.25">
      <c r="A113" s="1">
        <f t="shared" si="6"/>
        <v>109</v>
      </c>
      <c r="B113" s="14">
        <f t="shared" ca="1" si="7"/>
        <v>45992</v>
      </c>
      <c r="C113" s="15">
        <f t="shared" si="8"/>
        <v>55224.633611372767</v>
      </c>
      <c r="D113" s="13">
        <f t="shared" si="9"/>
        <v>-373.15133741689175</v>
      </c>
      <c r="E113" s="13">
        <f t="shared" si="10"/>
        <v>-257.71495685307275</v>
      </c>
      <c r="F113" s="13">
        <f t="shared" si="11"/>
        <v>-115.43638056381894</v>
      </c>
      <c r="G113" s="13">
        <f>SUM($E$5:E113)</f>
        <v>-30782.693009250113</v>
      </c>
      <c r="H113" s="13">
        <f>SUM($F$5:F113)</f>
        <v>-9890.8027691910866</v>
      </c>
    </row>
    <row r="114" spans="1:8" x14ac:dyDescent="0.25">
      <c r="A114" s="1">
        <f t="shared" si="6"/>
        <v>110</v>
      </c>
      <c r="B114" s="14">
        <f t="shared" ca="1" si="7"/>
        <v>46023</v>
      </c>
      <c r="C114" s="15">
        <f t="shared" si="8"/>
        <v>55109.197230808946</v>
      </c>
      <c r="D114" s="13">
        <f t="shared" si="9"/>
        <v>-373.15133741689175</v>
      </c>
      <c r="E114" s="13">
        <f t="shared" si="10"/>
        <v>-257.17625374377502</v>
      </c>
      <c r="F114" s="13">
        <f t="shared" si="11"/>
        <v>-115.97508367311674</v>
      </c>
      <c r="G114" s="13">
        <f>SUM($E$5:E114)</f>
        <v>-31039.869262993889</v>
      </c>
      <c r="H114" s="13">
        <f>SUM($F$5:F114)</f>
        <v>-10006.777852864203</v>
      </c>
    </row>
    <row r="115" spans="1:8" x14ac:dyDescent="0.25">
      <c r="A115" s="1">
        <f t="shared" si="6"/>
        <v>111</v>
      </c>
      <c r="B115" s="14">
        <f t="shared" ca="1" si="7"/>
        <v>46054</v>
      </c>
      <c r="C115" s="15">
        <f t="shared" si="8"/>
        <v>54993.222147135828</v>
      </c>
      <c r="D115" s="13">
        <f t="shared" si="9"/>
        <v>-373.15133741689175</v>
      </c>
      <c r="E115" s="13">
        <f t="shared" si="10"/>
        <v>-256.63503668663378</v>
      </c>
      <c r="F115" s="13">
        <f t="shared" si="11"/>
        <v>-116.51630073025795</v>
      </c>
      <c r="G115" s="13">
        <f>SUM($E$5:E115)</f>
        <v>-31296.504299680524</v>
      </c>
      <c r="H115" s="13">
        <f>SUM($F$5:F115)</f>
        <v>-10123.294153594461</v>
      </c>
    </row>
    <row r="116" spans="1:8" x14ac:dyDescent="0.25">
      <c r="A116" s="1">
        <f t="shared" si="6"/>
        <v>112</v>
      </c>
      <c r="B116" s="14">
        <f t="shared" ca="1" si="7"/>
        <v>46082</v>
      </c>
      <c r="C116" s="15">
        <f t="shared" si="8"/>
        <v>54876.705846405574</v>
      </c>
      <c r="D116" s="13">
        <f t="shared" si="9"/>
        <v>-373.15133741689175</v>
      </c>
      <c r="E116" s="13">
        <f t="shared" si="10"/>
        <v>-256.09129394989259</v>
      </c>
      <c r="F116" s="13">
        <f t="shared" si="11"/>
        <v>-117.06004346699918</v>
      </c>
      <c r="G116" s="13">
        <f>SUM($E$5:E116)</f>
        <v>-31552.595593630416</v>
      </c>
      <c r="H116" s="13">
        <f>SUM($F$5:F116)</f>
        <v>-10240.354197061461</v>
      </c>
    </row>
    <row r="117" spans="1:8" x14ac:dyDescent="0.25">
      <c r="A117" s="1">
        <f t="shared" si="6"/>
        <v>113</v>
      </c>
      <c r="B117" s="14">
        <f t="shared" ca="1" si="7"/>
        <v>46113</v>
      </c>
      <c r="C117" s="15">
        <f t="shared" si="8"/>
        <v>54759.645802938576</v>
      </c>
      <c r="D117" s="13">
        <f t="shared" si="9"/>
        <v>-373.15133741689175</v>
      </c>
      <c r="E117" s="13">
        <f t="shared" si="10"/>
        <v>-255.5450137470466</v>
      </c>
      <c r="F117" s="13">
        <f t="shared" si="11"/>
        <v>-117.60632366984517</v>
      </c>
      <c r="G117" s="13">
        <f>SUM($E$5:E117)</f>
        <v>-31808.140607377463</v>
      </c>
      <c r="H117" s="13">
        <f>SUM($F$5:F117)</f>
        <v>-10357.960520731305</v>
      </c>
    </row>
    <row r="118" spans="1:8" x14ac:dyDescent="0.25">
      <c r="A118" s="1">
        <f t="shared" si="6"/>
        <v>114</v>
      </c>
      <c r="B118" s="14">
        <f t="shared" ca="1" si="7"/>
        <v>46143</v>
      </c>
      <c r="C118" s="15">
        <f t="shared" si="8"/>
        <v>54642.039479268729</v>
      </c>
      <c r="D118" s="13">
        <f t="shared" si="9"/>
        <v>-373.15133741689175</v>
      </c>
      <c r="E118" s="13">
        <f t="shared" si="10"/>
        <v>-254.99618423658731</v>
      </c>
      <c r="F118" s="13">
        <f t="shared" si="11"/>
        <v>-118.15515318030444</v>
      </c>
      <c r="G118" s="13">
        <f>SUM($E$5:E118)</f>
        <v>-32063.136791614052</v>
      </c>
      <c r="H118" s="13">
        <f>SUM($F$5:F118)</f>
        <v>-10476.11567391161</v>
      </c>
    </row>
    <row r="119" spans="1:8" x14ac:dyDescent="0.25">
      <c r="A119" s="1">
        <f t="shared" si="6"/>
        <v>115</v>
      </c>
      <c r="B119" s="14">
        <f t="shared" ca="1" si="7"/>
        <v>46174</v>
      </c>
      <c r="C119" s="15">
        <f t="shared" si="8"/>
        <v>54523.884326088424</v>
      </c>
      <c r="D119" s="13">
        <f t="shared" si="9"/>
        <v>-373.15133741689175</v>
      </c>
      <c r="E119" s="13">
        <f t="shared" si="10"/>
        <v>-254.44479352174585</v>
      </c>
      <c r="F119" s="13">
        <f t="shared" si="11"/>
        <v>-118.70654389514587</v>
      </c>
      <c r="G119" s="13">
        <f>SUM($E$5:E119)</f>
        <v>-32317.581585135798</v>
      </c>
      <c r="H119" s="13">
        <f>SUM($F$5:F119)</f>
        <v>-10594.822217806757</v>
      </c>
    </row>
    <row r="120" spans="1:8" x14ac:dyDescent="0.25">
      <c r="A120" s="1">
        <f t="shared" si="6"/>
        <v>116</v>
      </c>
      <c r="B120" s="14">
        <f t="shared" ca="1" si="7"/>
        <v>46204</v>
      </c>
      <c r="C120" s="15">
        <f t="shared" si="8"/>
        <v>54405.177782193277</v>
      </c>
      <c r="D120" s="13">
        <f t="shared" si="9"/>
        <v>-373.15133741689175</v>
      </c>
      <c r="E120" s="13">
        <f t="shared" si="10"/>
        <v>-253.89082965023522</v>
      </c>
      <c r="F120" s="13">
        <f t="shared" si="11"/>
        <v>-119.26050776665653</v>
      </c>
      <c r="G120" s="13">
        <f>SUM($E$5:E120)</f>
        <v>-32571.472414786032</v>
      </c>
      <c r="H120" s="13">
        <f>SUM($F$5:F120)</f>
        <v>-10714.082725573413</v>
      </c>
    </row>
    <row r="121" spans="1:8" x14ac:dyDescent="0.25">
      <c r="A121" s="1">
        <f t="shared" si="6"/>
        <v>117</v>
      </c>
      <c r="B121" s="14">
        <f t="shared" ca="1" si="7"/>
        <v>46235</v>
      </c>
      <c r="C121" s="15">
        <f t="shared" si="8"/>
        <v>54285.917274426618</v>
      </c>
      <c r="D121" s="13">
        <f t="shared" si="9"/>
        <v>-373.15133741689175</v>
      </c>
      <c r="E121" s="13">
        <f t="shared" si="10"/>
        <v>-253.33428061399076</v>
      </c>
      <c r="F121" s="13">
        <f t="shared" si="11"/>
        <v>-119.81705680290094</v>
      </c>
      <c r="G121" s="13">
        <f>SUM($E$5:E121)</f>
        <v>-32824.806695400024</v>
      </c>
      <c r="H121" s="13">
        <f>SUM($F$5:F121)</f>
        <v>-10833.899782376315</v>
      </c>
    </row>
    <row r="122" spans="1:8" x14ac:dyDescent="0.25">
      <c r="A122" s="1">
        <f t="shared" si="6"/>
        <v>118</v>
      </c>
      <c r="B122" s="14">
        <f t="shared" ca="1" si="7"/>
        <v>46266</v>
      </c>
      <c r="C122" s="15">
        <f t="shared" si="8"/>
        <v>54166.100217623716</v>
      </c>
      <c r="D122" s="13">
        <f t="shared" si="9"/>
        <v>-373.15133741689175</v>
      </c>
      <c r="E122" s="13">
        <f t="shared" si="10"/>
        <v>-252.77513434891057</v>
      </c>
      <c r="F122" s="13">
        <f t="shared" si="11"/>
        <v>-120.37620306798114</v>
      </c>
      <c r="G122" s="13">
        <f>SUM($E$5:E122)</f>
        <v>-33077.581829748931</v>
      </c>
      <c r="H122" s="13">
        <f>SUM($F$5:F122)</f>
        <v>-10954.275985444296</v>
      </c>
    </row>
    <row r="123" spans="1:8" x14ac:dyDescent="0.25">
      <c r="A123" s="1">
        <f t="shared" si="6"/>
        <v>119</v>
      </c>
      <c r="B123" s="14">
        <f t="shared" ca="1" si="7"/>
        <v>46296</v>
      </c>
      <c r="C123" s="15">
        <f t="shared" si="8"/>
        <v>54045.724014555737</v>
      </c>
      <c r="D123" s="13">
        <f t="shared" si="9"/>
        <v>-373.15133741689175</v>
      </c>
      <c r="E123" s="13">
        <f t="shared" si="10"/>
        <v>-252.21337873459336</v>
      </c>
      <c r="F123" s="13">
        <f t="shared" si="11"/>
        <v>-120.93795868229837</v>
      </c>
      <c r="G123" s="13">
        <f>SUM($E$5:E123)</f>
        <v>-33329.795208483527</v>
      </c>
      <c r="H123" s="13">
        <f>SUM($F$5:F123)</f>
        <v>-11075.213944126594</v>
      </c>
    </row>
    <row r="124" spans="1:8" x14ac:dyDescent="0.25">
      <c r="A124" s="1">
        <f t="shared" si="6"/>
        <v>120</v>
      </c>
      <c r="B124" s="14">
        <f t="shared" ca="1" si="7"/>
        <v>46327</v>
      </c>
      <c r="C124" s="15">
        <f t="shared" si="8"/>
        <v>53924.786055873439</v>
      </c>
      <c r="D124" s="13">
        <f t="shared" si="9"/>
        <v>-373.15133741689175</v>
      </c>
      <c r="E124" s="13">
        <f t="shared" si="10"/>
        <v>-251.64900159407594</v>
      </c>
      <c r="F124" s="13">
        <f t="shared" si="11"/>
        <v>-121.50233582281578</v>
      </c>
      <c r="G124" s="13">
        <f>SUM($E$5:E124)</f>
        <v>-33581.4442100776</v>
      </c>
      <c r="H124" s="13">
        <f>SUM($F$5:F124)</f>
        <v>-11196.716279949409</v>
      </c>
    </row>
    <row r="125" spans="1:8" x14ac:dyDescent="0.25">
      <c r="A125" s="1">
        <f t="shared" si="6"/>
        <v>121</v>
      </c>
      <c r="B125" s="14">
        <f t="shared" ca="1" si="7"/>
        <v>46357</v>
      </c>
      <c r="C125" s="15">
        <f t="shared" si="8"/>
        <v>53803.283720050626</v>
      </c>
      <c r="D125" s="13">
        <f t="shared" si="9"/>
        <v>-373.15133741689175</v>
      </c>
      <c r="E125" s="13">
        <f t="shared" si="10"/>
        <v>-251.08199069356942</v>
      </c>
      <c r="F125" s="13">
        <f t="shared" si="11"/>
        <v>-122.06934672332227</v>
      </c>
      <c r="G125" s="13">
        <f>SUM($E$5:E125)</f>
        <v>-33832.526200771172</v>
      </c>
      <c r="H125" s="13">
        <f>SUM($F$5:F125)</f>
        <v>-11318.785626672732</v>
      </c>
    </row>
    <row r="126" spans="1:8" x14ac:dyDescent="0.25">
      <c r="A126" s="1">
        <f t="shared" si="6"/>
        <v>122</v>
      </c>
      <c r="B126" s="14">
        <f t="shared" ca="1" si="7"/>
        <v>46388</v>
      </c>
      <c r="C126" s="15">
        <f t="shared" si="8"/>
        <v>53681.214373327304</v>
      </c>
      <c r="D126" s="13">
        <f t="shared" si="9"/>
        <v>-373.15133741689175</v>
      </c>
      <c r="E126" s="13">
        <f t="shared" si="10"/>
        <v>-250.51233374219402</v>
      </c>
      <c r="F126" s="13">
        <f t="shared" si="11"/>
        <v>-122.63900367469775</v>
      </c>
      <c r="G126" s="13">
        <f>SUM($E$5:E126)</f>
        <v>-34083.038534513369</v>
      </c>
      <c r="H126" s="13">
        <f>SUM($F$5:F126)</f>
        <v>-11441.42463034743</v>
      </c>
    </row>
    <row r="127" spans="1:8" x14ac:dyDescent="0.25">
      <c r="A127" s="1">
        <f t="shared" si="6"/>
        <v>123</v>
      </c>
      <c r="B127" s="14">
        <f t="shared" ca="1" si="7"/>
        <v>46419</v>
      </c>
      <c r="C127" s="15">
        <f t="shared" si="8"/>
        <v>53558.575369652608</v>
      </c>
      <c r="D127" s="13">
        <f t="shared" si="9"/>
        <v>-373.15133741689175</v>
      </c>
      <c r="E127" s="13">
        <f t="shared" si="10"/>
        <v>-249.94001839171204</v>
      </c>
      <c r="F127" s="13">
        <f t="shared" si="11"/>
        <v>-123.21131902517968</v>
      </c>
      <c r="G127" s="13">
        <f>SUM($E$5:E127)</f>
        <v>-34332.978552905079</v>
      </c>
      <c r="H127" s="13">
        <f>SUM($F$5:F127)</f>
        <v>-11564.63594937261</v>
      </c>
    </row>
    <row r="128" spans="1:8" x14ac:dyDescent="0.25">
      <c r="A128" s="1">
        <f t="shared" si="6"/>
        <v>124</v>
      </c>
      <c r="B128" s="14">
        <f t="shared" ca="1" si="7"/>
        <v>46447</v>
      </c>
      <c r="C128" s="15">
        <f t="shared" si="8"/>
        <v>53435.364050627431</v>
      </c>
      <c r="D128" s="13">
        <f t="shared" si="9"/>
        <v>-373.15133741689175</v>
      </c>
      <c r="E128" s="13">
        <f t="shared" si="10"/>
        <v>-249.36503223626124</v>
      </c>
      <c r="F128" s="13">
        <f t="shared" si="11"/>
        <v>-123.78630518063052</v>
      </c>
      <c r="G128" s="13">
        <f>SUM($E$5:E128)</f>
        <v>-34582.343585141338</v>
      </c>
      <c r="H128" s="13">
        <f>SUM($F$5:F128)</f>
        <v>-11688.422254553241</v>
      </c>
    </row>
    <row r="129" spans="1:8" x14ac:dyDescent="0.25">
      <c r="A129" s="1">
        <f t="shared" si="6"/>
        <v>125</v>
      </c>
      <c r="B129" s="14">
        <f t="shared" ca="1" si="7"/>
        <v>46478</v>
      </c>
      <c r="C129" s="15">
        <f t="shared" si="8"/>
        <v>53311.577745446804</v>
      </c>
      <c r="D129" s="13">
        <f t="shared" si="9"/>
        <v>-373.15133741689175</v>
      </c>
      <c r="E129" s="13">
        <f t="shared" si="10"/>
        <v>-248.78736281208495</v>
      </c>
      <c r="F129" s="13">
        <f t="shared" si="11"/>
        <v>-124.36397460480678</v>
      </c>
      <c r="G129" s="13">
        <f>SUM($E$5:E129)</f>
        <v>-34831.130947953425</v>
      </c>
      <c r="H129" s="13">
        <f>SUM($F$5:F129)</f>
        <v>-11812.786229158048</v>
      </c>
    </row>
    <row r="130" spans="1:8" x14ac:dyDescent="0.25">
      <c r="A130" s="1">
        <f t="shared" si="6"/>
        <v>126</v>
      </c>
      <c r="B130" s="14">
        <f t="shared" ca="1" si="7"/>
        <v>46508</v>
      </c>
      <c r="C130" s="15">
        <f t="shared" si="8"/>
        <v>53187.213770841998</v>
      </c>
      <c r="D130" s="13">
        <f t="shared" si="9"/>
        <v>-373.15133741689175</v>
      </c>
      <c r="E130" s="13">
        <f t="shared" si="10"/>
        <v>-248.20699759726253</v>
      </c>
      <c r="F130" s="13">
        <f t="shared" si="11"/>
        <v>-124.94433981962922</v>
      </c>
      <c r="G130" s="13">
        <f>SUM($E$5:E130)</f>
        <v>-35079.337945550687</v>
      </c>
      <c r="H130" s="13">
        <f>SUM($F$5:F130)</f>
        <v>-11937.730568977677</v>
      </c>
    </row>
    <row r="131" spans="1:8" x14ac:dyDescent="0.25">
      <c r="A131" s="1">
        <f t="shared" si="6"/>
        <v>127</v>
      </c>
      <c r="B131" s="14">
        <f t="shared" ca="1" si="7"/>
        <v>46539</v>
      </c>
      <c r="C131" s="15">
        <f t="shared" si="8"/>
        <v>53062.269431022367</v>
      </c>
      <c r="D131" s="13">
        <f t="shared" si="9"/>
        <v>-373.15133741689175</v>
      </c>
      <c r="E131" s="13">
        <f t="shared" si="10"/>
        <v>-247.62392401143759</v>
      </c>
      <c r="F131" s="13">
        <f t="shared" si="11"/>
        <v>-125.52741340545415</v>
      </c>
      <c r="G131" s="13">
        <f>SUM($E$5:E131)</f>
        <v>-35326.961869562125</v>
      </c>
      <c r="H131" s="13">
        <f>SUM($F$5:F131)</f>
        <v>-12063.257982383131</v>
      </c>
    </row>
    <row r="132" spans="1:8" x14ac:dyDescent="0.25">
      <c r="A132" s="1">
        <f t="shared" si="6"/>
        <v>128</v>
      </c>
      <c r="B132" s="14">
        <f t="shared" ca="1" si="7"/>
        <v>46569</v>
      </c>
      <c r="C132" s="15">
        <f t="shared" si="8"/>
        <v>52936.742017616911</v>
      </c>
      <c r="D132" s="13">
        <f t="shared" si="9"/>
        <v>-373.15133741689175</v>
      </c>
      <c r="E132" s="13">
        <f t="shared" si="10"/>
        <v>-247.03812941554551</v>
      </c>
      <c r="F132" s="13">
        <f t="shared" si="11"/>
        <v>-126.11320800134627</v>
      </c>
      <c r="G132" s="13">
        <f>SUM($E$5:E132)</f>
        <v>-35573.99999897767</v>
      </c>
      <c r="H132" s="13">
        <f>SUM($F$5:F132)</f>
        <v>-12189.371190384478</v>
      </c>
    </row>
    <row r="133" spans="1:8" x14ac:dyDescent="0.25">
      <c r="A133" s="1">
        <f t="shared" ref="A133:A196" si="12">ROW(A129)</f>
        <v>129</v>
      </c>
      <c r="B133" s="14">
        <f t="shared" ca="1" si="7"/>
        <v>46600</v>
      </c>
      <c r="C133" s="15">
        <f t="shared" si="8"/>
        <v>52810.628809615562</v>
      </c>
      <c r="D133" s="13">
        <f t="shared" si="9"/>
        <v>-373.15133741689175</v>
      </c>
      <c r="E133" s="13">
        <f t="shared" si="10"/>
        <v>-246.44960111153918</v>
      </c>
      <c r="F133" s="13">
        <f t="shared" si="11"/>
        <v>-126.70173630535257</v>
      </c>
      <c r="G133" s="13">
        <f>SUM($E$5:E133)</f>
        <v>-35820.44960008921</v>
      </c>
      <c r="H133" s="13">
        <f>SUM($F$5:F133)</f>
        <v>-12316.072926689831</v>
      </c>
    </row>
    <row r="134" spans="1:8" x14ac:dyDescent="0.25">
      <c r="A134" s="1">
        <f t="shared" si="12"/>
        <v>130</v>
      </c>
      <c r="B134" s="14">
        <f t="shared" ref="B134:B197" ca="1" si="13">DATE(YEAR(NOW()),MONTH(NOW())+A134,1)</f>
        <v>46631</v>
      </c>
      <c r="C134" s="15">
        <f t="shared" si="8"/>
        <v>52683.927073310209</v>
      </c>
      <c r="D134" s="13">
        <f t="shared" si="9"/>
        <v>-373.15133741689175</v>
      </c>
      <c r="E134" s="13">
        <f t="shared" si="10"/>
        <v>-245.8583263421142</v>
      </c>
      <c r="F134" s="13">
        <f t="shared" si="11"/>
        <v>-127.29301107477755</v>
      </c>
      <c r="G134" s="13">
        <f>SUM($E$5:E134)</f>
        <v>-36066.307926431327</v>
      </c>
      <c r="H134" s="13">
        <f>SUM($F$5:F134)</f>
        <v>-12443.365937764609</v>
      </c>
    </row>
    <row r="135" spans="1:8" x14ac:dyDescent="0.25">
      <c r="A135" s="1">
        <f t="shared" si="12"/>
        <v>131</v>
      </c>
      <c r="B135" s="14">
        <f t="shared" ca="1" si="13"/>
        <v>46661</v>
      </c>
      <c r="C135" s="15">
        <f t="shared" ref="C135:C198" si="14">C134+F134</f>
        <v>52556.634062235433</v>
      </c>
      <c r="D135" s="13">
        <f t="shared" ref="D135:D198" si="15">$F$2</f>
        <v>-373.15133741689175</v>
      </c>
      <c r="E135" s="13">
        <f t="shared" ref="E135:E198" si="16">IPMT($D$2/12,A135,$E$2*12,$C$2)</f>
        <v>-245.26429229043194</v>
      </c>
      <c r="F135" s="13">
        <f t="shared" ref="F135:F198" si="17">PPMT($D$2/12,A135,$E$2*12,$C$2)</f>
        <v>-127.88704512645981</v>
      </c>
      <c r="G135" s="13">
        <f>SUM($E$5:E135)</f>
        <v>-36311.572218721762</v>
      </c>
      <c r="H135" s="13">
        <f>SUM($F$5:F135)</f>
        <v>-12571.252982891068</v>
      </c>
    </row>
    <row r="136" spans="1:8" x14ac:dyDescent="0.25">
      <c r="A136" s="1">
        <f t="shared" si="12"/>
        <v>132</v>
      </c>
      <c r="B136" s="14">
        <f t="shared" ca="1" si="13"/>
        <v>46692</v>
      </c>
      <c r="C136" s="15">
        <f t="shared" si="14"/>
        <v>52428.747017108974</v>
      </c>
      <c r="D136" s="13">
        <f t="shared" si="15"/>
        <v>-373.15133741689175</v>
      </c>
      <c r="E136" s="13">
        <f t="shared" si="16"/>
        <v>-244.66748607984175</v>
      </c>
      <c r="F136" s="13">
        <f t="shared" si="17"/>
        <v>-128.48385133704997</v>
      </c>
      <c r="G136" s="13">
        <f>SUM($E$5:E136)</f>
        <v>-36556.239704801606</v>
      </c>
      <c r="H136" s="13">
        <f>SUM($F$5:F136)</f>
        <v>-12699.736834228119</v>
      </c>
    </row>
    <row r="137" spans="1:8" x14ac:dyDescent="0.25">
      <c r="A137" s="1">
        <f t="shared" si="12"/>
        <v>133</v>
      </c>
      <c r="B137" s="14">
        <f t="shared" ca="1" si="13"/>
        <v>46722</v>
      </c>
      <c r="C137" s="15">
        <f t="shared" si="14"/>
        <v>52300.263165771925</v>
      </c>
      <c r="D137" s="13">
        <f t="shared" si="15"/>
        <v>-373.15133741689175</v>
      </c>
      <c r="E137" s="13">
        <f t="shared" si="16"/>
        <v>-244.06789477360221</v>
      </c>
      <c r="F137" s="13">
        <f t="shared" si="17"/>
        <v>-129.08344264328957</v>
      </c>
      <c r="G137" s="13">
        <f>SUM($E$5:E137)</f>
        <v>-36800.307599575208</v>
      </c>
      <c r="H137" s="13">
        <f>SUM($F$5:F137)</f>
        <v>-12828.820276871409</v>
      </c>
    </row>
    <row r="138" spans="1:8" x14ac:dyDescent="0.25">
      <c r="A138" s="1">
        <f t="shared" si="12"/>
        <v>134</v>
      </c>
      <c r="B138" s="14">
        <f t="shared" ca="1" si="13"/>
        <v>46753</v>
      </c>
      <c r="C138" s="15">
        <f t="shared" si="14"/>
        <v>52171.179723128633</v>
      </c>
      <c r="D138" s="13">
        <f t="shared" si="15"/>
        <v>-373.15133741689175</v>
      </c>
      <c r="E138" s="13">
        <f t="shared" si="16"/>
        <v>-243.46550537460021</v>
      </c>
      <c r="F138" s="13">
        <f t="shared" si="17"/>
        <v>-129.68583204229154</v>
      </c>
      <c r="G138" s="13">
        <f>SUM($E$5:E138)</f>
        <v>-37043.773104949811</v>
      </c>
      <c r="H138" s="13">
        <f>SUM($F$5:F138)</f>
        <v>-12958.5061089137</v>
      </c>
    </row>
    <row r="139" spans="1:8" x14ac:dyDescent="0.25">
      <c r="A139" s="1">
        <f t="shared" si="12"/>
        <v>135</v>
      </c>
      <c r="B139" s="14">
        <f t="shared" ca="1" si="13"/>
        <v>46784</v>
      </c>
      <c r="C139" s="15">
        <f t="shared" si="14"/>
        <v>52041.493891086342</v>
      </c>
      <c r="D139" s="13">
        <f t="shared" si="15"/>
        <v>-373.15133741689175</v>
      </c>
      <c r="E139" s="13">
        <f t="shared" si="16"/>
        <v>-242.86030482506948</v>
      </c>
      <c r="F139" s="13">
        <f t="shared" si="17"/>
        <v>-130.29103259182224</v>
      </c>
      <c r="G139" s="13">
        <f>SUM($E$5:E139)</f>
        <v>-37286.633409774877</v>
      </c>
      <c r="H139" s="13">
        <f>SUM($F$5:F139)</f>
        <v>-13088.797141505522</v>
      </c>
    </row>
    <row r="140" spans="1:8" x14ac:dyDescent="0.25">
      <c r="A140" s="1">
        <f t="shared" si="12"/>
        <v>136</v>
      </c>
      <c r="B140" s="14">
        <f t="shared" ca="1" si="13"/>
        <v>46813</v>
      </c>
      <c r="C140" s="15">
        <f t="shared" si="14"/>
        <v>51911.202858494522</v>
      </c>
      <c r="D140" s="13">
        <f t="shared" si="15"/>
        <v>-373.15133741689175</v>
      </c>
      <c r="E140" s="13">
        <f t="shared" si="16"/>
        <v>-242.25228000630761</v>
      </c>
      <c r="F140" s="13">
        <f t="shared" si="17"/>
        <v>-130.89905741058411</v>
      </c>
      <c r="G140" s="13">
        <f>SUM($E$5:E140)</f>
        <v>-37528.885689781186</v>
      </c>
      <c r="H140" s="13">
        <f>SUM($F$5:F140)</f>
        <v>-13219.696198916106</v>
      </c>
    </row>
    <row r="141" spans="1:8" x14ac:dyDescent="0.25">
      <c r="A141" s="1">
        <f t="shared" si="12"/>
        <v>137</v>
      </c>
      <c r="B141" s="14">
        <f t="shared" ca="1" si="13"/>
        <v>46844</v>
      </c>
      <c r="C141" s="15">
        <f t="shared" si="14"/>
        <v>51780.303801083937</v>
      </c>
      <c r="D141" s="13">
        <f t="shared" si="15"/>
        <v>-373.15133741689175</v>
      </c>
      <c r="E141" s="13">
        <f t="shared" si="16"/>
        <v>-241.64141773839157</v>
      </c>
      <c r="F141" s="13">
        <f t="shared" si="17"/>
        <v>-131.50991967850015</v>
      </c>
      <c r="G141" s="13">
        <f>SUM($E$5:E141)</f>
        <v>-37770.527107519578</v>
      </c>
      <c r="H141" s="13">
        <f>SUM($F$5:F141)</f>
        <v>-13351.206118594606</v>
      </c>
    </row>
    <row r="142" spans="1:8" x14ac:dyDescent="0.25">
      <c r="A142" s="1">
        <f t="shared" si="12"/>
        <v>138</v>
      </c>
      <c r="B142" s="14">
        <f t="shared" ca="1" si="13"/>
        <v>46874</v>
      </c>
      <c r="C142" s="15">
        <f t="shared" si="14"/>
        <v>51648.793881405436</v>
      </c>
      <c r="D142" s="13">
        <f t="shared" si="15"/>
        <v>-373.15133741689175</v>
      </c>
      <c r="E142" s="13">
        <f t="shared" si="16"/>
        <v>-241.02770477989188</v>
      </c>
      <c r="F142" s="13">
        <f t="shared" si="17"/>
        <v>-132.12363263699982</v>
      </c>
      <c r="G142" s="13">
        <f>SUM($E$5:E142)</f>
        <v>-38011.554812299473</v>
      </c>
      <c r="H142" s="13">
        <f>SUM($F$5:F142)</f>
        <v>-13483.329751231606</v>
      </c>
    </row>
    <row r="143" spans="1:8" x14ac:dyDescent="0.25">
      <c r="A143" s="1">
        <f t="shared" si="12"/>
        <v>139</v>
      </c>
      <c r="B143" s="14">
        <f t="shared" ca="1" si="13"/>
        <v>46905</v>
      </c>
      <c r="C143" s="15">
        <f t="shared" si="14"/>
        <v>51516.670248768438</v>
      </c>
      <c r="D143" s="13">
        <f t="shared" si="15"/>
        <v>-373.15133741689175</v>
      </c>
      <c r="E143" s="13">
        <f t="shared" si="16"/>
        <v>-240.41112782758589</v>
      </c>
      <c r="F143" s="13">
        <f t="shared" si="17"/>
        <v>-132.74020958930583</v>
      </c>
      <c r="G143" s="13">
        <f>SUM($E$5:E143)</f>
        <v>-38251.965940127062</v>
      </c>
      <c r="H143" s="13">
        <f>SUM($F$5:F143)</f>
        <v>-13616.069960820912</v>
      </c>
    </row>
    <row r="144" spans="1:8" x14ac:dyDescent="0.25">
      <c r="A144" s="1">
        <f t="shared" si="12"/>
        <v>140</v>
      </c>
      <c r="B144" s="14">
        <f t="shared" ca="1" si="13"/>
        <v>46935</v>
      </c>
      <c r="C144" s="15">
        <f t="shared" si="14"/>
        <v>51383.930039179133</v>
      </c>
      <c r="D144" s="13">
        <f t="shared" si="15"/>
        <v>-373.15133741689175</v>
      </c>
      <c r="E144" s="13">
        <f t="shared" si="16"/>
        <v>-239.79167351616911</v>
      </c>
      <c r="F144" s="13">
        <f t="shared" si="17"/>
        <v>-133.35966390072261</v>
      </c>
      <c r="G144" s="13">
        <f>SUM($E$5:E144)</f>
        <v>-38491.757613643233</v>
      </c>
      <c r="H144" s="13">
        <f>SUM($F$5:F144)</f>
        <v>-13749.429624721635</v>
      </c>
    </row>
    <row r="145" spans="1:8" x14ac:dyDescent="0.25">
      <c r="A145" s="1">
        <f t="shared" si="12"/>
        <v>141</v>
      </c>
      <c r="B145" s="14">
        <f t="shared" ca="1" si="13"/>
        <v>46966</v>
      </c>
      <c r="C145" s="15">
        <f t="shared" si="14"/>
        <v>51250.57037527841</v>
      </c>
      <c r="D145" s="13">
        <f t="shared" si="15"/>
        <v>-373.15133741689175</v>
      </c>
      <c r="E145" s="13">
        <f t="shared" si="16"/>
        <v>-239.1693284179658</v>
      </c>
      <c r="F145" s="13">
        <f t="shared" si="17"/>
        <v>-133.98200899892595</v>
      </c>
      <c r="G145" s="13">
        <f>SUM($E$5:E145)</f>
        <v>-38730.926942061196</v>
      </c>
      <c r="H145" s="13">
        <f>SUM($F$5:F145)</f>
        <v>-13883.411633720561</v>
      </c>
    </row>
    <row r="146" spans="1:8" x14ac:dyDescent="0.25">
      <c r="A146" s="1">
        <f t="shared" si="12"/>
        <v>142</v>
      </c>
      <c r="B146" s="14">
        <f t="shared" ca="1" si="13"/>
        <v>46997</v>
      </c>
      <c r="C146" s="15">
        <f t="shared" si="14"/>
        <v>51116.588366279488</v>
      </c>
      <c r="D146" s="13">
        <f t="shared" si="15"/>
        <v>-373.15133741689175</v>
      </c>
      <c r="E146" s="13">
        <f t="shared" si="16"/>
        <v>-238.54407904263743</v>
      </c>
      <c r="F146" s="13">
        <f t="shared" si="17"/>
        <v>-134.60725837425429</v>
      </c>
      <c r="G146" s="13">
        <f>SUM($E$5:E146)</f>
        <v>-38969.471021103833</v>
      </c>
      <c r="H146" s="13">
        <f>SUM($F$5:F146)</f>
        <v>-14018.018892094815</v>
      </c>
    </row>
    <row r="147" spans="1:8" x14ac:dyDescent="0.25">
      <c r="A147" s="1">
        <f t="shared" si="12"/>
        <v>143</v>
      </c>
      <c r="B147" s="14">
        <f t="shared" ca="1" si="13"/>
        <v>47027</v>
      </c>
      <c r="C147" s="15">
        <f t="shared" si="14"/>
        <v>50981.981107905231</v>
      </c>
      <c r="D147" s="13">
        <f t="shared" si="15"/>
        <v>-373.15133741689175</v>
      </c>
      <c r="E147" s="13">
        <f t="shared" si="16"/>
        <v>-237.91591183689093</v>
      </c>
      <c r="F147" s="13">
        <f t="shared" si="17"/>
        <v>-135.23542558000082</v>
      </c>
      <c r="G147" s="13">
        <f>SUM($E$5:E147)</f>
        <v>-39207.386932940724</v>
      </c>
      <c r="H147" s="13">
        <f>SUM($F$5:F147)</f>
        <v>-14153.254317674815</v>
      </c>
    </row>
    <row r="148" spans="1:8" x14ac:dyDescent="0.25">
      <c r="A148" s="1">
        <f t="shared" si="12"/>
        <v>144</v>
      </c>
      <c r="B148" s="14">
        <f t="shared" ca="1" si="13"/>
        <v>47058</v>
      </c>
      <c r="C148" s="15">
        <f t="shared" si="14"/>
        <v>50846.745682325229</v>
      </c>
      <c r="D148" s="13">
        <f t="shared" si="15"/>
        <v>-373.15133741689175</v>
      </c>
      <c r="E148" s="13">
        <f t="shared" si="16"/>
        <v>-237.28481318418426</v>
      </c>
      <c r="F148" s="13">
        <f t="shared" si="17"/>
        <v>-135.86652423270746</v>
      </c>
      <c r="G148" s="13">
        <f>SUM($E$5:E148)</f>
        <v>-39444.671746124906</v>
      </c>
      <c r="H148" s="13">
        <f>SUM($F$5:F148)</f>
        <v>-14289.120841907523</v>
      </c>
    </row>
    <row r="149" spans="1:8" x14ac:dyDescent="0.25">
      <c r="A149" s="1">
        <f t="shared" si="12"/>
        <v>145</v>
      </c>
      <c r="B149" s="14">
        <f t="shared" ca="1" si="13"/>
        <v>47088</v>
      </c>
      <c r="C149" s="15">
        <f t="shared" si="14"/>
        <v>50710.879158092524</v>
      </c>
      <c r="D149" s="13">
        <f t="shared" si="15"/>
        <v>-373.15133741689175</v>
      </c>
      <c r="E149" s="13">
        <f t="shared" si="16"/>
        <v>-236.65076940443163</v>
      </c>
      <c r="F149" s="13">
        <f t="shared" si="17"/>
        <v>-136.50056801246012</v>
      </c>
      <c r="G149" s="13">
        <f>SUM($E$5:E149)</f>
        <v>-39681.32251552934</v>
      </c>
      <c r="H149" s="13">
        <f>SUM($F$5:F149)</f>
        <v>-14425.621409919982</v>
      </c>
    </row>
    <row r="150" spans="1:8" x14ac:dyDescent="0.25">
      <c r="A150" s="1">
        <f t="shared" si="12"/>
        <v>146</v>
      </c>
      <c r="B150" s="14">
        <f t="shared" ca="1" si="13"/>
        <v>47119</v>
      </c>
      <c r="C150" s="15">
        <f t="shared" si="14"/>
        <v>50574.378590080065</v>
      </c>
      <c r="D150" s="13">
        <f t="shared" si="15"/>
        <v>-373.15133741689175</v>
      </c>
      <c r="E150" s="13">
        <f t="shared" si="16"/>
        <v>-236.01376675370682</v>
      </c>
      <c r="F150" s="13">
        <f t="shared" si="17"/>
        <v>-137.13757066318493</v>
      </c>
      <c r="G150" s="13">
        <f>SUM($E$5:E150)</f>
        <v>-39917.336282283046</v>
      </c>
      <c r="H150" s="13">
        <f>SUM($F$5:F150)</f>
        <v>-14562.758980583167</v>
      </c>
    </row>
    <row r="151" spans="1:8" x14ac:dyDescent="0.25">
      <c r="A151" s="1">
        <f t="shared" si="12"/>
        <v>147</v>
      </c>
      <c r="B151" s="14">
        <f t="shared" ca="1" si="13"/>
        <v>47150</v>
      </c>
      <c r="C151" s="15">
        <f t="shared" si="14"/>
        <v>50437.241019416877</v>
      </c>
      <c r="D151" s="13">
        <f t="shared" si="15"/>
        <v>-373.15133741689175</v>
      </c>
      <c r="E151" s="13">
        <f t="shared" si="16"/>
        <v>-235.37379142394533</v>
      </c>
      <c r="F151" s="13">
        <f t="shared" si="17"/>
        <v>-137.77754599294644</v>
      </c>
      <c r="G151" s="13">
        <f>SUM($E$5:E151)</f>
        <v>-40152.710073706992</v>
      </c>
      <c r="H151" s="13">
        <f>SUM($F$5:F151)</f>
        <v>-14700.536526576114</v>
      </c>
    </row>
    <row r="152" spans="1:8" x14ac:dyDescent="0.25">
      <c r="A152" s="1">
        <f t="shared" si="12"/>
        <v>148</v>
      </c>
      <c r="B152" s="14">
        <f t="shared" ca="1" si="13"/>
        <v>47178</v>
      </c>
      <c r="C152" s="15">
        <f t="shared" si="14"/>
        <v>50299.46347342393</v>
      </c>
      <c r="D152" s="13">
        <f t="shared" si="15"/>
        <v>-373.15133741689175</v>
      </c>
      <c r="E152" s="13">
        <f t="shared" si="16"/>
        <v>-234.7308295426449</v>
      </c>
      <c r="F152" s="13">
        <f t="shared" si="17"/>
        <v>-138.42050787424685</v>
      </c>
      <c r="G152" s="13">
        <f>SUM($E$5:E152)</f>
        <v>-40387.440903249641</v>
      </c>
      <c r="H152" s="13">
        <f>SUM($F$5:F152)</f>
        <v>-14838.957034450361</v>
      </c>
    </row>
    <row r="153" spans="1:8" x14ac:dyDescent="0.25">
      <c r="A153" s="1">
        <f t="shared" si="12"/>
        <v>149</v>
      </c>
      <c r="B153" s="14">
        <f t="shared" ca="1" si="13"/>
        <v>47209</v>
      </c>
      <c r="C153" s="15">
        <f t="shared" si="14"/>
        <v>50161.042965549685</v>
      </c>
      <c r="D153" s="13">
        <f t="shared" si="15"/>
        <v>-373.15133741689175</v>
      </c>
      <c r="E153" s="13">
        <f t="shared" si="16"/>
        <v>-234.08486717256505</v>
      </c>
      <c r="F153" s="13">
        <f t="shared" si="17"/>
        <v>-139.06647024432667</v>
      </c>
      <c r="G153" s="13">
        <f>SUM($E$5:E153)</f>
        <v>-40621.525770422202</v>
      </c>
      <c r="H153" s="13">
        <f>SUM($F$5:F153)</f>
        <v>-14978.023504694687</v>
      </c>
    </row>
    <row r="154" spans="1:8" x14ac:dyDescent="0.25">
      <c r="A154" s="1">
        <f t="shared" si="12"/>
        <v>150</v>
      </c>
      <c r="B154" s="14">
        <f t="shared" ca="1" si="13"/>
        <v>47239</v>
      </c>
      <c r="C154" s="15">
        <f t="shared" si="14"/>
        <v>50021.97649530536</v>
      </c>
      <c r="D154" s="13">
        <f t="shared" si="15"/>
        <v>-373.15133741689175</v>
      </c>
      <c r="E154" s="13">
        <f t="shared" si="16"/>
        <v>-233.43589031142483</v>
      </c>
      <c r="F154" s="13">
        <f t="shared" si="17"/>
        <v>-139.71544710546686</v>
      </c>
      <c r="G154" s="13">
        <f>SUM($E$5:E154)</f>
        <v>-40854.961660733628</v>
      </c>
      <c r="H154" s="13">
        <f>SUM($F$5:F154)</f>
        <v>-15117.738951800155</v>
      </c>
    </row>
    <row r="155" spans="1:8" x14ac:dyDescent="0.25">
      <c r="A155" s="1">
        <f t="shared" si="12"/>
        <v>151</v>
      </c>
      <c r="B155" s="14">
        <f t="shared" ca="1" si="13"/>
        <v>47270</v>
      </c>
      <c r="C155" s="15">
        <f t="shared" si="14"/>
        <v>49882.261048199893</v>
      </c>
      <c r="D155" s="13">
        <f t="shared" si="15"/>
        <v>-373.15133741689175</v>
      </c>
      <c r="E155" s="13">
        <f t="shared" si="16"/>
        <v>-232.78388489159937</v>
      </c>
      <c r="F155" s="13">
        <f t="shared" si="17"/>
        <v>-140.36745252529238</v>
      </c>
      <c r="G155" s="13">
        <f>SUM($E$5:E155)</f>
        <v>-41087.745545625228</v>
      </c>
      <c r="H155" s="13">
        <f>SUM($F$5:F155)</f>
        <v>-15258.106404325446</v>
      </c>
    </row>
    <row r="156" spans="1:8" x14ac:dyDescent="0.25">
      <c r="A156" s="1">
        <f t="shared" si="12"/>
        <v>152</v>
      </c>
      <c r="B156" s="14">
        <f t="shared" ca="1" si="13"/>
        <v>47300</v>
      </c>
      <c r="C156" s="15">
        <f t="shared" si="14"/>
        <v>49741.893595674599</v>
      </c>
      <c r="D156" s="13">
        <f t="shared" si="15"/>
        <v>-373.15133741689175</v>
      </c>
      <c r="E156" s="13">
        <f t="shared" si="16"/>
        <v>-232.12883677981463</v>
      </c>
      <c r="F156" s="13">
        <f t="shared" si="17"/>
        <v>-141.02250063707709</v>
      </c>
      <c r="G156" s="13">
        <f>SUM($E$5:E156)</f>
        <v>-41319.87438240504</v>
      </c>
      <c r="H156" s="13">
        <f>SUM($F$5:F156)</f>
        <v>-15399.128904962523</v>
      </c>
    </row>
    <row r="157" spans="1:8" x14ac:dyDescent="0.25">
      <c r="A157" s="1">
        <f t="shared" si="12"/>
        <v>153</v>
      </c>
      <c r="B157" s="14">
        <f t="shared" ca="1" si="13"/>
        <v>47331</v>
      </c>
      <c r="C157" s="15">
        <f t="shared" si="14"/>
        <v>49600.871095037524</v>
      </c>
      <c r="D157" s="13">
        <f t="shared" si="15"/>
        <v>-373.15133741689175</v>
      </c>
      <c r="E157" s="13">
        <f t="shared" si="16"/>
        <v>-231.4707317768416</v>
      </c>
      <c r="F157" s="13">
        <f t="shared" si="17"/>
        <v>-141.68060564005012</v>
      </c>
      <c r="G157" s="13">
        <f>SUM($E$5:E157)</f>
        <v>-41551.34511418188</v>
      </c>
      <c r="H157" s="13">
        <f>SUM($F$5:F157)</f>
        <v>-15540.809510602574</v>
      </c>
    </row>
    <row r="158" spans="1:8" x14ac:dyDescent="0.25">
      <c r="A158" s="1">
        <f t="shared" si="12"/>
        <v>154</v>
      </c>
      <c r="B158" s="14">
        <f t="shared" ca="1" si="13"/>
        <v>47362</v>
      </c>
      <c r="C158" s="15">
        <f t="shared" si="14"/>
        <v>49459.190489397472</v>
      </c>
      <c r="D158" s="13">
        <f t="shared" si="15"/>
        <v>-373.15133741689175</v>
      </c>
      <c r="E158" s="13">
        <f t="shared" si="16"/>
        <v>-230.80955561718804</v>
      </c>
      <c r="F158" s="13">
        <f t="shared" si="17"/>
        <v>-142.34178179970368</v>
      </c>
      <c r="G158" s="13">
        <f>SUM($E$5:E158)</f>
        <v>-41782.154669799071</v>
      </c>
      <c r="H158" s="13">
        <f>SUM($F$5:F158)</f>
        <v>-15683.151292402277</v>
      </c>
    </row>
    <row r="159" spans="1:8" x14ac:dyDescent="0.25">
      <c r="A159" s="1">
        <f t="shared" si="12"/>
        <v>155</v>
      </c>
      <c r="B159" s="14">
        <f t="shared" ca="1" si="13"/>
        <v>47392</v>
      </c>
      <c r="C159" s="15">
        <f t="shared" si="14"/>
        <v>49316.848707597768</v>
      </c>
      <c r="D159" s="13">
        <f t="shared" si="15"/>
        <v>-373.15133741689175</v>
      </c>
      <c r="E159" s="13">
        <f t="shared" si="16"/>
        <v>-230.14529396878945</v>
      </c>
      <c r="F159" s="13">
        <f t="shared" si="17"/>
        <v>-143.0060434481023</v>
      </c>
      <c r="G159" s="13">
        <f>SUM($E$5:E159)</f>
        <v>-42012.299963767859</v>
      </c>
      <c r="H159" s="13">
        <f>SUM($F$5:F159)</f>
        <v>-15826.157335850379</v>
      </c>
    </row>
    <row r="160" spans="1:8" x14ac:dyDescent="0.25">
      <c r="A160" s="1">
        <f t="shared" si="12"/>
        <v>156</v>
      </c>
      <c r="B160" s="14">
        <f t="shared" ca="1" si="13"/>
        <v>47423</v>
      </c>
      <c r="C160" s="15">
        <f t="shared" si="14"/>
        <v>49173.842664149663</v>
      </c>
      <c r="D160" s="13">
        <f t="shared" si="15"/>
        <v>-373.15133741689175</v>
      </c>
      <c r="E160" s="13">
        <f t="shared" si="16"/>
        <v>-229.47793243269828</v>
      </c>
      <c r="F160" s="13">
        <f t="shared" si="17"/>
        <v>-143.67340498419347</v>
      </c>
      <c r="G160" s="13">
        <f>SUM($E$5:E160)</f>
        <v>-42241.777896200554</v>
      </c>
      <c r="H160" s="13">
        <f>SUM($F$5:F160)</f>
        <v>-15969.830740834574</v>
      </c>
    </row>
    <row r="161" spans="1:8" x14ac:dyDescent="0.25">
      <c r="A161" s="1">
        <f t="shared" si="12"/>
        <v>157</v>
      </c>
      <c r="B161" s="14">
        <f t="shared" ca="1" si="13"/>
        <v>47453</v>
      </c>
      <c r="C161" s="15">
        <f t="shared" si="14"/>
        <v>49030.169259165472</v>
      </c>
      <c r="D161" s="13">
        <f t="shared" si="15"/>
        <v>-373.15133741689175</v>
      </c>
      <c r="E161" s="13">
        <f t="shared" si="16"/>
        <v>-228.80745654277206</v>
      </c>
      <c r="F161" s="13">
        <f t="shared" si="17"/>
        <v>-144.34388087411966</v>
      </c>
      <c r="G161" s="13">
        <f>SUM($E$5:E161)</f>
        <v>-42470.585352743328</v>
      </c>
      <c r="H161" s="13">
        <f>SUM($F$5:F161)</f>
        <v>-16114.174621708693</v>
      </c>
    </row>
    <row r="162" spans="1:8" x14ac:dyDescent="0.25">
      <c r="A162" s="1">
        <f t="shared" si="12"/>
        <v>158</v>
      </c>
      <c r="B162" s="14">
        <f t="shared" ca="1" si="13"/>
        <v>47484</v>
      </c>
      <c r="C162" s="15">
        <f t="shared" si="14"/>
        <v>48885.825378291353</v>
      </c>
      <c r="D162" s="13">
        <f t="shared" si="15"/>
        <v>-373.15133741689175</v>
      </c>
      <c r="E162" s="13">
        <f t="shared" si="16"/>
        <v>-228.13385176535948</v>
      </c>
      <c r="F162" s="13">
        <f t="shared" si="17"/>
        <v>-145.01748565153224</v>
      </c>
      <c r="G162" s="13">
        <f>SUM($E$5:E162)</f>
        <v>-42698.719204508685</v>
      </c>
      <c r="H162" s="13">
        <f>SUM($F$5:F162)</f>
        <v>-16259.192107360224</v>
      </c>
    </row>
    <row r="163" spans="1:8" x14ac:dyDescent="0.25">
      <c r="A163" s="1">
        <f t="shared" si="12"/>
        <v>159</v>
      </c>
      <c r="B163" s="14">
        <f t="shared" ca="1" si="13"/>
        <v>47515</v>
      </c>
      <c r="C163" s="15">
        <f t="shared" si="14"/>
        <v>48740.807892639823</v>
      </c>
      <c r="D163" s="13">
        <f t="shared" si="15"/>
        <v>-373.15133741689175</v>
      </c>
      <c r="E163" s="13">
        <f t="shared" si="16"/>
        <v>-227.4571034989857</v>
      </c>
      <c r="F163" s="13">
        <f t="shared" si="17"/>
        <v>-145.69423391790605</v>
      </c>
      <c r="G163" s="13">
        <f>SUM($E$5:E163)</f>
        <v>-42926.176308007671</v>
      </c>
      <c r="H163" s="13">
        <f>SUM($F$5:F163)</f>
        <v>-16404.886341278132</v>
      </c>
    </row>
    <row r="164" spans="1:8" x14ac:dyDescent="0.25">
      <c r="A164" s="1">
        <f t="shared" si="12"/>
        <v>160</v>
      </c>
      <c r="B164" s="14">
        <f t="shared" ca="1" si="13"/>
        <v>47543</v>
      </c>
      <c r="C164" s="15">
        <f t="shared" si="14"/>
        <v>48595.113658721915</v>
      </c>
      <c r="D164" s="13">
        <f t="shared" si="15"/>
        <v>-373.15133741689175</v>
      </c>
      <c r="E164" s="13">
        <f t="shared" si="16"/>
        <v>-226.77719707403546</v>
      </c>
      <c r="F164" s="13">
        <f t="shared" si="17"/>
        <v>-146.37414034285626</v>
      </c>
      <c r="G164" s="13">
        <f>SUM($E$5:E164)</f>
        <v>-43152.953505081707</v>
      </c>
      <c r="H164" s="13">
        <f>SUM($F$5:F164)</f>
        <v>-16551.26048162099</v>
      </c>
    </row>
    <row r="165" spans="1:8" x14ac:dyDescent="0.25">
      <c r="A165" s="1">
        <f t="shared" si="12"/>
        <v>161</v>
      </c>
      <c r="B165" s="14">
        <f t="shared" ca="1" si="13"/>
        <v>47574</v>
      </c>
      <c r="C165" s="15">
        <f t="shared" si="14"/>
        <v>48448.739518379058</v>
      </c>
      <c r="D165" s="13">
        <f t="shared" si="15"/>
        <v>-373.15133741689175</v>
      </c>
      <c r="E165" s="13">
        <f t="shared" si="16"/>
        <v>-226.09411775243549</v>
      </c>
      <c r="F165" s="13">
        <f t="shared" si="17"/>
        <v>-147.05721966445628</v>
      </c>
      <c r="G165" s="13">
        <f>SUM($E$5:E165)</f>
        <v>-43379.047622834143</v>
      </c>
      <c r="H165" s="13">
        <f>SUM($F$5:F165)</f>
        <v>-16698.317701285447</v>
      </c>
    </row>
    <row r="166" spans="1:8" x14ac:dyDescent="0.25">
      <c r="A166" s="1">
        <f t="shared" si="12"/>
        <v>162</v>
      </c>
      <c r="B166" s="14">
        <f t="shared" ca="1" si="13"/>
        <v>47604</v>
      </c>
      <c r="C166" s="15">
        <f t="shared" si="14"/>
        <v>48301.682298714601</v>
      </c>
      <c r="D166" s="13">
        <f t="shared" si="15"/>
        <v>-373.15133741689175</v>
      </c>
      <c r="E166" s="13">
        <f t="shared" si="16"/>
        <v>-225.40785072733465</v>
      </c>
      <c r="F166" s="13">
        <f t="shared" si="17"/>
        <v>-147.74348668955707</v>
      </c>
      <c r="G166" s="13">
        <f>SUM($E$5:E166)</f>
        <v>-43604.45547356148</v>
      </c>
      <c r="H166" s="13">
        <f>SUM($F$5:F166)</f>
        <v>-16846.061187975003</v>
      </c>
    </row>
    <row r="167" spans="1:8" x14ac:dyDescent="0.25">
      <c r="A167" s="1">
        <f t="shared" si="12"/>
        <v>163</v>
      </c>
      <c r="B167" s="14">
        <f t="shared" ca="1" si="13"/>
        <v>47635</v>
      </c>
      <c r="C167" s="15">
        <f t="shared" si="14"/>
        <v>48153.938812025044</v>
      </c>
      <c r="D167" s="13">
        <f t="shared" si="15"/>
        <v>-373.15133741689175</v>
      </c>
      <c r="E167" s="13">
        <f t="shared" si="16"/>
        <v>-224.71838112278334</v>
      </c>
      <c r="F167" s="13">
        <f t="shared" si="17"/>
        <v>-148.43295629410835</v>
      </c>
      <c r="G167" s="13">
        <f>SUM($E$5:E167)</f>
        <v>-43829.173854684261</v>
      </c>
      <c r="H167" s="13">
        <f>SUM($F$5:F167)</f>
        <v>-16994.494144269112</v>
      </c>
    </row>
    <row r="168" spans="1:8" x14ac:dyDescent="0.25">
      <c r="A168" s="1">
        <f t="shared" si="12"/>
        <v>164</v>
      </c>
      <c r="B168" s="14">
        <f t="shared" ca="1" si="13"/>
        <v>47665</v>
      </c>
      <c r="C168" s="15">
        <f t="shared" si="14"/>
        <v>48005.505855730938</v>
      </c>
      <c r="D168" s="13">
        <f t="shared" si="15"/>
        <v>-373.15133741689175</v>
      </c>
      <c r="E168" s="13">
        <f t="shared" si="16"/>
        <v>-224.02569399341095</v>
      </c>
      <c r="F168" s="13">
        <f t="shared" si="17"/>
        <v>-149.12564342348085</v>
      </c>
      <c r="G168" s="13">
        <f>SUM($E$5:E168)</f>
        <v>-44053.199548677672</v>
      </c>
      <c r="H168" s="13">
        <f>SUM($F$5:F168)</f>
        <v>-17143.619787692594</v>
      </c>
    </row>
    <row r="169" spans="1:8" x14ac:dyDescent="0.25">
      <c r="A169" s="1">
        <f t="shared" si="12"/>
        <v>165</v>
      </c>
      <c r="B169" s="14">
        <f t="shared" ca="1" si="13"/>
        <v>47696</v>
      </c>
      <c r="C169" s="15">
        <f t="shared" si="14"/>
        <v>47856.380212307457</v>
      </c>
      <c r="D169" s="13">
        <f t="shared" si="15"/>
        <v>-373.15133741689175</v>
      </c>
      <c r="E169" s="13">
        <f t="shared" si="16"/>
        <v>-223.32977432410132</v>
      </c>
      <c r="F169" s="13">
        <f t="shared" si="17"/>
        <v>-149.82156309279046</v>
      </c>
      <c r="G169" s="13">
        <f>SUM($E$5:E169)</f>
        <v>-44276.529323001771</v>
      </c>
      <c r="H169" s="13">
        <f>SUM($F$5:F169)</f>
        <v>-17293.441350785386</v>
      </c>
    </row>
    <row r="170" spans="1:8" x14ac:dyDescent="0.25">
      <c r="A170" s="1">
        <f t="shared" si="12"/>
        <v>166</v>
      </c>
      <c r="B170" s="14">
        <f t="shared" ca="1" si="13"/>
        <v>47727</v>
      </c>
      <c r="C170" s="15">
        <f t="shared" si="14"/>
        <v>47706.558649214669</v>
      </c>
      <c r="D170" s="13">
        <f t="shared" si="15"/>
        <v>-373.15133741689175</v>
      </c>
      <c r="E170" s="13">
        <f t="shared" si="16"/>
        <v>-222.63060702966834</v>
      </c>
      <c r="F170" s="13">
        <f t="shared" si="17"/>
        <v>-150.52073038722344</v>
      </c>
      <c r="G170" s="13">
        <f>SUM($E$5:E170)</f>
        <v>-44499.159930031441</v>
      </c>
      <c r="H170" s="13">
        <f>SUM($F$5:F170)</f>
        <v>-17443.962081172609</v>
      </c>
    </row>
    <row r="171" spans="1:8" x14ac:dyDescent="0.25">
      <c r="A171" s="1">
        <f t="shared" si="12"/>
        <v>167</v>
      </c>
      <c r="B171" s="14">
        <f t="shared" ca="1" si="13"/>
        <v>47757</v>
      </c>
      <c r="C171" s="15">
        <f t="shared" si="14"/>
        <v>47556.037918827446</v>
      </c>
      <c r="D171" s="13">
        <f t="shared" si="15"/>
        <v>-373.15133741689175</v>
      </c>
      <c r="E171" s="13">
        <f t="shared" si="16"/>
        <v>-221.92817695452794</v>
      </c>
      <c r="F171" s="13">
        <f t="shared" si="17"/>
        <v>-151.22316046236381</v>
      </c>
      <c r="G171" s="13">
        <f>SUM($E$5:E171)</f>
        <v>-44721.088106985968</v>
      </c>
      <c r="H171" s="13">
        <f>SUM($F$5:F171)</f>
        <v>-17595.185241634972</v>
      </c>
    </row>
    <row r="172" spans="1:8" x14ac:dyDescent="0.25">
      <c r="A172" s="1">
        <f t="shared" si="12"/>
        <v>168</v>
      </c>
      <c r="B172" s="14">
        <f t="shared" ca="1" si="13"/>
        <v>47788</v>
      </c>
      <c r="C172" s="15">
        <f t="shared" si="14"/>
        <v>47404.814758365079</v>
      </c>
      <c r="D172" s="13">
        <f t="shared" si="15"/>
        <v>-373.15133741689175</v>
      </c>
      <c r="E172" s="13">
        <f t="shared" si="16"/>
        <v>-221.22246887237023</v>
      </c>
      <c r="F172" s="13">
        <f t="shared" si="17"/>
        <v>-151.92886854452152</v>
      </c>
      <c r="G172" s="13">
        <f>SUM($E$5:E172)</f>
        <v>-44942.310575858341</v>
      </c>
      <c r="H172" s="13">
        <f>SUM($F$5:F172)</f>
        <v>-17747.114110179493</v>
      </c>
    </row>
    <row r="173" spans="1:8" x14ac:dyDescent="0.25">
      <c r="A173" s="1">
        <f t="shared" si="12"/>
        <v>169</v>
      </c>
      <c r="B173" s="14">
        <f t="shared" ca="1" si="13"/>
        <v>47818</v>
      </c>
      <c r="C173" s="15">
        <f t="shared" si="14"/>
        <v>47252.885889820558</v>
      </c>
      <c r="D173" s="13">
        <f t="shared" si="15"/>
        <v>-373.15133741689175</v>
      </c>
      <c r="E173" s="13">
        <f t="shared" si="16"/>
        <v>-220.5134674858291</v>
      </c>
      <c r="F173" s="13">
        <f t="shared" si="17"/>
        <v>-152.63786993106262</v>
      </c>
      <c r="G173" s="13">
        <f>SUM($E$5:E173)</f>
        <v>-45162.824043344168</v>
      </c>
      <c r="H173" s="13">
        <f>SUM($F$5:F173)</f>
        <v>-17899.751980110555</v>
      </c>
    </row>
    <row r="174" spans="1:8" x14ac:dyDescent="0.25">
      <c r="A174" s="1">
        <f t="shared" si="12"/>
        <v>170</v>
      </c>
      <c r="B174" s="14">
        <f t="shared" ca="1" si="13"/>
        <v>47849</v>
      </c>
      <c r="C174" s="15">
        <f t="shared" si="14"/>
        <v>47100.248019889492</v>
      </c>
      <c r="D174" s="13">
        <f t="shared" si="15"/>
        <v>-373.15133741689175</v>
      </c>
      <c r="E174" s="13">
        <f t="shared" si="16"/>
        <v>-219.80115742615084</v>
      </c>
      <c r="F174" s="13">
        <f t="shared" si="17"/>
        <v>-153.35017999074094</v>
      </c>
      <c r="G174" s="13">
        <f>SUM($E$5:E174)</f>
        <v>-45382.625200770315</v>
      </c>
      <c r="H174" s="13">
        <f>SUM($F$5:F174)</f>
        <v>-18053.102160101298</v>
      </c>
    </row>
    <row r="175" spans="1:8" x14ac:dyDescent="0.25">
      <c r="A175" s="1">
        <f t="shared" si="12"/>
        <v>171</v>
      </c>
      <c r="B175" s="14">
        <f t="shared" ca="1" si="13"/>
        <v>47880</v>
      </c>
      <c r="C175" s="15">
        <f t="shared" si="14"/>
        <v>46946.897839898753</v>
      </c>
      <c r="D175" s="13">
        <f t="shared" si="15"/>
        <v>-373.15133741689175</v>
      </c>
      <c r="E175" s="13">
        <f t="shared" si="16"/>
        <v>-219.08552325286075</v>
      </c>
      <c r="F175" s="13">
        <f t="shared" si="17"/>
        <v>-154.06581416403105</v>
      </c>
      <c r="G175" s="13">
        <f>SUM($E$5:E175)</f>
        <v>-45601.710724023178</v>
      </c>
      <c r="H175" s="13">
        <f>SUM($F$5:F175)</f>
        <v>-18207.167974265329</v>
      </c>
    </row>
    <row r="176" spans="1:8" x14ac:dyDescent="0.25">
      <c r="A176" s="1">
        <f t="shared" si="12"/>
        <v>172</v>
      </c>
      <c r="B176" s="14">
        <f t="shared" ca="1" si="13"/>
        <v>47908</v>
      </c>
      <c r="C176" s="15">
        <f t="shared" si="14"/>
        <v>46792.832025734722</v>
      </c>
      <c r="D176" s="13">
        <f t="shared" si="15"/>
        <v>-373.15133741689175</v>
      </c>
      <c r="E176" s="13">
        <f t="shared" si="16"/>
        <v>-218.36654945342858</v>
      </c>
      <c r="F176" s="13">
        <f t="shared" si="17"/>
        <v>-154.78478796346317</v>
      </c>
      <c r="G176" s="13">
        <f>SUM($E$5:E176)</f>
        <v>-45820.077273476607</v>
      </c>
      <c r="H176" s="13">
        <f>SUM($F$5:F176)</f>
        <v>-18361.952762228793</v>
      </c>
    </row>
    <row r="177" spans="1:8" x14ac:dyDescent="0.25">
      <c r="A177" s="1">
        <f t="shared" si="12"/>
        <v>173</v>
      </c>
      <c r="B177" s="14">
        <f t="shared" ca="1" si="13"/>
        <v>47939</v>
      </c>
      <c r="C177" s="15">
        <f t="shared" si="14"/>
        <v>46638.047237771258</v>
      </c>
      <c r="D177" s="13">
        <f t="shared" si="15"/>
        <v>-373.15133741689175</v>
      </c>
      <c r="E177" s="13">
        <f t="shared" si="16"/>
        <v>-217.64422044293238</v>
      </c>
      <c r="F177" s="13">
        <f t="shared" si="17"/>
        <v>-155.50711697395934</v>
      </c>
      <c r="G177" s="13">
        <f>SUM($E$5:E177)</f>
        <v>-46037.72149391954</v>
      </c>
      <c r="H177" s="13">
        <f>SUM($F$5:F177)</f>
        <v>-18517.459879202754</v>
      </c>
    </row>
    <row r="178" spans="1:8" x14ac:dyDescent="0.25">
      <c r="A178" s="1">
        <f t="shared" si="12"/>
        <v>174</v>
      </c>
      <c r="B178" s="14">
        <f t="shared" ca="1" si="13"/>
        <v>47969</v>
      </c>
      <c r="C178" s="15">
        <f t="shared" si="14"/>
        <v>46482.540120797297</v>
      </c>
      <c r="D178" s="13">
        <f t="shared" si="15"/>
        <v>-373.15133741689175</v>
      </c>
      <c r="E178" s="13">
        <f t="shared" si="16"/>
        <v>-216.91852056372056</v>
      </c>
      <c r="F178" s="13">
        <f t="shared" si="17"/>
        <v>-156.23281685317116</v>
      </c>
      <c r="G178" s="13">
        <f>SUM($E$5:E178)</f>
        <v>-46254.640014483259</v>
      </c>
      <c r="H178" s="13">
        <f>SUM($F$5:F178)</f>
        <v>-18673.692696055925</v>
      </c>
    </row>
    <row r="179" spans="1:8" x14ac:dyDescent="0.25">
      <c r="A179" s="1">
        <f t="shared" si="12"/>
        <v>175</v>
      </c>
      <c r="B179" s="14">
        <f t="shared" ca="1" si="13"/>
        <v>48000</v>
      </c>
      <c r="C179" s="15">
        <f t="shared" si="14"/>
        <v>46326.30730394413</v>
      </c>
      <c r="D179" s="13">
        <f t="shared" si="15"/>
        <v>-373.15133741689175</v>
      </c>
      <c r="E179" s="13">
        <f t="shared" si="16"/>
        <v>-216.18943408507246</v>
      </c>
      <c r="F179" s="13">
        <f t="shared" si="17"/>
        <v>-156.96190333181929</v>
      </c>
      <c r="G179" s="13">
        <f>SUM($E$5:E179)</f>
        <v>-46470.829448568329</v>
      </c>
      <c r="H179" s="13">
        <f>SUM($F$5:F179)</f>
        <v>-18830.654599387744</v>
      </c>
    </row>
    <row r="180" spans="1:8" x14ac:dyDescent="0.25">
      <c r="A180" s="1">
        <f t="shared" si="12"/>
        <v>176</v>
      </c>
      <c r="B180" s="14">
        <f t="shared" ca="1" si="13"/>
        <v>48030</v>
      </c>
      <c r="C180" s="15">
        <f t="shared" si="14"/>
        <v>46169.345400612314</v>
      </c>
      <c r="D180" s="13">
        <f t="shared" si="15"/>
        <v>-373.15133741689175</v>
      </c>
      <c r="E180" s="13">
        <f t="shared" si="16"/>
        <v>-215.45694520285733</v>
      </c>
      <c r="F180" s="13">
        <f t="shared" si="17"/>
        <v>-157.69439221403442</v>
      </c>
      <c r="G180" s="13">
        <f>SUM($E$5:E180)</f>
        <v>-46686.286393771188</v>
      </c>
      <c r="H180" s="13">
        <f>SUM($F$5:F180)</f>
        <v>-18988.348991601779</v>
      </c>
    </row>
    <row r="181" spans="1:8" x14ac:dyDescent="0.25">
      <c r="A181" s="1">
        <f t="shared" si="12"/>
        <v>177</v>
      </c>
      <c r="B181" s="14">
        <f t="shared" ca="1" si="13"/>
        <v>48061</v>
      </c>
      <c r="C181" s="15">
        <f t="shared" si="14"/>
        <v>46011.651008398279</v>
      </c>
      <c r="D181" s="13">
        <f t="shared" si="15"/>
        <v>-373.15133741689175</v>
      </c>
      <c r="E181" s="13">
        <f t="shared" si="16"/>
        <v>-214.7210380391918</v>
      </c>
      <c r="F181" s="13">
        <f t="shared" si="17"/>
        <v>-158.43029937769995</v>
      </c>
      <c r="G181" s="13">
        <f>SUM($E$5:E181)</f>
        <v>-46901.00743181038</v>
      </c>
      <c r="H181" s="13">
        <f>SUM($F$5:F181)</f>
        <v>-19146.779290979477</v>
      </c>
    </row>
    <row r="182" spans="1:8" x14ac:dyDescent="0.25">
      <c r="A182" s="1">
        <f t="shared" si="12"/>
        <v>178</v>
      </c>
      <c r="B182" s="14">
        <f t="shared" ca="1" si="13"/>
        <v>48092</v>
      </c>
      <c r="C182" s="15">
        <f t="shared" si="14"/>
        <v>45853.220709020577</v>
      </c>
      <c r="D182" s="13">
        <f t="shared" si="15"/>
        <v>-373.15133741689175</v>
      </c>
      <c r="E182" s="13">
        <f t="shared" si="16"/>
        <v>-213.98169664209584</v>
      </c>
      <c r="F182" s="13">
        <f t="shared" si="17"/>
        <v>-159.16964077479585</v>
      </c>
      <c r="G182" s="13">
        <f>SUM($E$5:E182)</f>
        <v>-47114.989128452478</v>
      </c>
      <c r="H182" s="13">
        <f>SUM($F$5:F182)</f>
        <v>-19305.948931754272</v>
      </c>
    </row>
    <row r="183" spans="1:8" x14ac:dyDescent="0.25">
      <c r="A183" s="1">
        <f t="shared" si="12"/>
        <v>179</v>
      </c>
      <c r="B183" s="14">
        <f t="shared" ca="1" si="13"/>
        <v>48122</v>
      </c>
      <c r="C183" s="15">
        <f t="shared" si="14"/>
        <v>45694.051068245783</v>
      </c>
      <c r="D183" s="13">
        <f t="shared" si="15"/>
        <v>-373.15133741689175</v>
      </c>
      <c r="E183" s="13">
        <f t="shared" si="16"/>
        <v>-213.23890498514683</v>
      </c>
      <c r="F183" s="13">
        <f t="shared" si="17"/>
        <v>-159.91243243174492</v>
      </c>
      <c r="G183" s="13">
        <f>SUM($E$5:E183)</f>
        <v>-47328.228033437626</v>
      </c>
      <c r="H183" s="13">
        <f>SUM($F$5:F183)</f>
        <v>-19465.861364186017</v>
      </c>
    </row>
    <row r="184" spans="1:8" x14ac:dyDescent="0.25">
      <c r="A184" s="1">
        <f t="shared" si="12"/>
        <v>180</v>
      </c>
      <c r="B184" s="14">
        <f t="shared" ca="1" si="13"/>
        <v>48153</v>
      </c>
      <c r="C184" s="15">
        <f t="shared" si="14"/>
        <v>45534.138635814037</v>
      </c>
      <c r="D184" s="13">
        <f t="shared" si="15"/>
        <v>-373.15133741689175</v>
      </c>
      <c r="E184" s="13">
        <f t="shared" si="16"/>
        <v>-212.49264696713198</v>
      </c>
      <c r="F184" s="13">
        <f t="shared" si="17"/>
        <v>-160.65869044975972</v>
      </c>
      <c r="G184" s="13">
        <f>SUM($E$5:E184)</f>
        <v>-47540.72068040476</v>
      </c>
      <c r="H184" s="13">
        <f>SUM($F$5:F184)</f>
        <v>-19626.520054635777</v>
      </c>
    </row>
    <row r="185" spans="1:8" x14ac:dyDescent="0.25">
      <c r="A185" s="1">
        <f t="shared" si="12"/>
        <v>181</v>
      </c>
      <c r="B185" s="14">
        <f t="shared" ca="1" si="13"/>
        <v>48183</v>
      </c>
      <c r="C185" s="15">
        <f t="shared" si="14"/>
        <v>45373.479945364277</v>
      </c>
      <c r="D185" s="13">
        <f t="shared" si="15"/>
        <v>-373.15133741689175</v>
      </c>
      <c r="E185" s="13">
        <f t="shared" si="16"/>
        <v>-211.74290641169981</v>
      </c>
      <c r="F185" s="13">
        <f t="shared" si="17"/>
        <v>-161.40843100519194</v>
      </c>
      <c r="G185" s="13">
        <f>SUM($E$5:E185)</f>
        <v>-47752.463586816462</v>
      </c>
      <c r="H185" s="13">
        <f>SUM($F$5:F185)</f>
        <v>-19787.928485640969</v>
      </c>
    </row>
    <row r="186" spans="1:8" x14ac:dyDescent="0.25">
      <c r="A186" s="1">
        <f t="shared" si="12"/>
        <v>182</v>
      </c>
      <c r="B186" s="14">
        <f t="shared" ca="1" si="13"/>
        <v>48214</v>
      </c>
      <c r="C186" s="15">
        <f t="shared" si="14"/>
        <v>45212.071514359086</v>
      </c>
      <c r="D186" s="13">
        <f t="shared" si="15"/>
        <v>-373.15133741689175</v>
      </c>
      <c r="E186" s="13">
        <f t="shared" si="16"/>
        <v>-210.98966706700892</v>
      </c>
      <c r="F186" s="13">
        <f t="shared" si="17"/>
        <v>-162.16167034988283</v>
      </c>
      <c r="G186" s="13">
        <f>SUM($E$5:E186)</f>
        <v>-47963.453253883468</v>
      </c>
      <c r="H186" s="13">
        <f>SUM($F$5:F186)</f>
        <v>-19950.090155990853</v>
      </c>
    </row>
    <row r="187" spans="1:8" x14ac:dyDescent="0.25">
      <c r="A187" s="1">
        <f t="shared" si="12"/>
        <v>183</v>
      </c>
      <c r="B187" s="14">
        <f t="shared" ca="1" si="13"/>
        <v>48245</v>
      </c>
      <c r="C187" s="15">
        <f t="shared" si="14"/>
        <v>45049.909844009206</v>
      </c>
      <c r="D187" s="13">
        <f t="shared" si="15"/>
        <v>-373.15133741689175</v>
      </c>
      <c r="E187" s="13">
        <f t="shared" si="16"/>
        <v>-210.2329126053761</v>
      </c>
      <c r="F187" s="13">
        <f t="shared" si="17"/>
        <v>-162.91842481151562</v>
      </c>
      <c r="G187" s="13">
        <f>SUM($E$5:E187)</f>
        <v>-48173.686166488842</v>
      </c>
      <c r="H187" s="13">
        <f>SUM($F$5:F187)</f>
        <v>-20113.008580802369</v>
      </c>
    </row>
    <row r="188" spans="1:8" x14ac:dyDescent="0.25">
      <c r="A188" s="1">
        <f t="shared" si="12"/>
        <v>184</v>
      </c>
      <c r="B188" s="14">
        <f t="shared" ca="1" si="13"/>
        <v>48274</v>
      </c>
      <c r="C188" s="15">
        <f t="shared" si="14"/>
        <v>44886.991419197693</v>
      </c>
      <c r="D188" s="13">
        <f t="shared" si="15"/>
        <v>-373.15133741689175</v>
      </c>
      <c r="E188" s="13">
        <f t="shared" si="16"/>
        <v>-209.47262662292241</v>
      </c>
      <c r="F188" s="13">
        <f t="shared" si="17"/>
        <v>-163.67871079396934</v>
      </c>
      <c r="G188" s="13">
        <f>SUM($E$5:E188)</f>
        <v>-48383.158793111761</v>
      </c>
      <c r="H188" s="13">
        <f>SUM($F$5:F188)</f>
        <v>-20276.687291596339</v>
      </c>
    </row>
    <row r="189" spans="1:8" x14ac:dyDescent="0.25">
      <c r="A189" s="1">
        <f t="shared" si="12"/>
        <v>185</v>
      </c>
      <c r="B189" s="14">
        <f t="shared" ca="1" si="13"/>
        <v>48305</v>
      </c>
      <c r="C189" s="15">
        <f t="shared" si="14"/>
        <v>44723.312708403726</v>
      </c>
      <c r="D189" s="13">
        <f t="shared" si="15"/>
        <v>-373.15133741689175</v>
      </c>
      <c r="E189" s="13">
        <f t="shared" si="16"/>
        <v>-208.70879263921717</v>
      </c>
      <c r="F189" s="13">
        <f t="shared" si="17"/>
        <v>-164.44254477767458</v>
      </c>
      <c r="G189" s="13">
        <f>SUM($E$5:E189)</f>
        <v>-48591.867585750981</v>
      </c>
      <c r="H189" s="13">
        <f>SUM($F$5:F189)</f>
        <v>-20441.129836374013</v>
      </c>
    </row>
    <row r="190" spans="1:8" x14ac:dyDescent="0.25">
      <c r="A190" s="1">
        <f t="shared" si="12"/>
        <v>186</v>
      </c>
      <c r="B190" s="14">
        <f t="shared" ca="1" si="13"/>
        <v>48335</v>
      </c>
      <c r="C190" s="15">
        <f t="shared" si="14"/>
        <v>44558.870163626052</v>
      </c>
      <c r="D190" s="13">
        <f t="shared" si="15"/>
        <v>-373.15133741689175</v>
      </c>
      <c r="E190" s="13">
        <f t="shared" si="16"/>
        <v>-207.94139409692136</v>
      </c>
      <c r="F190" s="13">
        <f t="shared" si="17"/>
        <v>-165.20994331997034</v>
      </c>
      <c r="G190" s="13">
        <f>SUM($E$5:E190)</f>
        <v>-48799.808979847905</v>
      </c>
      <c r="H190" s="13">
        <f>SUM($F$5:F190)</f>
        <v>-20606.339779693983</v>
      </c>
    </row>
    <row r="191" spans="1:8" x14ac:dyDescent="0.25">
      <c r="A191" s="1">
        <f t="shared" si="12"/>
        <v>187</v>
      </c>
      <c r="B191" s="14">
        <f t="shared" ca="1" si="13"/>
        <v>48366</v>
      </c>
      <c r="C191" s="15">
        <f t="shared" si="14"/>
        <v>44393.660220306083</v>
      </c>
      <c r="D191" s="13">
        <f t="shared" si="15"/>
        <v>-373.15133741689175</v>
      </c>
      <c r="E191" s="13">
        <f t="shared" si="16"/>
        <v>-207.17041436142816</v>
      </c>
      <c r="F191" s="13">
        <f t="shared" si="17"/>
        <v>-165.98092305546356</v>
      </c>
      <c r="G191" s="13">
        <f>SUM($E$5:E191)</f>
        <v>-49006.979394209331</v>
      </c>
      <c r="H191" s="13">
        <f>SUM($F$5:F191)</f>
        <v>-20772.320702749446</v>
      </c>
    </row>
    <row r="192" spans="1:8" x14ac:dyDescent="0.25">
      <c r="A192" s="1">
        <f t="shared" si="12"/>
        <v>188</v>
      </c>
      <c r="B192" s="14">
        <f t="shared" ca="1" si="13"/>
        <v>48396</v>
      </c>
      <c r="C192" s="15">
        <f t="shared" si="14"/>
        <v>44227.679297250623</v>
      </c>
      <c r="D192" s="13">
        <f t="shared" si="15"/>
        <v>-373.15133741689175</v>
      </c>
      <c r="E192" s="13">
        <f t="shared" si="16"/>
        <v>-206.39583672050267</v>
      </c>
      <c r="F192" s="13">
        <f t="shared" si="17"/>
        <v>-166.75550069638908</v>
      </c>
      <c r="G192" s="13">
        <f>SUM($E$5:E192)</f>
        <v>-49213.375230929836</v>
      </c>
      <c r="H192" s="13">
        <f>SUM($F$5:F192)</f>
        <v>-20939.076203445835</v>
      </c>
    </row>
    <row r="193" spans="1:8" x14ac:dyDescent="0.25">
      <c r="A193" s="1">
        <f t="shared" si="12"/>
        <v>189</v>
      </c>
      <c r="B193" s="14">
        <f t="shared" ca="1" si="13"/>
        <v>48427</v>
      </c>
      <c r="C193" s="15">
        <f t="shared" si="14"/>
        <v>44060.923796554234</v>
      </c>
      <c r="D193" s="13">
        <f t="shared" si="15"/>
        <v>-373.15133741689175</v>
      </c>
      <c r="E193" s="13">
        <f t="shared" si="16"/>
        <v>-205.61764438391953</v>
      </c>
      <c r="F193" s="13">
        <f t="shared" si="17"/>
        <v>-167.5336930329722</v>
      </c>
      <c r="G193" s="13">
        <f>SUM($E$5:E193)</f>
        <v>-49418.992875313757</v>
      </c>
      <c r="H193" s="13">
        <f>SUM($F$5:F193)</f>
        <v>-21106.609896478807</v>
      </c>
    </row>
    <row r="194" spans="1:8" x14ac:dyDescent="0.25">
      <c r="A194" s="1">
        <f t="shared" si="12"/>
        <v>190</v>
      </c>
      <c r="B194" s="14">
        <f t="shared" ca="1" si="13"/>
        <v>48458</v>
      </c>
      <c r="C194" s="15">
        <f t="shared" si="14"/>
        <v>43893.390103521262</v>
      </c>
      <c r="D194" s="13">
        <f t="shared" si="15"/>
        <v>-373.15133741689175</v>
      </c>
      <c r="E194" s="13">
        <f t="shared" si="16"/>
        <v>-204.83582048309901</v>
      </c>
      <c r="F194" s="13">
        <f t="shared" si="17"/>
        <v>-168.31551693379274</v>
      </c>
      <c r="G194" s="13">
        <f>SUM($E$5:E194)</f>
        <v>-49623.828695796859</v>
      </c>
      <c r="H194" s="13">
        <f>SUM($F$5:F194)</f>
        <v>-21274.925413412599</v>
      </c>
    </row>
    <row r="195" spans="1:8" x14ac:dyDescent="0.25">
      <c r="A195" s="1">
        <f t="shared" si="12"/>
        <v>191</v>
      </c>
      <c r="B195" s="14">
        <f t="shared" ca="1" si="13"/>
        <v>48488</v>
      </c>
      <c r="C195" s="15">
        <f t="shared" si="14"/>
        <v>43725.074586587471</v>
      </c>
      <c r="D195" s="13">
        <f t="shared" si="15"/>
        <v>-373.15133741689175</v>
      </c>
      <c r="E195" s="13">
        <f t="shared" si="16"/>
        <v>-204.05034807074128</v>
      </c>
      <c r="F195" s="13">
        <f t="shared" si="17"/>
        <v>-169.10098934615047</v>
      </c>
      <c r="G195" s="13">
        <f>SUM($E$5:E195)</f>
        <v>-49827.879043867601</v>
      </c>
      <c r="H195" s="13">
        <f>SUM($F$5:F195)</f>
        <v>-21444.026402758747</v>
      </c>
    </row>
    <row r="196" spans="1:8" x14ac:dyDescent="0.25">
      <c r="A196" s="1">
        <f t="shared" si="12"/>
        <v>192</v>
      </c>
      <c r="B196" s="14">
        <f t="shared" ca="1" si="13"/>
        <v>48519</v>
      </c>
      <c r="C196" s="15">
        <f t="shared" si="14"/>
        <v>43555.973597241318</v>
      </c>
      <c r="D196" s="13">
        <f t="shared" si="15"/>
        <v>-373.15133741689175</v>
      </c>
      <c r="E196" s="13">
        <f t="shared" si="16"/>
        <v>-203.26121012045925</v>
      </c>
      <c r="F196" s="13">
        <f t="shared" si="17"/>
        <v>-169.89012729643247</v>
      </c>
      <c r="G196" s="13">
        <f>SUM($E$5:E196)</f>
        <v>-50031.140253988058</v>
      </c>
      <c r="H196" s="13">
        <f>SUM($F$5:F196)</f>
        <v>-21613.916530055179</v>
      </c>
    </row>
    <row r="197" spans="1:8" x14ac:dyDescent="0.25">
      <c r="A197" s="1">
        <f t="shared" ref="A197:A260" si="18">ROW(A193)</f>
        <v>193</v>
      </c>
      <c r="B197" s="14">
        <f t="shared" ca="1" si="13"/>
        <v>48549</v>
      </c>
      <c r="C197" s="15">
        <f t="shared" si="14"/>
        <v>43386.083469944882</v>
      </c>
      <c r="D197" s="13">
        <f t="shared" si="15"/>
        <v>-373.15133741689175</v>
      </c>
      <c r="E197" s="13">
        <f t="shared" si="16"/>
        <v>-202.46838952640925</v>
      </c>
      <c r="F197" s="13">
        <f t="shared" si="17"/>
        <v>-170.6829478904825</v>
      </c>
      <c r="G197" s="13">
        <f>SUM($E$5:E197)</f>
        <v>-50233.608643514468</v>
      </c>
      <c r="H197" s="13">
        <f>SUM($F$5:F197)</f>
        <v>-21784.599477945663</v>
      </c>
    </row>
    <row r="198" spans="1:8" x14ac:dyDescent="0.25">
      <c r="A198" s="1">
        <f t="shared" si="18"/>
        <v>194</v>
      </c>
      <c r="B198" s="14">
        <f t="shared" ref="B198:B261" ca="1" si="19">DATE(YEAR(NOW()),MONTH(NOW())+A198,1)</f>
        <v>48580</v>
      </c>
      <c r="C198" s="15">
        <f t="shared" si="14"/>
        <v>43215.400522054399</v>
      </c>
      <c r="D198" s="13">
        <f t="shared" si="15"/>
        <v>-373.15133741689175</v>
      </c>
      <c r="E198" s="13">
        <f t="shared" si="16"/>
        <v>-201.67186910292031</v>
      </c>
      <c r="F198" s="13">
        <f t="shared" si="17"/>
        <v>-171.47946831397144</v>
      </c>
      <c r="G198" s="13">
        <f>SUM($E$5:E198)</f>
        <v>-50435.280512617392</v>
      </c>
      <c r="H198" s="13">
        <f>SUM($F$5:F198)</f>
        <v>-21956.078946259633</v>
      </c>
    </row>
    <row r="199" spans="1:8" x14ac:dyDescent="0.25">
      <c r="A199" s="1">
        <f t="shared" si="18"/>
        <v>195</v>
      </c>
      <c r="B199" s="14">
        <f t="shared" ca="1" si="19"/>
        <v>48611</v>
      </c>
      <c r="C199" s="15">
        <f t="shared" ref="C199:C262" si="20">C198+F198</f>
        <v>43043.921053740429</v>
      </c>
      <c r="D199" s="13">
        <f t="shared" ref="D199:D262" si="21">$F$2</f>
        <v>-373.15133741689175</v>
      </c>
      <c r="E199" s="13">
        <f t="shared" ref="E199:E262" si="22">IPMT($D$2/12,A199,$E$2*12,$C$2)</f>
        <v>-200.87163158412179</v>
      </c>
      <c r="F199" s="13">
        <f t="shared" ref="F199:F262" si="23">PPMT($D$2/12,A199,$E$2*12,$C$2)</f>
        <v>-172.27970583276996</v>
      </c>
      <c r="G199" s="13">
        <f>SUM($E$5:E199)</f>
        <v>-50636.152144201515</v>
      </c>
      <c r="H199" s="13">
        <f>SUM($F$5:F199)</f>
        <v>-22128.358652092404</v>
      </c>
    </row>
    <row r="200" spans="1:8" x14ac:dyDescent="0.25">
      <c r="A200" s="1">
        <f t="shared" si="18"/>
        <v>196</v>
      </c>
      <c r="B200" s="14">
        <f t="shared" ca="1" si="19"/>
        <v>48639</v>
      </c>
      <c r="C200" s="15">
        <f t="shared" si="20"/>
        <v>42871.641347907658</v>
      </c>
      <c r="D200" s="13">
        <f t="shared" si="21"/>
        <v>-373.15133741689175</v>
      </c>
      <c r="E200" s="13">
        <f t="shared" si="22"/>
        <v>-200.06765962356886</v>
      </c>
      <c r="F200" s="13">
        <f t="shared" si="23"/>
        <v>-173.08367779332289</v>
      </c>
      <c r="G200" s="13">
        <f>SUM($E$5:E200)</f>
        <v>-50836.219803825086</v>
      </c>
      <c r="H200" s="13">
        <f>SUM($F$5:F200)</f>
        <v>-22301.442329885725</v>
      </c>
    </row>
    <row r="201" spans="1:8" x14ac:dyDescent="0.25">
      <c r="A201" s="1">
        <f t="shared" si="18"/>
        <v>197</v>
      </c>
      <c r="B201" s="14">
        <f t="shared" ca="1" si="19"/>
        <v>48670</v>
      </c>
      <c r="C201" s="15">
        <f t="shared" si="20"/>
        <v>42698.557670114336</v>
      </c>
      <c r="D201" s="13">
        <f t="shared" si="21"/>
        <v>-373.15133741689175</v>
      </c>
      <c r="E201" s="13">
        <f t="shared" si="22"/>
        <v>-199.25993579386667</v>
      </c>
      <c r="F201" s="13">
        <f t="shared" si="23"/>
        <v>-173.89140162302505</v>
      </c>
      <c r="G201" s="13">
        <f>SUM($E$5:E201)</f>
        <v>-51035.479739618953</v>
      </c>
      <c r="H201" s="13">
        <f>SUM($F$5:F201)</f>
        <v>-22475.333731508752</v>
      </c>
    </row>
    <row r="202" spans="1:8" x14ac:dyDescent="0.25">
      <c r="A202" s="1">
        <f t="shared" si="18"/>
        <v>198</v>
      </c>
      <c r="B202" s="14">
        <f t="shared" ca="1" si="19"/>
        <v>48700</v>
      </c>
      <c r="C202" s="15">
        <f t="shared" si="20"/>
        <v>42524.66626849131</v>
      </c>
      <c r="D202" s="13">
        <f t="shared" si="21"/>
        <v>-373.15133741689175</v>
      </c>
      <c r="E202" s="13">
        <f t="shared" si="22"/>
        <v>-198.44844258629257</v>
      </c>
      <c r="F202" s="13">
        <f t="shared" si="23"/>
        <v>-174.70289483059918</v>
      </c>
      <c r="G202" s="13">
        <f>SUM($E$5:E202)</f>
        <v>-51233.928182205244</v>
      </c>
      <c r="H202" s="13">
        <f>SUM($F$5:F202)</f>
        <v>-22650.036626339352</v>
      </c>
    </row>
    <row r="203" spans="1:8" x14ac:dyDescent="0.25">
      <c r="A203" s="1">
        <f t="shared" si="18"/>
        <v>199</v>
      </c>
      <c r="B203" s="14">
        <f t="shared" ca="1" si="19"/>
        <v>48731</v>
      </c>
      <c r="C203" s="15">
        <f t="shared" si="20"/>
        <v>42349.963373660714</v>
      </c>
      <c r="D203" s="13">
        <f t="shared" si="21"/>
        <v>-373.15133741689175</v>
      </c>
      <c r="E203" s="13">
        <f t="shared" si="22"/>
        <v>-197.63316241041645</v>
      </c>
      <c r="F203" s="13">
        <f t="shared" si="23"/>
        <v>-175.5181750064753</v>
      </c>
      <c r="G203" s="13">
        <f>SUM($E$5:E203)</f>
        <v>-51431.561344615657</v>
      </c>
      <c r="H203" s="13">
        <f>SUM($F$5:F203)</f>
        <v>-22825.554801345828</v>
      </c>
    </row>
    <row r="204" spans="1:8" x14ac:dyDescent="0.25">
      <c r="A204" s="1">
        <f t="shared" si="18"/>
        <v>200</v>
      </c>
      <c r="B204" s="14">
        <f t="shared" ca="1" si="19"/>
        <v>48761</v>
      </c>
      <c r="C204" s="15">
        <f t="shared" si="20"/>
        <v>42174.445198654241</v>
      </c>
      <c r="D204" s="13">
        <f t="shared" si="21"/>
        <v>-373.15133741689175</v>
      </c>
      <c r="E204" s="13">
        <f t="shared" si="22"/>
        <v>-196.81407759371956</v>
      </c>
      <c r="F204" s="13">
        <f t="shared" si="23"/>
        <v>-176.33725982317219</v>
      </c>
      <c r="G204" s="13">
        <f>SUM($E$5:E204)</f>
        <v>-51628.375422209378</v>
      </c>
      <c r="H204" s="13">
        <f>SUM($F$5:F204)</f>
        <v>-23001.892061169001</v>
      </c>
    </row>
    <row r="205" spans="1:8" x14ac:dyDescent="0.25">
      <c r="A205" s="1">
        <f t="shared" si="18"/>
        <v>201</v>
      </c>
      <c r="B205" s="14">
        <f t="shared" ca="1" si="19"/>
        <v>48792</v>
      </c>
      <c r="C205" s="15">
        <f t="shared" si="20"/>
        <v>41998.107938831068</v>
      </c>
      <c r="D205" s="13">
        <f t="shared" si="21"/>
        <v>-373.15133741689175</v>
      </c>
      <c r="E205" s="13">
        <f t="shared" si="22"/>
        <v>-195.99117038121142</v>
      </c>
      <c r="F205" s="13">
        <f t="shared" si="23"/>
        <v>-177.1601670356803</v>
      </c>
      <c r="G205" s="13">
        <f>SUM($E$5:E205)</f>
        <v>-51824.366592590588</v>
      </c>
      <c r="H205" s="13">
        <f>SUM($F$5:F205)</f>
        <v>-23179.05222820468</v>
      </c>
    </row>
    <row r="206" spans="1:8" x14ac:dyDescent="0.25">
      <c r="A206" s="1">
        <f t="shared" si="18"/>
        <v>202</v>
      </c>
      <c r="B206" s="14">
        <f t="shared" ca="1" si="19"/>
        <v>48823</v>
      </c>
      <c r="C206" s="15">
        <f t="shared" si="20"/>
        <v>41820.947771795385</v>
      </c>
      <c r="D206" s="13">
        <f t="shared" si="21"/>
        <v>-373.15133741689175</v>
      </c>
      <c r="E206" s="13">
        <f t="shared" si="22"/>
        <v>-195.16442293504491</v>
      </c>
      <c r="F206" s="13">
        <f t="shared" si="23"/>
        <v>-177.98691448184684</v>
      </c>
      <c r="G206" s="13">
        <f>SUM($E$5:E206)</f>
        <v>-52019.53101552563</v>
      </c>
      <c r="H206" s="13">
        <f>SUM($F$5:F206)</f>
        <v>-23357.039142686528</v>
      </c>
    </row>
    <row r="207" spans="1:8" x14ac:dyDescent="0.25">
      <c r="A207" s="1">
        <f t="shared" si="18"/>
        <v>203</v>
      </c>
      <c r="B207" s="14">
        <f t="shared" ca="1" si="19"/>
        <v>48853</v>
      </c>
      <c r="C207" s="15">
        <f t="shared" si="20"/>
        <v>41642.960857313541</v>
      </c>
      <c r="D207" s="13">
        <f t="shared" si="21"/>
        <v>-373.15133741689175</v>
      </c>
      <c r="E207" s="13">
        <f t="shared" si="22"/>
        <v>-194.33381733412963</v>
      </c>
      <c r="F207" s="13">
        <f t="shared" si="23"/>
        <v>-178.81752008276214</v>
      </c>
      <c r="G207" s="13">
        <f>SUM($E$5:E207)</f>
        <v>-52213.864832859763</v>
      </c>
      <c r="H207" s="13">
        <f>SUM($F$5:F207)</f>
        <v>-23535.856662769289</v>
      </c>
    </row>
    <row r="208" spans="1:8" x14ac:dyDescent="0.25">
      <c r="A208" s="1">
        <f t="shared" si="18"/>
        <v>204</v>
      </c>
      <c r="B208" s="14">
        <f t="shared" ca="1" si="19"/>
        <v>48884</v>
      </c>
      <c r="C208" s="15">
        <f t="shared" si="20"/>
        <v>41464.14333723078</v>
      </c>
      <c r="D208" s="13">
        <f t="shared" si="21"/>
        <v>-373.15133741689175</v>
      </c>
      <c r="E208" s="13">
        <f t="shared" si="22"/>
        <v>-193.49933557374342</v>
      </c>
      <c r="F208" s="13">
        <f t="shared" si="23"/>
        <v>-179.65200184314833</v>
      </c>
      <c r="G208" s="13">
        <f>SUM($E$5:E208)</f>
        <v>-52407.364168433509</v>
      </c>
      <c r="H208" s="13">
        <f>SUM($F$5:F208)</f>
        <v>-23715.508664612436</v>
      </c>
    </row>
    <row r="209" spans="1:8" x14ac:dyDescent="0.25">
      <c r="A209" s="1">
        <f t="shared" si="18"/>
        <v>205</v>
      </c>
      <c r="B209" s="14">
        <f t="shared" ca="1" si="19"/>
        <v>48914</v>
      </c>
      <c r="C209" s="15">
        <f t="shared" si="20"/>
        <v>41284.491335387633</v>
      </c>
      <c r="D209" s="13">
        <f t="shared" si="21"/>
        <v>-373.15133741689175</v>
      </c>
      <c r="E209" s="13">
        <f t="shared" si="22"/>
        <v>-192.66095956514206</v>
      </c>
      <c r="F209" s="13">
        <f t="shared" si="23"/>
        <v>-180.49037785174968</v>
      </c>
      <c r="G209" s="13">
        <f>SUM($E$5:E209)</f>
        <v>-52600.025127998648</v>
      </c>
      <c r="H209" s="13">
        <f>SUM($F$5:F209)</f>
        <v>-23895.999042464187</v>
      </c>
    </row>
    <row r="210" spans="1:8" x14ac:dyDescent="0.25">
      <c r="A210" s="1">
        <f t="shared" si="18"/>
        <v>206</v>
      </c>
      <c r="B210" s="14">
        <f t="shared" ca="1" si="19"/>
        <v>48945</v>
      </c>
      <c r="C210" s="15">
        <f t="shared" si="20"/>
        <v>41104.000957535885</v>
      </c>
      <c r="D210" s="13">
        <f t="shared" si="21"/>
        <v>-373.15133741689175</v>
      </c>
      <c r="E210" s="13">
        <f t="shared" si="22"/>
        <v>-191.81867113516722</v>
      </c>
      <c r="F210" s="13">
        <f t="shared" si="23"/>
        <v>-181.33266628172453</v>
      </c>
      <c r="G210" s="13">
        <f>SUM($E$5:E210)</f>
        <v>-52791.843799133814</v>
      </c>
      <c r="H210" s="13">
        <f>SUM($F$5:F210)</f>
        <v>-24077.331708745911</v>
      </c>
    </row>
    <row r="211" spans="1:8" x14ac:dyDescent="0.25">
      <c r="A211" s="1">
        <f t="shared" si="18"/>
        <v>207</v>
      </c>
      <c r="B211" s="14">
        <f t="shared" ca="1" si="19"/>
        <v>48976</v>
      </c>
      <c r="C211" s="15">
        <f t="shared" si="20"/>
        <v>40922.668291254158</v>
      </c>
      <c r="D211" s="13">
        <f t="shared" si="21"/>
        <v>-373.15133741689175</v>
      </c>
      <c r="E211" s="13">
        <f t="shared" si="22"/>
        <v>-190.97245202585248</v>
      </c>
      <c r="F211" s="13">
        <f t="shared" si="23"/>
        <v>-182.17888539103924</v>
      </c>
      <c r="G211" s="13">
        <f>SUM($E$5:E211)</f>
        <v>-52982.816251159667</v>
      </c>
      <c r="H211" s="13">
        <f>SUM($F$5:F211)</f>
        <v>-24259.510594136951</v>
      </c>
    </row>
    <row r="212" spans="1:8" x14ac:dyDescent="0.25">
      <c r="A212" s="1">
        <f t="shared" si="18"/>
        <v>208</v>
      </c>
      <c r="B212" s="14">
        <f t="shared" ca="1" si="19"/>
        <v>49004</v>
      </c>
      <c r="C212" s="15">
        <f t="shared" si="20"/>
        <v>40740.489405863118</v>
      </c>
      <c r="D212" s="13">
        <f t="shared" si="21"/>
        <v>-373.15133741689175</v>
      </c>
      <c r="E212" s="13">
        <f t="shared" si="22"/>
        <v>-190.12228389402767</v>
      </c>
      <c r="F212" s="13">
        <f t="shared" si="23"/>
        <v>-183.02905352286407</v>
      </c>
      <c r="G212" s="13">
        <f>SUM($E$5:E212)</f>
        <v>-53172.938535053698</v>
      </c>
      <c r="H212" s="13">
        <f>SUM($F$5:F212)</f>
        <v>-24442.539647659814</v>
      </c>
    </row>
    <row r="213" spans="1:8" x14ac:dyDescent="0.25">
      <c r="A213" s="1">
        <f t="shared" si="18"/>
        <v>209</v>
      </c>
      <c r="B213" s="14">
        <f t="shared" ca="1" si="19"/>
        <v>49035</v>
      </c>
      <c r="C213" s="15">
        <f t="shared" si="20"/>
        <v>40557.460352340255</v>
      </c>
      <c r="D213" s="13">
        <f t="shared" si="21"/>
        <v>-373.15133741689175</v>
      </c>
      <c r="E213" s="13">
        <f t="shared" si="22"/>
        <v>-189.26814831092096</v>
      </c>
      <c r="F213" s="13">
        <f t="shared" si="23"/>
        <v>-183.88318910597081</v>
      </c>
      <c r="G213" s="13">
        <f>SUM($E$5:E213)</f>
        <v>-53362.206683364617</v>
      </c>
      <c r="H213" s="13">
        <f>SUM($F$5:F213)</f>
        <v>-24626.422836765785</v>
      </c>
    </row>
    <row r="214" spans="1:8" x14ac:dyDescent="0.25">
      <c r="A214" s="1">
        <f t="shared" si="18"/>
        <v>210</v>
      </c>
      <c r="B214" s="14">
        <f t="shared" ca="1" si="19"/>
        <v>49065</v>
      </c>
      <c r="C214" s="15">
        <f t="shared" si="20"/>
        <v>40373.57716323428</v>
      </c>
      <c r="D214" s="13">
        <f t="shared" si="21"/>
        <v>-373.15133741689175</v>
      </c>
      <c r="E214" s="13">
        <f t="shared" si="22"/>
        <v>-188.41002676175975</v>
      </c>
      <c r="F214" s="13">
        <f t="shared" si="23"/>
        <v>-184.741310655132</v>
      </c>
      <c r="G214" s="13">
        <f>SUM($E$5:E214)</f>
        <v>-53550.616710126378</v>
      </c>
      <c r="H214" s="13">
        <f>SUM($F$5:F214)</f>
        <v>-24811.164147420917</v>
      </c>
    </row>
    <row r="215" spans="1:8" x14ac:dyDescent="0.25">
      <c r="A215" s="1">
        <f t="shared" si="18"/>
        <v>211</v>
      </c>
      <c r="B215" s="14">
        <f t="shared" ca="1" si="19"/>
        <v>49096</v>
      </c>
      <c r="C215" s="15">
        <f t="shared" si="20"/>
        <v>40188.835852579148</v>
      </c>
      <c r="D215" s="13">
        <f t="shared" si="21"/>
        <v>-373.15133741689175</v>
      </c>
      <c r="E215" s="13">
        <f t="shared" si="22"/>
        <v>-187.54790064536917</v>
      </c>
      <c r="F215" s="13">
        <f t="shared" si="23"/>
        <v>-185.60343677152261</v>
      </c>
      <c r="G215" s="13">
        <f>SUM($E$5:E215)</f>
        <v>-53738.164610771746</v>
      </c>
      <c r="H215" s="13">
        <f>SUM($F$5:F215)</f>
        <v>-24996.767584192439</v>
      </c>
    </row>
    <row r="216" spans="1:8" x14ac:dyDescent="0.25">
      <c r="A216" s="1">
        <f t="shared" si="18"/>
        <v>212</v>
      </c>
      <c r="B216" s="14">
        <f t="shared" ca="1" si="19"/>
        <v>49126</v>
      </c>
      <c r="C216" s="15">
        <f t="shared" si="20"/>
        <v>40003.232415807623</v>
      </c>
      <c r="D216" s="13">
        <f t="shared" si="21"/>
        <v>-373.15133741689175</v>
      </c>
      <c r="E216" s="13">
        <f t="shared" si="22"/>
        <v>-186.6817512737687</v>
      </c>
      <c r="F216" s="13">
        <f t="shared" si="23"/>
        <v>-186.46958614312305</v>
      </c>
      <c r="G216" s="13">
        <f>SUM($E$5:E216)</f>
        <v>-53924.846362045515</v>
      </c>
      <c r="H216" s="13">
        <f>SUM($F$5:F216)</f>
        <v>-25183.237170335564</v>
      </c>
    </row>
    <row r="217" spans="1:8" x14ac:dyDescent="0.25">
      <c r="A217" s="1">
        <f t="shared" si="18"/>
        <v>213</v>
      </c>
      <c r="B217" s="14">
        <f t="shared" ca="1" si="19"/>
        <v>49157</v>
      </c>
      <c r="C217" s="15">
        <f t="shared" si="20"/>
        <v>39816.762829664498</v>
      </c>
      <c r="D217" s="13">
        <f t="shared" si="21"/>
        <v>-373.15133741689175</v>
      </c>
      <c r="E217" s="13">
        <f t="shared" si="22"/>
        <v>-185.81155987176746</v>
      </c>
      <c r="F217" s="13">
        <f t="shared" si="23"/>
        <v>-187.33977754512429</v>
      </c>
      <c r="G217" s="13">
        <f>SUM($E$5:E217)</f>
        <v>-54110.657921917285</v>
      </c>
      <c r="H217" s="13">
        <f>SUM($F$5:F217)</f>
        <v>-25370.576947880687</v>
      </c>
    </row>
    <row r="218" spans="1:8" x14ac:dyDescent="0.25">
      <c r="A218" s="1">
        <f t="shared" si="18"/>
        <v>214</v>
      </c>
      <c r="B218" s="14">
        <f t="shared" ca="1" si="19"/>
        <v>49188</v>
      </c>
      <c r="C218" s="15">
        <f t="shared" si="20"/>
        <v>39629.423052119375</v>
      </c>
      <c r="D218" s="13">
        <f t="shared" si="21"/>
        <v>-373.15133741689175</v>
      </c>
      <c r="E218" s="13">
        <f t="shared" si="22"/>
        <v>-184.93730757655686</v>
      </c>
      <c r="F218" s="13">
        <f t="shared" si="23"/>
        <v>-188.21402984033489</v>
      </c>
      <c r="G218" s="13">
        <f>SUM($E$5:E218)</f>
        <v>-54295.59522949384</v>
      </c>
      <c r="H218" s="13">
        <f>SUM($F$5:F218)</f>
        <v>-25558.790977721023</v>
      </c>
    </row>
    <row r="219" spans="1:8" x14ac:dyDescent="0.25">
      <c r="A219" s="1">
        <f t="shared" si="18"/>
        <v>215</v>
      </c>
      <c r="B219" s="14">
        <f t="shared" ca="1" si="19"/>
        <v>49218</v>
      </c>
      <c r="C219" s="15">
        <f t="shared" si="20"/>
        <v>39441.209022279043</v>
      </c>
      <c r="D219" s="13">
        <f t="shared" si="21"/>
        <v>-373.15133741689175</v>
      </c>
      <c r="E219" s="13">
        <f t="shared" si="22"/>
        <v>-184.05897543730197</v>
      </c>
      <c r="F219" s="13">
        <f t="shared" si="23"/>
        <v>-189.09236197958975</v>
      </c>
      <c r="G219" s="13">
        <f>SUM($E$5:E219)</f>
        <v>-54479.654204931139</v>
      </c>
      <c r="H219" s="13">
        <f>SUM($F$5:F219)</f>
        <v>-25747.883339700613</v>
      </c>
    </row>
    <row r="220" spans="1:8" x14ac:dyDescent="0.25">
      <c r="A220" s="1">
        <f t="shared" si="18"/>
        <v>216</v>
      </c>
      <c r="B220" s="14">
        <f t="shared" ca="1" si="19"/>
        <v>49249</v>
      </c>
      <c r="C220" s="15">
        <f t="shared" si="20"/>
        <v>39252.116660299456</v>
      </c>
      <c r="D220" s="13">
        <f t="shared" si="21"/>
        <v>-373.15133741689175</v>
      </c>
      <c r="E220" s="13">
        <f t="shared" si="22"/>
        <v>-183.17654441473061</v>
      </c>
      <c r="F220" s="13">
        <f t="shared" si="23"/>
        <v>-189.97479300216119</v>
      </c>
      <c r="G220" s="13">
        <f>SUM($E$5:E220)</f>
        <v>-54662.830749345871</v>
      </c>
      <c r="H220" s="13">
        <f>SUM($F$5:F220)</f>
        <v>-25937.858132702775</v>
      </c>
    </row>
    <row r="221" spans="1:8" x14ac:dyDescent="0.25">
      <c r="A221" s="1">
        <f t="shared" si="18"/>
        <v>217</v>
      </c>
      <c r="B221" s="14">
        <f t="shared" ca="1" si="19"/>
        <v>49279</v>
      </c>
      <c r="C221" s="15">
        <f t="shared" si="20"/>
        <v>39062.141867297294</v>
      </c>
      <c r="D221" s="13">
        <f t="shared" si="21"/>
        <v>-373.15133741689175</v>
      </c>
      <c r="E221" s="13">
        <f t="shared" si="22"/>
        <v>-182.28999538072051</v>
      </c>
      <c r="F221" s="13">
        <f t="shared" si="23"/>
        <v>-190.86134203617127</v>
      </c>
      <c r="G221" s="13">
        <f>SUM($E$5:E221)</f>
        <v>-54845.120744726592</v>
      </c>
      <c r="H221" s="13">
        <f>SUM($F$5:F221)</f>
        <v>-26128.719474738948</v>
      </c>
    </row>
    <row r="222" spans="1:8" x14ac:dyDescent="0.25">
      <c r="A222" s="1">
        <f t="shared" si="18"/>
        <v>218</v>
      </c>
      <c r="B222" s="14">
        <f t="shared" ca="1" si="19"/>
        <v>49310</v>
      </c>
      <c r="C222" s="15">
        <f t="shared" si="20"/>
        <v>38871.280525261122</v>
      </c>
      <c r="D222" s="13">
        <f t="shared" si="21"/>
        <v>-373.15133741689175</v>
      </c>
      <c r="E222" s="13">
        <f t="shared" si="22"/>
        <v>-181.39930911788502</v>
      </c>
      <c r="F222" s="13">
        <f t="shared" si="23"/>
        <v>-191.75202829900672</v>
      </c>
      <c r="G222" s="13">
        <f>SUM($E$5:E222)</f>
        <v>-55026.520053844477</v>
      </c>
      <c r="H222" s="13">
        <f>SUM($F$5:F222)</f>
        <v>-26320.471503037956</v>
      </c>
    </row>
    <row r="223" spans="1:8" x14ac:dyDescent="0.25">
      <c r="A223" s="1">
        <f t="shared" si="18"/>
        <v>219</v>
      </c>
      <c r="B223" s="14">
        <f t="shared" ca="1" si="19"/>
        <v>49341</v>
      </c>
      <c r="C223" s="15">
        <f t="shared" si="20"/>
        <v>38679.528496962113</v>
      </c>
      <c r="D223" s="13">
        <f t="shared" si="21"/>
        <v>-373.15133741689175</v>
      </c>
      <c r="E223" s="13">
        <f t="shared" si="22"/>
        <v>-180.50446631915631</v>
      </c>
      <c r="F223" s="13">
        <f t="shared" si="23"/>
        <v>-192.64687109773544</v>
      </c>
      <c r="G223" s="13">
        <f>SUM($E$5:E223)</f>
        <v>-55207.024520163635</v>
      </c>
      <c r="H223" s="13">
        <f>SUM($F$5:F223)</f>
        <v>-26513.118374135691</v>
      </c>
    </row>
    <row r="224" spans="1:8" x14ac:dyDescent="0.25">
      <c r="A224" s="1">
        <f t="shared" si="18"/>
        <v>220</v>
      </c>
      <c r="B224" s="14">
        <f t="shared" ca="1" si="19"/>
        <v>49369</v>
      </c>
      <c r="C224" s="15">
        <f t="shared" si="20"/>
        <v>38486.881625864378</v>
      </c>
      <c r="D224" s="13">
        <f t="shared" si="21"/>
        <v>-373.15133741689175</v>
      </c>
      <c r="E224" s="13">
        <f t="shared" si="22"/>
        <v>-179.60544758736685</v>
      </c>
      <c r="F224" s="13">
        <f t="shared" si="23"/>
        <v>-193.54588982952487</v>
      </c>
      <c r="G224" s="13">
        <f>SUM($E$5:E224)</f>
        <v>-55386.629967751003</v>
      </c>
      <c r="H224" s="13">
        <f>SUM($F$5:F224)</f>
        <v>-26706.664263965216</v>
      </c>
    </row>
    <row r="225" spans="1:8" x14ac:dyDescent="0.25">
      <c r="A225" s="1">
        <f t="shared" si="18"/>
        <v>221</v>
      </c>
      <c r="B225" s="14">
        <f t="shared" ca="1" si="19"/>
        <v>49400</v>
      </c>
      <c r="C225" s="15">
        <f t="shared" si="20"/>
        <v>38293.335736034853</v>
      </c>
      <c r="D225" s="13">
        <f t="shared" si="21"/>
        <v>-373.15133741689175</v>
      </c>
      <c r="E225" s="13">
        <f t="shared" si="22"/>
        <v>-178.70223343482911</v>
      </c>
      <c r="F225" s="13">
        <f t="shared" si="23"/>
        <v>-194.44910398206264</v>
      </c>
      <c r="G225" s="13">
        <f>SUM($E$5:E225)</f>
        <v>-55565.332201185833</v>
      </c>
      <c r="H225" s="13">
        <f>SUM($F$5:F225)</f>
        <v>-26901.11336794728</v>
      </c>
    </row>
    <row r="226" spans="1:8" x14ac:dyDescent="0.25">
      <c r="A226" s="1">
        <f t="shared" si="18"/>
        <v>222</v>
      </c>
      <c r="B226" s="14">
        <f t="shared" ca="1" si="19"/>
        <v>49430</v>
      </c>
      <c r="C226" s="15">
        <f t="shared" si="20"/>
        <v>38098.886632052789</v>
      </c>
      <c r="D226" s="13">
        <f t="shared" si="21"/>
        <v>-373.15133741689175</v>
      </c>
      <c r="E226" s="13">
        <f t="shared" si="22"/>
        <v>-177.79480428291282</v>
      </c>
      <c r="F226" s="13">
        <f t="shared" si="23"/>
        <v>-195.3565331339789</v>
      </c>
      <c r="G226" s="13">
        <f>SUM($E$5:E226)</f>
        <v>-55743.127005468748</v>
      </c>
      <c r="H226" s="13">
        <f>SUM($F$5:F226)</f>
        <v>-27096.469901081258</v>
      </c>
    </row>
    <row r="227" spans="1:8" x14ac:dyDescent="0.25">
      <c r="A227" s="1">
        <f t="shared" si="18"/>
        <v>223</v>
      </c>
      <c r="B227" s="14">
        <f t="shared" ca="1" si="19"/>
        <v>49461</v>
      </c>
      <c r="C227" s="15">
        <f t="shared" si="20"/>
        <v>37903.530098918811</v>
      </c>
      <c r="D227" s="13">
        <f t="shared" si="21"/>
        <v>-373.15133741689175</v>
      </c>
      <c r="E227" s="13">
        <f t="shared" si="22"/>
        <v>-176.88314046162088</v>
      </c>
      <c r="F227" s="13">
        <f t="shared" si="23"/>
        <v>-196.26819695527084</v>
      </c>
      <c r="G227" s="13">
        <f>SUM($E$5:E227)</f>
        <v>-55920.01014593037</v>
      </c>
      <c r="H227" s="13">
        <f>SUM($F$5:F227)</f>
        <v>-27292.738098036531</v>
      </c>
    </row>
    <row r="228" spans="1:8" x14ac:dyDescent="0.25">
      <c r="A228" s="1">
        <f t="shared" si="18"/>
        <v>224</v>
      </c>
      <c r="B228" s="14">
        <f t="shared" ca="1" si="19"/>
        <v>49491</v>
      </c>
      <c r="C228" s="15">
        <f t="shared" si="20"/>
        <v>37707.261901963539</v>
      </c>
      <c r="D228" s="13">
        <f t="shared" si="21"/>
        <v>-373.15133741689175</v>
      </c>
      <c r="E228" s="13">
        <f t="shared" si="22"/>
        <v>-175.96722220916297</v>
      </c>
      <c r="F228" s="13">
        <f t="shared" si="23"/>
        <v>-197.18411520772875</v>
      </c>
      <c r="G228" s="13">
        <f>SUM($E$5:E228)</f>
        <v>-56095.977368139531</v>
      </c>
      <c r="H228" s="13">
        <f>SUM($F$5:F228)</f>
        <v>-27489.922213244259</v>
      </c>
    </row>
    <row r="229" spans="1:8" x14ac:dyDescent="0.25">
      <c r="A229" s="1">
        <f t="shared" si="18"/>
        <v>225</v>
      </c>
      <c r="B229" s="14">
        <f t="shared" ca="1" si="19"/>
        <v>49522</v>
      </c>
      <c r="C229" s="15">
        <f t="shared" si="20"/>
        <v>37510.077786755806</v>
      </c>
      <c r="D229" s="13">
        <f t="shared" si="21"/>
        <v>-373.15133741689175</v>
      </c>
      <c r="E229" s="13">
        <f t="shared" si="22"/>
        <v>-175.0470296715269</v>
      </c>
      <c r="F229" s="13">
        <f t="shared" si="23"/>
        <v>-198.10430774536482</v>
      </c>
      <c r="G229" s="13">
        <f>SUM($E$5:E229)</f>
        <v>-56271.024397811059</v>
      </c>
      <c r="H229" s="13">
        <f>SUM($F$5:F229)</f>
        <v>-27688.026520989624</v>
      </c>
    </row>
    <row r="230" spans="1:8" x14ac:dyDescent="0.25">
      <c r="A230" s="1">
        <f t="shared" si="18"/>
        <v>226</v>
      </c>
      <c r="B230" s="14">
        <f t="shared" ca="1" si="19"/>
        <v>49553</v>
      </c>
      <c r="C230" s="15">
        <f t="shared" si="20"/>
        <v>37311.973479010441</v>
      </c>
      <c r="D230" s="13">
        <f t="shared" si="21"/>
        <v>-373.15133741689175</v>
      </c>
      <c r="E230" s="13">
        <f t="shared" si="22"/>
        <v>-174.12254290204854</v>
      </c>
      <c r="F230" s="13">
        <f t="shared" si="23"/>
        <v>-199.02879451484324</v>
      </c>
      <c r="G230" s="13">
        <f>SUM($E$5:E230)</f>
        <v>-56445.146940713108</v>
      </c>
      <c r="H230" s="13">
        <f>SUM($F$5:F230)</f>
        <v>-27887.055315504469</v>
      </c>
    </row>
    <row r="231" spans="1:8" x14ac:dyDescent="0.25">
      <c r="A231" s="1">
        <f t="shared" si="18"/>
        <v>227</v>
      </c>
      <c r="B231" s="14">
        <f t="shared" ca="1" si="19"/>
        <v>49583</v>
      </c>
      <c r="C231" s="15">
        <f t="shared" si="20"/>
        <v>37112.944684495596</v>
      </c>
      <c r="D231" s="13">
        <f t="shared" si="21"/>
        <v>-373.15133741689175</v>
      </c>
      <c r="E231" s="13">
        <f t="shared" si="22"/>
        <v>-173.19374186097923</v>
      </c>
      <c r="F231" s="13">
        <f t="shared" si="23"/>
        <v>-199.95759555591249</v>
      </c>
      <c r="G231" s="13">
        <f>SUM($E$5:E231)</f>
        <v>-56618.340682574089</v>
      </c>
      <c r="H231" s="13">
        <f>SUM($F$5:F231)</f>
        <v>-28087.012911060381</v>
      </c>
    </row>
    <row r="232" spans="1:8" x14ac:dyDescent="0.25">
      <c r="A232" s="1">
        <f t="shared" si="18"/>
        <v>228</v>
      </c>
      <c r="B232" s="14">
        <f t="shared" ca="1" si="19"/>
        <v>49614</v>
      </c>
      <c r="C232" s="15">
        <f t="shared" si="20"/>
        <v>36912.987088939684</v>
      </c>
      <c r="D232" s="13">
        <f t="shared" si="21"/>
        <v>-373.15133741689175</v>
      </c>
      <c r="E232" s="13">
        <f t="shared" si="22"/>
        <v>-172.26060641505168</v>
      </c>
      <c r="F232" s="13">
        <f t="shared" si="23"/>
        <v>-200.89073100184007</v>
      </c>
      <c r="G232" s="13">
        <f>SUM($E$5:E232)</f>
        <v>-56790.601288989143</v>
      </c>
      <c r="H232" s="13">
        <f>SUM($F$5:F232)</f>
        <v>-28287.903642062221</v>
      </c>
    </row>
    <row r="233" spans="1:8" x14ac:dyDescent="0.25">
      <c r="A233" s="1">
        <f t="shared" si="18"/>
        <v>229</v>
      </c>
      <c r="B233" s="14">
        <f t="shared" ca="1" si="19"/>
        <v>49644</v>
      </c>
      <c r="C233" s="15">
        <f t="shared" si="20"/>
        <v>36712.096357937844</v>
      </c>
      <c r="D233" s="13">
        <f t="shared" si="21"/>
        <v>-373.15133741689175</v>
      </c>
      <c r="E233" s="13">
        <f t="shared" si="22"/>
        <v>-171.32311633704307</v>
      </c>
      <c r="F233" s="13">
        <f t="shared" si="23"/>
        <v>-201.82822107984865</v>
      </c>
      <c r="G233" s="13">
        <f>SUM($E$5:E233)</f>
        <v>-56961.924405326186</v>
      </c>
      <c r="H233" s="13">
        <f>SUM($F$5:F233)</f>
        <v>-28489.731863142071</v>
      </c>
    </row>
    <row r="234" spans="1:8" x14ac:dyDescent="0.25">
      <c r="A234" s="1">
        <f t="shared" si="18"/>
        <v>230</v>
      </c>
      <c r="B234" s="14">
        <f t="shared" ca="1" si="19"/>
        <v>49675</v>
      </c>
      <c r="C234" s="15">
        <f t="shared" si="20"/>
        <v>36510.268136857994</v>
      </c>
      <c r="D234" s="13">
        <f t="shared" si="21"/>
        <v>-373.15133741689175</v>
      </c>
      <c r="E234" s="13">
        <f t="shared" si="22"/>
        <v>-170.38125130533712</v>
      </c>
      <c r="F234" s="13">
        <f t="shared" si="23"/>
        <v>-202.77008611155463</v>
      </c>
      <c r="G234" s="13">
        <f>SUM($E$5:E234)</f>
        <v>-57132.305656631521</v>
      </c>
      <c r="H234" s="13">
        <f>SUM($F$5:F234)</f>
        <v>-28692.501949253627</v>
      </c>
    </row>
    <row r="235" spans="1:8" x14ac:dyDescent="0.25">
      <c r="A235" s="1">
        <f t="shared" si="18"/>
        <v>231</v>
      </c>
      <c r="B235" s="14">
        <f t="shared" ca="1" si="19"/>
        <v>49706</v>
      </c>
      <c r="C235" s="15">
        <f t="shared" si="20"/>
        <v>36307.498050746442</v>
      </c>
      <c r="D235" s="13">
        <f t="shared" si="21"/>
        <v>-373.15133741689175</v>
      </c>
      <c r="E235" s="13">
        <f t="shared" si="22"/>
        <v>-169.4349909034832</v>
      </c>
      <c r="F235" s="13">
        <f t="shared" si="23"/>
        <v>-203.71634651340852</v>
      </c>
      <c r="G235" s="13">
        <f>SUM($E$5:E235)</f>
        <v>-57301.740647535007</v>
      </c>
      <c r="H235" s="13">
        <f>SUM($F$5:F235)</f>
        <v>-28896.218295767034</v>
      </c>
    </row>
    <row r="236" spans="1:8" x14ac:dyDescent="0.25">
      <c r="A236" s="1">
        <f t="shared" si="18"/>
        <v>232</v>
      </c>
      <c r="B236" s="14">
        <f t="shared" ca="1" si="19"/>
        <v>49735</v>
      </c>
      <c r="C236" s="15">
        <f t="shared" si="20"/>
        <v>36103.781704233035</v>
      </c>
      <c r="D236" s="13">
        <f t="shared" si="21"/>
        <v>-373.15133741689175</v>
      </c>
      <c r="E236" s="13">
        <f t="shared" si="22"/>
        <v>-168.48431461975395</v>
      </c>
      <c r="F236" s="13">
        <f t="shared" si="23"/>
        <v>-204.66702279713778</v>
      </c>
      <c r="G236" s="13">
        <f>SUM($E$5:E236)</f>
        <v>-57470.22496215476</v>
      </c>
      <c r="H236" s="13">
        <f>SUM($F$5:F236)</f>
        <v>-29100.885318564171</v>
      </c>
    </row>
    <row r="237" spans="1:8" x14ac:dyDescent="0.25">
      <c r="A237" s="1">
        <f t="shared" si="18"/>
        <v>233</v>
      </c>
      <c r="B237" s="14">
        <f t="shared" ca="1" si="19"/>
        <v>49766</v>
      </c>
      <c r="C237" s="15">
        <f t="shared" si="20"/>
        <v>35899.114681435894</v>
      </c>
      <c r="D237" s="13">
        <f t="shared" si="21"/>
        <v>-373.15133741689175</v>
      </c>
      <c r="E237" s="13">
        <f t="shared" si="22"/>
        <v>-167.52920184670066</v>
      </c>
      <c r="F237" s="13">
        <f t="shared" si="23"/>
        <v>-205.62213557019109</v>
      </c>
      <c r="G237" s="13">
        <f>SUM($E$5:E237)</f>
        <v>-57637.754164001461</v>
      </c>
      <c r="H237" s="13">
        <f>SUM($F$5:F237)</f>
        <v>-29306.507454134364</v>
      </c>
    </row>
    <row r="238" spans="1:8" x14ac:dyDescent="0.25">
      <c r="A238" s="1">
        <f t="shared" si="18"/>
        <v>234</v>
      </c>
      <c r="B238" s="14">
        <f t="shared" ca="1" si="19"/>
        <v>49796</v>
      </c>
      <c r="C238" s="15">
        <f t="shared" si="20"/>
        <v>35693.492545865702</v>
      </c>
      <c r="D238" s="13">
        <f t="shared" si="21"/>
        <v>-373.15133741689175</v>
      </c>
      <c r="E238" s="13">
        <f t="shared" si="22"/>
        <v>-166.56963188070642</v>
      </c>
      <c r="F238" s="13">
        <f t="shared" si="23"/>
        <v>-206.5817055361853</v>
      </c>
      <c r="G238" s="13">
        <f>SUM($E$5:E238)</f>
        <v>-57804.32379588217</v>
      </c>
      <c r="H238" s="13">
        <f>SUM($F$5:F238)</f>
        <v>-29513.089159670548</v>
      </c>
    </row>
    <row r="239" spans="1:8" x14ac:dyDescent="0.25">
      <c r="A239" s="1">
        <f t="shared" si="18"/>
        <v>235</v>
      </c>
      <c r="B239" s="14">
        <f t="shared" ca="1" si="19"/>
        <v>49827</v>
      </c>
      <c r="C239" s="15">
        <f t="shared" si="20"/>
        <v>35486.910840329518</v>
      </c>
      <c r="D239" s="13">
        <f t="shared" si="21"/>
        <v>-373.15133741689175</v>
      </c>
      <c r="E239" s="13">
        <f t="shared" si="22"/>
        <v>-165.6055839215376</v>
      </c>
      <c r="F239" s="13">
        <f t="shared" si="23"/>
        <v>-207.54575349535421</v>
      </c>
      <c r="G239" s="13">
        <f>SUM($E$5:E239)</f>
        <v>-57969.929379803711</v>
      </c>
      <c r="H239" s="13">
        <f>SUM($F$5:F239)</f>
        <v>-29720.634913165901</v>
      </c>
    </row>
    <row r="240" spans="1:8" x14ac:dyDescent="0.25">
      <c r="A240" s="1">
        <f t="shared" si="18"/>
        <v>236</v>
      </c>
      <c r="B240" s="14">
        <f t="shared" ca="1" si="19"/>
        <v>49857</v>
      </c>
      <c r="C240" s="15">
        <f t="shared" si="20"/>
        <v>35279.365086834165</v>
      </c>
      <c r="D240" s="13">
        <f t="shared" si="21"/>
        <v>-373.15133741689175</v>
      </c>
      <c r="E240" s="13">
        <f t="shared" si="22"/>
        <v>-164.63703707189262</v>
      </c>
      <c r="F240" s="13">
        <f t="shared" si="23"/>
        <v>-208.51430034499919</v>
      </c>
      <c r="G240" s="13">
        <f>SUM($E$5:E240)</f>
        <v>-58134.566416875605</v>
      </c>
      <c r="H240" s="13">
        <f>SUM($F$5:F240)</f>
        <v>-29929.1492135109</v>
      </c>
    </row>
    <row r="241" spans="1:8" x14ac:dyDescent="0.25">
      <c r="A241" s="1">
        <f t="shared" si="18"/>
        <v>237</v>
      </c>
      <c r="B241" s="14">
        <f t="shared" ca="1" si="19"/>
        <v>49888</v>
      </c>
      <c r="C241" s="15">
        <f t="shared" si="20"/>
        <v>35070.850786489165</v>
      </c>
      <c r="D241" s="13">
        <f t="shared" si="21"/>
        <v>-373.15133741689175</v>
      </c>
      <c r="E241" s="13">
        <f t="shared" si="22"/>
        <v>-163.66397033694929</v>
      </c>
      <c r="F241" s="13">
        <f t="shared" si="23"/>
        <v>-209.48736707994249</v>
      </c>
      <c r="G241" s="13">
        <f>SUM($E$5:E241)</f>
        <v>-58298.230387212556</v>
      </c>
      <c r="H241" s="13">
        <f>SUM($F$5:F241)</f>
        <v>-30138.636580590843</v>
      </c>
    </row>
    <row r="242" spans="1:8" x14ac:dyDescent="0.25">
      <c r="A242" s="1">
        <f t="shared" si="18"/>
        <v>238</v>
      </c>
      <c r="B242" s="14">
        <f t="shared" ca="1" si="19"/>
        <v>49919</v>
      </c>
      <c r="C242" s="15">
        <f t="shared" si="20"/>
        <v>34861.363419409223</v>
      </c>
      <c r="D242" s="13">
        <f t="shared" si="21"/>
        <v>-373.15133741689175</v>
      </c>
      <c r="E242" s="13">
        <f t="shared" si="22"/>
        <v>-162.68636262390947</v>
      </c>
      <c r="F242" s="13">
        <f t="shared" si="23"/>
        <v>-210.46497479298222</v>
      </c>
      <c r="G242" s="13">
        <f>SUM($E$5:E242)</f>
        <v>-58460.916749836462</v>
      </c>
      <c r="H242" s="13">
        <f>SUM($F$5:F242)</f>
        <v>-30349.101555383826</v>
      </c>
    </row>
    <row r="243" spans="1:8" x14ac:dyDescent="0.25">
      <c r="A243" s="1">
        <f t="shared" si="18"/>
        <v>239</v>
      </c>
      <c r="B243" s="14">
        <f t="shared" ca="1" si="19"/>
        <v>49949</v>
      </c>
      <c r="C243" s="15">
        <f t="shared" si="20"/>
        <v>34650.898444616243</v>
      </c>
      <c r="D243" s="13">
        <f t="shared" si="21"/>
        <v>-373.15133741689175</v>
      </c>
      <c r="E243" s="13">
        <f t="shared" si="22"/>
        <v>-161.70419274154227</v>
      </c>
      <c r="F243" s="13">
        <f t="shared" si="23"/>
        <v>-211.44714467534951</v>
      </c>
      <c r="G243" s="13">
        <f>SUM($E$5:E243)</f>
        <v>-58622.620942578003</v>
      </c>
      <c r="H243" s="13">
        <f>SUM($F$5:F243)</f>
        <v>-30560.548700059175</v>
      </c>
    </row>
    <row r="244" spans="1:8" x14ac:dyDescent="0.25">
      <c r="A244" s="1">
        <f t="shared" si="18"/>
        <v>240</v>
      </c>
      <c r="B244" s="14">
        <f t="shared" ca="1" si="19"/>
        <v>49980</v>
      </c>
      <c r="C244" s="15">
        <f t="shared" si="20"/>
        <v>34439.451299940891</v>
      </c>
      <c r="D244" s="13">
        <f t="shared" si="21"/>
        <v>-373.15133741689175</v>
      </c>
      <c r="E244" s="13">
        <f t="shared" si="22"/>
        <v>-160.71743939972396</v>
      </c>
      <c r="F244" s="13">
        <f t="shared" si="23"/>
        <v>-212.43389801716776</v>
      </c>
      <c r="G244" s="13">
        <f>SUM($E$5:E244)</f>
        <v>-58783.33838197773</v>
      </c>
      <c r="H244" s="13">
        <f>SUM($F$5:F244)</f>
        <v>-30772.982598076342</v>
      </c>
    </row>
    <row r="245" spans="1:8" x14ac:dyDescent="0.25">
      <c r="A245" s="1">
        <f t="shared" si="18"/>
        <v>241</v>
      </c>
      <c r="B245" s="14">
        <f t="shared" ca="1" si="19"/>
        <v>50010</v>
      </c>
      <c r="C245" s="15">
        <f t="shared" si="20"/>
        <v>34227.017401923724</v>
      </c>
      <c r="D245" s="13">
        <f t="shared" si="21"/>
        <v>-373.15133741689175</v>
      </c>
      <c r="E245" s="13">
        <f t="shared" si="22"/>
        <v>-159.72608120897718</v>
      </c>
      <c r="F245" s="13">
        <f t="shared" si="23"/>
        <v>-213.42525620791454</v>
      </c>
      <c r="G245" s="13">
        <f>SUM($E$5:E245)</f>
        <v>-58943.064463186711</v>
      </c>
      <c r="H245" s="13">
        <f>SUM($F$5:F245)</f>
        <v>-30986.407854284254</v>
      </c>
    </row>
    <row r="246" spans="1:8" x14ac:dyDescent="0.25">
      <c r="A246" s="1">
        <f t="shared" si="18"/>
        <v>242</v>
      </c>
      <c r="B246" s="14">
        <f t="shared" ca="1" si="19"/>
        <v>50041</v>
      </c>
      <c r="C246" s="15">
        <f t="shared" si="20"/>
        <v>34013.592145715811</v>
      </c>
      <c r="D246" s="13">
        <f t="shared" si="21"/>
        <v>-373.15133741689175</v>
      </c>
      <c r="E246" s="13">
        <f t="shared" si="22"/>
        <v>-158.73009668000694</v>
      </c>
      <c r="F246" s="13">
        <f t="shared" si="23"/>
        <v>-214.42124073688484</v>
      </c>
      <c r="G246" s="13">
        <f>SUM($E$5:E246)</f>
        <v>-59101.794559866721</v>
      </c>
      <c r="H246" s="13">
        <f>SUM($F$5:F246)</f>
        <v>-31200.829095021138</v>
      </c>
    </row>
    <row r="247" spans="1:8" x14ac:dyDescent="0.25">
      <c r="A247" s="1">
        <f t="shared" si="18"/>
        <v>243</v>
      </c>
      <c r="B247" s="14">
        <f t="shared" ca="1" si="19"/>
        <v>50072</v>
      </c>
      <c r="C247" s="15">
        <f t="shared" si="20"/>
        <v>33799.170904978928</v>
      </c>
      <c r="D247" s="13">
        <f t="shared" si="21"/>
        <v>-373.15133741689175</v>
      </c>
      <c r="E247" s="13">
        <f t="shared" si="22"/>
        <v>-157.7294642232348</v>
      </c>
      <c r="F247" s="13">
        <f t="shared" si="23"/>
        <v>-215.42187319365692</v>
      </c>
      <c r="G247" s="13">
        <f>SUM($E$5:E247)</f>
        <v>-59259.524024089958</v>
      </c>
      <c r="H247" s="13">
        <f>SUM($F$5:F247)</f>
        <v>-31416.250968214794</v>
      </c>
    </row>
    <row r="248" spans="1:8" x14ac:dyDescent="0.25">
      <c r="A248" s="1">
        <f t="shared" si="18"/>
        <v>244</v>
      </c>
      <c r="B248" s="14">
        <f t="shared" ca="1" si="19"/>
        <v>50100</v>
      </c>
      <c r="C248" s="15">
        <f t="shared" si="20"/>
        <v>33583.749031785272</v>
      </c>
      <c r="D248" s="13">
        <f t="shared" si="21"/>
        <v>-373.15133741689175</v>
      </c>
      <c r="E248" s="13">
        <f t="shared" si="22"/>
        <v>-156.72416214833103</v>
      </c>
      <c r="F248" s="13">
        <f t="shared" si="23"/>
        <v>-216.42717526856069</v>
      </c>
      <c r="G248" s="13">
        <f>SUM($E$5:E248)</f>
        <v>-59416.248186238292</v>
      </c>
      <c r="H248" s="13">
        <f>SUM($F$5:F248)</f>
        <v>-31632.678143483354</v>
      </c>
    </row>
    <row r="249" spans="1:8" x14ac:dyDescent="0.25">
      <c r="A249" s="1">
        <f t="shared" si="18"/>
        <v>245</v>
      </c>
      <c r="B249" s="14">
        <f t="shared" ca="1" si="19"/>
        <v>50131</v>
      </c>
      <c r="C249" s="15">
        <f t="shared" si="20"/>
        <v>33367.321856516712</v>
      </c>
      <c r="D249" s="13">
        <f t="shared" si="21"/>
        <v>-373.15133741689175</v>
      </c>
      <c r="E249" s="13">
        <f t="shared" si="22"/>
        <v>-155.71416866374443</v>
      </c>
      <c r="F249" s="13">
        <f t="shared" si="23"/>
        <v>-217.43716875314732</v>
      </c>
      <c r="G249" s="13">
        <f>SUM($E$5:E249)</f>
        <v>-59571.96235490204</v>
      </c>
      <c r="H249" s="13">
        <f>SUM($F$5:F249)</f>
        <v>-31850.115312236499</v>
      </c>
    </row>
    <row r="250" spans="1:8" x14ac:dyDescent="0.25">
      <c r="A250" s="1">
        <f t="shared" si="18"/>
        <v>246</v>
      </c>
      <c r="B250" s="14">
        <f t="shared" ca="1" si="19"/>
        <v>50161</v>
      </c>
      <c r="C250" s="15">
        <f t="shared" si="20"/>
        <v>33149.884687763566</v>
      </c>
      <c r="D250" s="13">
        <f t="shared" si="21"/>
        <v>-373.15133741689175</v>
      </c>
      <c r="E250" s="13">
        <f t="shared" si="22"/>
        <v>-154.69946187622975</v>
      </c>
      <c r="F250" s="13">
        <f t="shared" si="23"/>
        <v>-218.451875540662</v>
      </c>
      <c r="G250" s="13">
        <f>SUM($E$5:E250)</f>
        <v>-59726.661816778273</v>
      </c>
      <c r="H250" s="13">
        <f>SUM($F$5:F250)</f>
        <v>-32068.56718777716</v>
      </c>
    </row>
    <row r="251" spans="1:8" x14ac:dyDescent="0.25">
      <c r="A251" s="1">
        <f t="shared" si="18"/>
        <v>247</v>
      </c>
      <c r="B251" s="14">
        <f t="shared" ca="1" si="19"/>
        <v>50192</v>
      </c>
      <c r="C251" s="15">
        <f t="shared" si="20"/>
        <v>32931.432812222905</v>
      </c>
      <c r="D251" s="13">
        <f t="shared" si="21"/>
        <v>-373.15133741689175</v>
      </c>
      <c r="E251" s="13">
        <f t="shared" si="22"/>
        <v>-153.68001979037334</v>
      </c>
      <c r="F251" s="13">
        <f t="shared" si="23"/>
        <v>-219.47131762651844</v>
      </c>
      <c r="G251" s="13">
        <f>SUM($E$5:E251)</f>
        <v>-59880.341836568645</v>
      </c>
      <c r="H251" s="13">
        <f>SUM($F$5:F251)</f>
        <v>-32288.038505403678</v>
      </c>
    </row>
    <row r="252" spans="1:8" x14ac:dyDescent="0.25">
      <c r="A252" s="1">
        <f t="shared" si="18"/>
        <v>248</v>
      </c>
      <c r="B252" s="14">
        <f t="shared" ca="1" si="19"/>
        <v>50222</v>
      </c>
      <c r="C252" s="15">
        <f t="shared" si="20"/>
        <v>32711.961494596388</v>
      </c>
      <c r="D252" s="13">
        <f t="shared" si="21"/>
        <v>-373.15133741689175</v>
      </c>
      <c r="E252" s="13">
        <f t="shared" si="22"/>
        <v>-152.65582030811623</v>
      </c>
      <c r="F252" s="13">
        <f t="shared" si="23"/>
        <v>-220.49551710877546</v>
      </c>
      <c r="G252" s="13">
        <f>SUM($E$5:E252)</f>
        <v>-60032.99765687676</v>
      </c>
      <c r="H252" s="13">
        <f>SUM($F$5:F252)</f>
        <v>-32508.534022512453</v>
      </c>
    </row>
    <row r="253" spans="1:8" x14ac:dyDescent="0.25">
      <c r="A253" s="1">
        <f t="shared" si="18"/>
        <v>249</v>
      </c>
      <c r="B253" s="14">
        <f t="shared" ca="1" si="19"/>
        <v>50253</v>
      </c>
      <c r="C253" s="15">
        <f t="shared" si="20"/>
        <v>32491.465977487613</v>
      </c>
      <c r="D253" s="13">
        <f t="shared" si="21"/>
        <v>-373.15133741689175</v>
      </c>
      <c r="E253" s="13">
        <f t="shared" si="22"/>
        <v>-151.62684122827525</v>
      </c>
      <c r="F253" s="13">
        <f t="shared" si="23"/>
        <v>-221.52449618861644</v>
      </c>
      <c r="G253" s="13">
        <f>SUM($E$5:E253)</f>
        <v>-60184.624498105033</v>
      </c>
      <c r="H253" s="13">
        <f>SUM($F$5:F253)</f>
        <v>-32730.058518701069</v>
      </c>
    </row>
    <row r="254" spans="1:8" x14ac:dyDescent="0.25">
      <c r="A254" s="1">
        <f t="shared" si="18"/>
        <v>250</v>
      </c>
      <c r="B254" s="14">
        <f t="shared" ca="1" si="19"/>
        <v>50284</v>
      </c>
      <c r="C254" s="15">
        <f t="shared" si="20"/>
        <v>32269.941481298996</v>
      </c>
      <c r="D254" s="13">
        <f t="shared" si="21"/>
        <v>-373.15133741689175</v>
      </c>
      <c r="E254" s="13">
        <f t="shared" si="22"/>
        <v>-150.59306024606175</v>
      </c>
      <c r="F254" s="13">
        <f t="shared" si="23"/>
        <v>-222.55827717083</v>
      </c>
      <c r="G254" s="13">
        <f>SUM($E$5:E254)</f>
        <v>-60335.217558351098</v>
      </c>
      <c r="H254" s="13">
        <f>SUM($F$5:F254)</f>
        <v>-32952.616795871902</v>
      </c>
    </row>
    <row r="255" spans="1:8" x14ac:dyDescent="0.25">
      <c r="A255" s="1">
        <f t="shared" si="18"/>
        <v>251</v>
      </c>
      <c r="B255" s="14">
        <f t="shared" ca="1" si="19"/>
        <v>50314</v>
      </c>
      <c r="C255" s="15">
        <f t="shared" si="20"/>
        <v>32047.383204128168</v>
      </c>
      <c r="D255" s="13">
        <f t="shared" si="21"/>
        <v>-373.15133741689175</v>
      </c>
      <c r="E255" s="13">
        <f t="shared" si="22"/>
        <v>-149.55445495259787</v>
      </c>
      <c r="F255" s="13">
        <f t="shared" si="23"/>
        <v>-223.59688246429386</v>
      </c>
      <c r="G255" s="13">
        <f>SUM($E$5:E255)</f>
        <v>-60484.772013303693</v>
      </c>
      <c r="H255" s="13">
        <f>SUM($F$5:F255)</f>
        <v>-33176.213678336193</v>
      </c>
    </row>
    <row r="256" spans="1:8" x14ac:dyDescent="0.25">
      <c r="A256" s="1">
        <f t="shared" si="18"/>
        <v>252</v>
      </c>
      <c r="B256" s="14">
        <f t="shared" ca="1" si="19"/>
        <v>50345</v>
      </c>
      <c r="C256" s="15">
        <f t="shared" si="20"/>
        <v>31823.786321663873</v>
      </c>
      <c r="D256" s="13">
        <f t="shared" si="21"/>
        <v>-373.15133741689175</v>
      </c>
      <c r="E256" s="13">
        <f t="shared" si="22"/>
        <v>-148.51100283443114</v>
      </c>
      <c r="F256" s="13">
        <f t="shared" si="23"/>
        <v>-224.64033458246055</v>
      </c>
      <c r="G256" s="13">
        <f>SUM($E$5:E256)</f>
        <v>-60633.283016138121</v>
      </c>
      <c r="H256" s="13">
        <f>SUM($F$5:F256)</f>
        <v>-33400.854012918651</v>
      </c>
    </row>
    <row r="257" spans="1:8" x14ac:dyDescent="0.25">
      <c r="A257" s="1">
        <f t="shared" si="18"/>
        <v>253</v>
      </c>
      <c r="B257" s="14">
        <f t="shared" ca="1" si="19"/>
        <v>50375</v>
      </c>
      <c r="C257" s="15">
        <f t="shared" si="20"/>
        <v>31599.145987081411</v>
      </c>
      <c r="D257" s="13">
        <f t="shared" si="21"/>
        <v>-373.15133741689175</v>
      </c>
      <c r="E257" s="13">
        <f t="shared" si="22"/>
        <v>-147.46268127304634</v>
      </c>
      <c r="F257" s="13">
        <f t="shared" si="23"/>
        <v>-225.68865614384541</v>
      </c>
      <c r="G257" s="13">
        <f>SUM($E$5:E257)</f>
        <v>-60780.74569741117</v>
      </c>
      <c r="H257" s="13">
        <f>SUM($F$5:F257)</f>
        <v>-33626.542669062495</v>
      </c>
    </row>
    <row r="258" spans="1:8" x14ac:dyDescent="0.25">
      <c r="A258" s="1">
        <f t="shared" si="18"/>
        <v>254</v>
      </c>
      <c r="B258" s="14">
        <f t="shared" ca="1" si="19"/>
        <v>50406</v>
      </c>
      <c r="C258" s="15">
        <f t="shared" si="20"/>
        <v>31373.457330937566</v>
      </c>
      <c r="D258" s="13">
        <f t="shared" si="21"/>
        <v>-373.15133741689175</v>
      </c>
      <c r="E258" s="13">
        <f t="shared" si="22"/>
        <v>-146.40946754437508</v>
      </c>
      <c r="F258" s="13">
        <f t="shared" si="23"/>
        <v>-226.74186987251667</v>
      </c>
      <c r="G258" s="13">
        <f>SUM($E$5:E258)</f>
        <v>-60927.155164955548</v>
      </c>
      <c r="H258" s="13">
        <f>SUM($F$5:F258)</f>
        <v>-33853.284538935011</v>
      </c>
    </row>
    <row r="259" spans="1:8" x14ac:dyDescent="0.25">
      <c r="A259" s="1">
        <f t="shared" si="18"/>
        <v>255</v>
      </c>
      <c r="B259" s="14">
        <f t="shared" ca="1" si="19"/>
        <v>50437</v>
      </c>
      <c r="C259" s="15">
        <f t="shared" si="20"/>
        <v>31146.71546106505</v>
      </c>
      <c r="D259" s="13">
        <f t="shared" si="21"/>
        <v>-373.15133741689175</v>
      </c>
      <c r="E259" s="13">
        <f t="shared" si="22"/>
        <v>-145.35133881830333</v>
      </c>
      <c r="F259" s="13">
        <f t="shared" si="23"/>
        <v>-227.79999859858842</v>
      </c>
      <c r="G259" s="13">
        <f>SUM($E$5:E259)</f>
        <v>-61072.506503773853</v>
      </c>
      <c r="H259" s="13">
        <f>SUM($F$5:F259)</f>
        <v>-34081.084537533599</v>
      </c>
    </row>
    <row r="260" spans="1:8" x14ac:dyDescent="0.25">
      <c r="A260" s="1">
        <f t="shared" si="18"/>
        <v>256</v>
      </c>
      <c r="B260" s="14">
        <f t="shared" ca="1" si="19"/>
        <v>50465</v>
      </c>
      <c r="C260" s="15">
        <f t="shared" si="20"/>
        <v>30918.915462466462</v>
      </c>
      <c r="D260" s="13">
        <f t="shared" si="21"/>
        <v>-373.15133741689175</v>
      </c>
      <c r="E260" s="13">
        <f t="shared" si="22"/>
        <v>-144.2882721581766</v>
      </c>
      <c r="F260" s="13">
        <f t="shared" si="23"/>
        <v>-228.86306525871515</v>
      </c>
      <c r="G260" s="13">
        <f>SUM($E$5:E260)</f>
        <v>-61216.79477593203</v>
      </c>
      <c r="H260" s="13">
        <f>SUM($F$5:F260)</f>
        <v>-34309.947602792316</v>
      </c>
    </row>
    <row r="261" spans="1:8" x14ac:dyDescent="0.25">
      <c r="A261" s="1">
        <f t="shared" ref="A261:A324" si="24">ROW(A257)</f>
        <v>257</v>
      </c>
      <c r="B261" s="14">
        <f t="shared" ca="1" si="19"/>
        <v>50496</v>
      </c>
      <c r="C261" s="15">
        <f t="shared" si="20"/>
        <v>30690.052397207746</v>
      </c>
      <c r="D261" s="13">
        <f t="shared" si="21"/>
        <v>-373.15133741689175</v>
      </c>
      <c r="E261" s="13">
        <f t="shared" si="22"/>
        <v>-143.2202445203026</v>
      </c>
      <c r="F261" s="13">
        <f t="shared" si="23"/>
        <v>-229.93109289658918</v>
      </c>
      <c r="G261" s="13">
        <f>SUM($E$5:E261)</f>
        <v>-61360.015020452331</v>
      </c>
      <c r="H261" s="13">
        <f>SUM($F$5:F261)</f>
        <v>-34539.878695688902</v>
      </c>
    </row>
    <row r="262" spans="1:8" x14ac:dyDescent="0.25">
      <c r="A262" s="1">
        <f t="shared" si="24"/>
        <v>258</v>
      </c>
      <c r="B262" s="14">
        <f t="shared" ref="B262:B325" ca="1" si="25">DATE(YEAR(NOW()),MONTH(NOW())+A262,1)</f>
        <v>50526</v>
      </c>
      <c r="C262" s="15">
        <f t="shared" si="20"/>
        <v>30460.121304311157</v>
      </c>
      <c r="D262" s="13">
        <f t="shared" si="21"/>
        <v>-373.15133741689175</v>
      </c>
      <c r="E262" s="13">
        <f t="shared" si="22"/>
        <v>-142.14723275345185</v>
      </c>
      <c r="F262" s="13">
        <f t="shared" si="23"/>
        <v>-231.0041046634399</v>
      </c>
      <c r="G262" s="13">
        <f>SUM($E$5:E262)</f>
        <v>-61502.162253205781</v>
      </c>
      <c r="H262" s="13">
        <f>SUM($F$5:F262)</f>
        <v>-34770.882800352345</v>
      </c>
    </row>
    <row r="263" spans="1:8" x14ac:dyDescent="0.25">
      <c r="A263" s="1">
        <f t="shared" si="24"/>
        <v>259</v>
      </c>
      <c r="B263" s="14">
        <f t="shared" ca="1" si="25"/>
        <v>50557</v>
      </c>
      <c r="C263" s="15">
        <f t="shared" ref="C263:C326" si="26">C262+F262</f>
        <v>30229.117199647717</v>
      </c>
      <c r="D263" s="13">
        <f t="shared" ref="D263:D326" si="27">$F$2</f>
        <v>-373.15133741689175</v>
      </c>
      <c r="E263" s="13">
        <f t="shared" ref="E263:E326" si="28">IPMT($D$2/12,A263,$E$2*12,$C$2)</f>
        <v>-141.06921359835576</v>
      </c>
      <c r="F263" s="13">
        <f t="shared" ref="F263:F326" si="29">PPMT($D$2/12,A263,$E$2*12,$C$2)</f>
        <v>-232.08212381853596</v>
      </c>
      <c r="G263" s="13">
        <f>SUM($E$5:E263)</f>
        <v>-61643.231466804136</v>
      </c>
      <c r="H263" s="13">
        <f>SUM($F$5:F263)</f>
        <v>-35002.964924170883</v>
      </c>
    </row>
    <row r="264" spans="1:8" x14ac:dyDescent="0.25">
      <c r="A264" s="1">
        <f t="shared" si="24"/>
        <v>260</v>
      </c>
      <c r="B264" s="14">
        <f t="shared" ca="1" si="25"/>
        <v>50587</v>
      </c>
      <c r="C264" s="15">
        <f t="shared" si="26"/>
        <v>29997.035075829182</v>
      </c>
      <c r="D264" s="13">
        <f t="shared" si="27"/>
        <v>-373.15133741689175</v>
      </c>
      <c r="E264" s="13">
        <f t="shared" si="28"/>
        <v>-139.98616368720261</v>
      </c>
      <c r="F264" s="13">
        <f t="shared" si="29"/>
        <v>-233.16517372968914</v>
      </c>
      <c r="G264" s="13">
        <f>SUM($E$5:E264)</f>
        <v>-61783.217630491337</v>
      </c>
      <c r="H264" s="13">
        <f>SUM($F$5:F264)</f>
        <v>-35236.130097900575</v>
      </c>
    </row>
    <row r="265" spans="1:8" x14ac:dyDescent="0.25">
      <c r="A265" s="1">
        <f t="shared" si="24"/>
        <v>261</v>
      </c>
      <c r="B265" s="14">
        <f t="shared" ca="1" si="25"/>
        <v>50618</v>
      </c>
      <c r="C265" s="15">
        <f t="shared" si="26"/>
        <v>29763.869902099494</v>
      </c>
      <c r="D265" s="13">
        <f t="shared" si="27"/>
        <v>-373.15133741689175</v>
      </c>
      <c r="E265" s="13">
        <f t="shared" si="28"/>
        <v>-138.89805954313073</v>
      </c>
      <c r="F265" s="13">
        <f t="shared" si="29"/>
        <v>-234.25327787376102</v>
      </c>
      <c r="G265" s="13">
        <f>SUM($E$5:E265)</f>
        <v>-61922.115690034465</v>
      </c>
      <c r="H265" s="13">
        <f>SUM($F$5:F265)</f>
        <v>-35470.383375774334</v>
      </c>
    </row>
    <row r="266" spans="1:8" x14ac:dyDescent="0.25">
      <c r="A266" s="1">
        <f t="shared" si="24"/>
        <v>262</v>
      </c>
      <c r="B266" s="14">
        <f t="shared" ca="1" si="25"/>
        <v>50649</v>
      </c>
      <c r="C266" s="15">
        <f t="shared" si="26"/>
        <v>29529.616624225731</v>
      </c>
      <c r="D266" s="13">
        <f t="shared" si="27"/>
        <v>-373.15133741689175</v>
      </c>
      <c r="E266" s="13">
        <f t="shared" si="28"/>
        <v>-137.80487757971983</v>
      </c>
      <c r="F266" s="13">
        <f t="shared" si="29"/>
        <v>-235.34645983717189</v>
      </c>
      <c r="G266" s="13">
        <f>SUM($E$5:E266)</f>
        <v>-62059.920567614186</v>
      </c>
      <c r="H266" s="13">
        <f>SUM($F$5:F266)</f>
        <v>-35705.729835611506</v>
      </c>
    </row>
    <row r="267" spans="1:8" x14ac:dyDescent="0.25">
      <c r="A267" s="1">
        <f t="shared" si="24"/>
        <v>263</v>
      </c>
      <c r="B267" s="14">
        <f t="shared" ca="1" si="25"/>
        <v>50679</v>
      </c>
      <c r="C267" s="15">
        <f t="shared" si="26"/>
        <v>29294.270164388559</v>
      </c>
      <c r="D267" s="13">
        <f t="shared" si="27"/>
        <v>-373.15133741689175</v>
      </c>
      <c r="E267" s="13">
        <f t="shared" si="28"/>
        <v>-136.70659410047969</v>
      </c>
      <c r="F267" s="13">
        <f t="shared" si="29"/>
        <v>-236.44474331641203</v>
      </c>
      <c r="G267" s="13">
        <f>SUM($E$5:E267)</f>
        <v>-62196.627161714663</v>
      </c>
      <c r="H267" s="13">
        <f>SUM($F$5:F267)</f>
        <v>-35942.174578927916</v>
      </c>
    </row>
    <row r="268" spans="1:8" x14ac:dyDescent="0.25">
      <c r="A268" s="1">
        <f t="shared" si="24"/>
        <v>264</v>
      </c>
      <c r="B268" s="14">
        <f t="shared" ca="1" si="25"/>
        <v>50710</v>
      </c>
      <c r="C268" s="15">
        <f t="shared" si="26"/>
        <v>29057.825421072146</v>
      </c>
      <c r="D268" s="13">
        <f t="shared" si="27"/>
        <v>-373.15133741689175</v>
      </c>
      <c r="E268" s="13">
        <f t="shared" si="28"/>
        <v>-135.60318529833643</v>
      </c>
      <c r="F268" s="13">
        <f t="shared" si="29"/>
        <v>-237.54815211855527</v>
      </c>
      <c r="G268" s="13">
        <f>SUM($E$5:E268)</f>
        <v>-62332.230347012999</v>
      </c>
      <c r="H268" s="13">
        <f>SUM($F$5:F268)</f>
        <v>-36179.722731046473</v>
      </c>
    </row>
    <row r="269" spans="1:8" x14ac:dyDescent="0.25">
      <c r="A269" s="1">
        <f t="shared" si="24"/>
        <v>265</v>
      </c>
      <c r="B269" s="14">
        <f t="shared" ca="1" si="25"/>
        <v>50740</v>
      </c>
      <c r="C269" s="15">
        <f t="shared" si="26"/>
        <v>28820.277268953592</v>
      </c>
      <c r="D269" s="13">
        <f t="shared" si="27"/>
        <v>-373.15133741689175</v>
      </c>
      <c r="E269" s="13">
        <f t="shared" si="28"/>
        <v>-134.49462725511651</v>
      </c>
      <c r="F269" s="13">
        <f t="shared" si="29"/>
        <v>-238.65671016177524</v>
      </c>
      <c r="G269" s="13">
        <f>SUM($E$5:E269)</f>
        <v>-62466.724974268116</v>
      </c>
      <c r="H269" s="13">
        <f>SUM($F$5:F269)</f>
        <v>-36418.37944120825</v>
      </c>
    </row>
    <row r="270" spans="1:8" x14ac:dyDescent="0.25">
      <c r="A270" s="1">
        <f t="shared" si="24"/>
        <v>266</v>
      </c>
      <c r="B270" s="14">
        <f t="shared" ca="1" si="25"/>
        <v>50771</v>
      </c>
      <c r="C270" s="15">
        <f t="shared" si="26"/>
        <v>28581.620558791816</v>
      </c>
      <c r="D270" s="13">
        <f t="shared" si="27"/>
        <v>-373.15133741689175</v>
      </c>
      <c r="E270" s="13">
        <f t="shared" si="28"/>
        <v>-133.38089594102826</v>
      </c>
      <c r="F270" s="13">
        <f t="shared" si="29"/>
        <v>-239.77044147586349</v>
      </c>
      <c r="G270" s="13">
        <f>SUM($E$5:E270)</f>
        <v>-62600.105870209147</v>
      </c>
      <c r="H270" s="13">
        <f>SUM($F$5:F270)</f>
        <v>-36658.149882684113</v>
      </c>
    </row>
    <row r="271" spans="1:8" x14ac:dyDescent="0.25">
      <c r="A271" s="1">
        <f t="shared" si="24"/>
        <v>267</v>
      </c>
      <c r="B271" s="14">
        <f t="shared" ca="1" si="25"/>
        <v>50802</v>
      </c>
      <c r="C271" s="15">
        <f t="shared" si="26"/>
        <v>28341.850117315953</v>
      </c>
      <c r="D271" s="13">
        <f t="shared" si="27"/>
        <v>-373.15133741689175</v>
      </c>
      <c r="E271" s="13">
        <f t="shared" si="28"/>
        <v>-132.26196721414087</v>
      </c>
      <c r="F271" s="13">
        <f t="shared" si="29"/>
        <v>-240.88937020275085</v>
      </c>
      <c r="G271" s="13">
        <f>SUM($E$5:E271)</f>
        <v>-62732.367837423284</v>
      </c>
      <c r="H271" s="13">
        <f>SUM($F$5:F271)</f>
        <v>-36899.039252886862</v>
      </c>
    </row>
    <row r="272" spans="1:8" x14ac:dyDescent="0.25">
      <c r="A272" s="1">
        <f t="shared" si="24"/>
        <v>268</v>
      </c>
      <c r="B272" s="14">
        <f t="shared" ca="1" si="25"/>
        <v>50830</v>
      </c>
      <c r="C272" s="15">
        <f t="shared" si="26"/>
        <v>28100.9607471132</v>
      </c>
      <c r="D272" s="13">
        <f t="shared" si="27"/>
        <v>-373.15133741689175</v>
      </c>
      <c r="E272" s="13">
        <f t="shared" si="28"/>
        <v>-131.13781681986137</v>
      </c>
      <c r="F272" s="13">
        <f t="shared" si="29"/>
        <v>-242.01352059703038</v>
      </c>
      <c r="G272" s="13">
        <f>SUM($E$5:E272)</f>
        <v>-62863.505654243148</v>
      </c>
      <c r="H272" s="13">
        <f>SUM($F$5:F272)</f>
        <v>-37141.052773483891</v>
      </c>
    </row>
    <row r="273" spans="1:8" x14ac:dyDescent="0.25">
      <c r="A273" s="1">
        <f t="shared" si="24"/>
        <v>269</v>
      </c>
      <c r="B273" s="14">
        <f t="shared" ca="1" si="25"/>
        <v>50861</v>
      </c>
      <c r="C273" s="15">
        <f t="shared" si="26"/>
        <v>27858.947226516171</v>
      </c>
      <c r="D273" s="13">
        <f t="shared" si="27"/>
        <v>-373.15133741689175</v>
      </c>
      <c r="E273" s="13">
        <f t="shared" si="28"/>
        <v>-130.00842039040856</v>
      </c>
      <c r="F273" s="13">
        <f t="shared" si="29"/>
        <v>-243.14291702648319</v>
      </c>
      <c r="G273" s="13">
        <f>SUM($E$5:E273)</f>
        <v>-62993.51407463356</v>
      </c>
      <c r="H273" s="13">
        <f>SUM($F$5:F273)</f>
        <v>-37384.195690510373</v>
      </c>
    </row>
    <row r="274" spans="1:8" x14ac:dyDescent="0.25">
      <c r="A274" s="1">
        <f t="shared" si="24"/>
        <v>270</v>
      </c>
      <c r="B274" s="14">
        <f t="shared" ca="1" si="25"/>
        <v>50891</v>
      </c>
      <c r="C274" s="15">
        <f t="shared" si="26"/>
        <v>27615.804309489689</v>
      </c>
      <c r="D274" s="13">
        <f t="shared" si="27"/>
        <v>-373.15133741689175</v>
      </c>
      <c r="E274" s="13">
        <f t="shared" si="28"/>
        <v>-128.873753444285</v>
      </c>
      <c r="F274" s="13">
        <f t="shared" si="29"/>
        <v>-244.27758397260672</v>
      </c>
      <c r="G274" s="13">
        <f>SUM($E$5:E274)</f>
        <v>-63122.387828077844</v>
      </c>
      <c r="H274" s="13">
        <f>SUM($F$5:F274)</f>
        <v>-37628.473274482982</v>
      </c>
    </row>
    <row r="275" spans="1:8" x14ac:dyDescent="0.25">
      <c r="A275" s="1">
        <f t="shared" si="24"/>
        <v>271</v>
      </c>
      <c r="B275" s="14">
        <f t="shared" ca="1" si="25"/>
        <v>50922</v>
      </c>
      <c r="C275" s="15">
        <f t="shared" si="26"/>
        <v>27371.526725517084</v>
      </c>
      <c r="D275" s="13">
        <f t="shared" si="27"/>
        <v>-373.15133741689175</v>
      </c>
      <c r="E275" s="13">
        <f t="shared" si="28"/>
        <v>-127.73379138574614</v>
      </c>
      <c r="F275" s="13">
        <f t="shared" si="29"/>
        <v>-245.4175460311456</v>
      </c>
      <c r="G275" s="13">
        <f>SUM($E$5:E275)</f>
        <v>-63250.121619463593</v>
      </c>
      <c r="H275" s="13">
        <f>SUM($F$5:F275)</f>
        <v>-37873.890820514127</v>
      </c>
    </row>
    <row r="276" spans="1:8" x14ac:dyDescent="0.25">
      <c r="A276" s="1">
        <f t="shared" si="24"/>
        <v>272</v>
      </c>
      <c r="B276" s="14">
        <f t="shared" ca="1" si="25"/>
        <v>50952</v>
      </c>
      <c r="C276" s="15">
        <f t="shared" si="26"/>
        <v>27126.109179485939</v>
      </c>
      <c r="D276" s="13">
        <f t="shared" si="27"/>
        <v>-373.15133741689175</v>
      </c>
      <c r="E276" s="13">
        <f t="shared" si="28"/>
        <v>-126.58850950426745</v>
      </c>
      <c r="F276" s="13">
        <f t="shared" si="29"/>
        <v>-246.56282791262424</v>
      </c>
      <c r="G276" s="13">
        <f>SUM($E$5:E276)</f>
        <v>-63376.710128967861</v>
      </c>
      <c r="H276" s="13">
        <f>SUM($F$5:F276)</f>
        <v>-38120.453648426752</v>
      </c>
    </row>
    <row r="277" spans="1:8" x14ac:dyDescent="0.25">
      <c r="A277" s="1">
        <f t="shared" si="24"/>
        <v>273</v>
      </c>
      <c r="B277" s="14">
        <f t="shared" ca="1" si="25"/>
        <v>50983</v>
      </c>
      <c r="C277" s="15">
        <f t="shared" si="26"/>
        <v>26879.546351573314</v>
      </c>
      <c r="D277" s="13">
        <f t="shared" si="27"/>
        <v>-373.15133741689175</v>
      </c>
      <c r="E277" s="13">
        <f t="shared" si="28"/>
        <v>-125.43788297400856</v>
      </c>
      <c r="F277" s="13">
        <f t="shared" si="29"/>
        <v>-247.7134544428832</v>
      </c>
      <c r="G277" s="13">
        <f>SUM($E$5:E277)</f>
        <v>-63502.14801194187</v>
      </c>
      <c r="H277" s="13">
        <f>SUM($F$5:F277)</f>
        <v>-38368.167102869636</v>
      </c>
    </row>
    <row r="278" spans="1:8" x14ac:dyDescent="0.25">
      <c r="A278" s="1">
        <f t="shared" si="24"/>
        <v>274</v>
      </c>
      <c r="B278" s="14">
        <f t="shared" ca="1" si="25"/>
        <v>51014</v>
      </c>
      <c r="C278" s="15">
        <f t="shared" si="26"/>
        <v>26631.832897130429</v>
      </c>
      <c r="D278" s="13">
        <f t="shared" si="27"/>
        <v>-373.15133741689175</v>
      </c>
      <c r="E278" s="13">
        <f t="shared" si="28"/>
        <v>-124.2818868532751</v>
      </c>
      <c r="F278" s="13">
        <f t="shared" si="29"/>
        <v>-248.86945056361662</v>
      </c>
      <c r="G278" s="13">
        <f>SUM($E$5:E278)</f>
        <v>-63626.429898795148</v>
      </c>
      <c r="H278" s="13">
        <f>SUM($F$5:F278)</f>
        <v>-38617.036553433252</v>
      </c>
    </row>
    <row r="279" spans="1:8" x14ac:dyDescent="0.25">
      <c r="A279" s="1">
        <f t="shared" si="24"/>
        <v>275</v>
      </c>
      <c r="B279" s="14">
        <f t="shared" ca="1" si="25"/>
        <v>51044</v>
      </c>
      <c r="C279" s="15">
        <f t="shared" si="26"/>
        <v>26382.963446566813</v>
      </c>
      <c r="D279" s="13">
        <f t="shared" si="27"/>
        <v>-373.15133741689175</v>
      </c>
      <c r="E279" s="13">
        <f t="shared" si="28"/>
        <v>-123.12049608397821</v>
      </c>
      <c r="F279" s="13">
        <f t="shared" si="29"/>
        <v>-250.03084133291352</v>
      </c>
      <c r="G279" s="13">
        <f>SUM($E$5:E279)</f>
        <v>-63749.550394879123</v>
      </c>
      <c r="H279" s="13">
        <f>SUM($F$5:F279)</f>
        <v>-38867.067394766163</v>
      </c>
    </row>
    <row r="280" spans="1:8" x14ac:dyDescent="0.25">
      <c r="A280" s="1">
        <f t="shared" si="24"/>
        <v>276</v>
      </c>
      <c r="B280" s="14">
        <f t="shared" ca="1" si="25"/>
        <v>51075</v>
      </c>
      <c r="C280" s="15">
        <f t="shared" si="26"/>
        <v>26132.932605233898</v>
      </c>
      <c r="D280" s="13">
        <f t="shared" si="27"/>
        <v>-373.15133741689175</v>
      </c>
      <c r="E280" s="13">
        <f t="shared" si="28"/>
        <v>-121.95368549109126</v>
      </c>
      <c r="F280" s="13">
        <f t="shared" si="29"/>
        <v>-251.19765192580044</v>
      </c>
      <c r="G280" s="13">
        <f>SUM($E$5:E280)</f>
        <v>-63871.504080370214</v>
      </c>
      <c r="H280" s="13">
        <f>SUM($F$5:F280)</f>
        <v>-39118.265046691966</v>
      </c>
    </row>
    <row r="281" spans="1:8" x14ac:dyDescent="0.25">
      <c r="A281" s="1">
        <f t="shared" si="24"/>
        <v>277</v>
      </c>
      <c r="B281" s="14">
        <f t="shared" ca="1" si="25"/>
        <v>51105</v>
      </c>
      <c r="C281" s="15">
        <f t="shared" si="26"/>
        <v>25881.7349533081</v>
      </c>
      <c r="D281" s="13">
        <f t="shared" si="27"/>
        <v>-373.15133741689175</v>
      </c>
      <c r="E281" s="13">
        <f t="shared" si="28"/>
        <v>-120.78142978210424</v>
      </c>
      <c r="F281" s="13">
        <f t="shared" si="29"/>
        <v>-252.36990763478752</v>
      </c>
      <c r="G281" s="13">
        <f>SUM($E$5:E281)</f>
        <v>-63992.285510152316</v>
      </c>
      <c r="H281" s="13">
        <f>SUM($F$5:F281)</f>
        <v>-39370.634954326757</v>
      </c>
    </row>
    <row r="282" spans="1:8" x14ac:dyDescent="0.25">
      <c r="A282" s="1">
        <f t="shared" si="24"/>
        <v>278</v>
      </c>
      <c r="B282" s="14">
        <f t="shared" ca="1" si="25"/>
        <v>51136</v>
      </c>
      <c r="C282" s="15">
        <f t="shared" si="26"/>
        <v>25629.365045673312</v>
      </c>
      <c r="D282" s="13">
        <f t="shared" si="27"/>
        <v>-373.15133741689175</v>
      </c>
      <c r="E282" s="13">
        <f t="shared" si="28"/>
        <v>-119.60370354647519</v>
      </c>
      <c r="F282" s="13">
        <f t="shared" si="29"/>
        <v>-253.54763387041652</v>
      </c>
      <c r="G282" s="13">
        <f>SUM($E$5:E282)</f>
        <v>-64111.889213698792</v>
      </c>
      <c r="H282" s="13">
        <f>SUM($F$5:F282)</f>
        <v>-39624.182588197174</v>
      </c>
    </row>
    <row r="283" spans="1:8" x14ac:dyDescent="0.25">
      <c r="A283" s="1">
        <f t="shared" si="24"/>
        <v>279</v>
      </c>
      <c r="B283" s="14">
        <f t="shared" ca="1" si="25"/>
        <v>51167</v>
      </c>
      <c r="C283" s="15">
        <f t="shared" si="26"/>
        <v>25375.817411802895</v>
      </c>
      <c r="D283" s="13">
        <f t="shared" si="27"/>
        <v>-373.15133741689175</v>
      </c>
      <c r="E283" s="13">
        <f t="shared" si="28"/>
        <v>-118.42048125507991</v>
      </c>
      <c r="F283" s="13">
        <f t="shared" si="29"/>
        <v>-254.7308561618118</v>
      </c>
      <c r="G283" s="13">
        <f>SUM($E$5:E283)</f>
        <v>-64230.309694953874</v>
      </c>
      <c r="H283" s="13">
        <f>SUM($F$5:F283)</f>
        <v>-39878.913444358986</v>
      </c>
    </row>
    <row r="284" spans="1:8" x14ac:dyDescent="0.25">
      <c r="A284" s="1">
        <f t="shared" si="24"/>
        <v>280</v>
      </c>
      <c r="B284" s="14">
        <f t="shared" ca="1" si="25"/>
        <v>51196</v>
      </c>
      <c r="C284" s="15">
        <f t="shared" si="26"/>
        <v>25121.086555641083</v>
      </c>
      <c r="D284" s="13">
        <f t="shared" si="27"/>
        <v>-373.15133741689175</v>
      </c>
      <c r="E284" s="13">
        <f t="shared" si="28"/>
        <v>-117.23173725965815</v>
      </c>
      <c r="F284" s="13">
        <f t="shared" si="29"/>
        <v>-255.91960015723356</v>
      </c>
      <c r="G284" s="13">
        <f>SUM($E$5:E284)</f>
        <v>-64347.541432213533</v>
      </c>
      <c r="H284" s="13">
        <f>SUM($F$5:F284)</f>
        <v>-40134.833044516221</v>
      </c>
    </row>
    <row r="285" spans="1:8" x14ac:dyDescent="0.25">
      <c r="A285" s="1">
        <f t="shared" si="24"/>
        <v>281</v>
      </c>
      <c r="B285" s="14">
        <f t="shared" ca="1" si="25"/>
        <v>51227</v>
      </c>
      <c r="C285" s="15">
        <f t="shared" si="26"/>
        <v>24865.166955483848</v>
      </c>
      <c r="D285" s="13">
        <f t="shared" si="27"/>
        <v>-373.15133741689175</v>
      </c>
      <c r="E285" s="13">
        <f t="shared" si="28"/>
        <v>-116.03744579225773</v>
      </c>
      <c r="F285" s="13">
        <f t="shared" si="29"/>
        <v>-257.11389162463405</v>
      </c>
      <c r="G285" s="13">
        <f>SUM($E$5:E285)</f>
        <v>-64463.578878005792</v>
      </c>
      <c r="H285" s="13">
        <f>SUM($F$5:F285)</f>
        <v>-40391.946936140856</v>
      </c>
    </row>
    <row r="286" spans="1:8" x14ac:dyDescent="0.25">
      <c r="A286" s="1">
        <f t="shared" si="24"/>
        <v>282</v>
      </c>
      <c r="B286" s="14">
        <f t="shared" ca="1" si="25"/>
        <v>51257</v>
      </c>
      <c r="C286" s="15">
        <f t="shared" si="26"/>
        <v>24608.053063859214</v>
      </c>
      <c r="D286" s="13">
        <f t="shared" si="27"/>
        <v>-373.15133741689175</v>
      </c>
      <c r="E286" s="13">
        <f t="shared" si="28"/>
        <v>-114.83758096467611</v>
      </c>
      <c r="F286" s="13">
        <f t="shared" si="29"/>
        <v>-258.31375645221567</v>
      </c>
      <c r="G286" s="13">
        <f>SUM($E$5:E286)</f>
        <v>-64578.416458970467</v>
      </c>
      <c r="H286" s="13">
        <f>SUM($F$5:F286)</f>
        <v>-40650.260692593074</v>
      </c>
    </row>
    <row r="287" spans="1:8" x14ac:dyDescent="0.25">
      <c r="A287" s="1">
        <f t="shared" si="24"/>
        <v>283</v>
      </c>
      <c r="B287" s="14">
        <f t="shared" ca="1" si="25"/>
        <v>51288</v>
      </c>
      <c r="C287" s="15">
        <f t="shared" si="26"/>
        <v>24349.739307406999</v>
      </c>
      <c r="D287" s="13">
        <f t="shared" si="27"/>
        <v>-373.15133741689175</v>
      </c>
      <c r="E287" s="13">
        <f t="shared" si="28"/>
        <v>-113.63211676789911</v>
      </c>
      <c r="F287" s="13">
        <f t="shared" si="29"/>
        <v>-259.5192206489927</v>
      </c>
      <c r="G287" s="13">
        <f>SUM($E$5:E287)</f>
        <v>-64692.048575738365</v>
      </c>
      <c r="H287" s="13">
        <f>SUM($F$5:F287)</f>
        <v>-40909.77991324207</v>
      </c>
    </row>
    <row r="288" spans="1:8" x14ac:dyDescent="0.25">
      <c r="A288" s="1">
        <f t="shared" si="24"/>
        <v>284</v>
      </c>
      <c r="B288" s="14">
        <f t="shared" ca="1" si="25"/>
        <v>51318</v>
      </c>
      <c r="C288" s="15">
        <f t="shared" si="26"/>
        <v>24090.220086758007</v>
      </c>
      <c r="D288" s="13">
        <f t="shared" si="27"/>
        <v>-373.15133741689175</v>
      </c>
      <c r="E288" s="13">
        <f t="shared" si="28"/>
        <v>-112.42102707153713</v>
      </c>
      <c r="F288" s="13">
        <f t="shared" si="29"/>
        <v>-260.73031034535467</v>
      </c>
      <c r="G288" s="13">
        <f>SUM($E$5:E288)</f>
        <v>-64804.469602809899</v>
      </c>
      <c r="H288" s="13">
        <f>SUM($F$5:F288)</f>
        <v>-41170.510223587422</v>
      </c>
    </row>
    <row r="289" spans="1:8" x14ac:dyDescent="0.25">
      <c r="A289" s="1">
        <f t="shared" si="24"/>
        <v>285</v>
      </c>
      <c r="B289" s="14">
        <f t="shared" ca="1" si="25"/>
        <v>51349</v>
      </c>
      <c r="C289" s="15">
        <f t="shared" si="26"/>
        <v>23829.489776412651</v>
      </c>
      <c r="D289" s="13">
        <f t="shared" si="27"/>
        <v>-373.15133741689175</v>
      </c>
      <c r="E289" s="13">
        <f t="shared" si="28"/>
        <v>-111.20428562325877</v>
      </c>
      <c r="F289" s="13">
        <f t="shared" si="29"/>
        <v>-261.94705179363291</v>
      </c>
      <c r="G289" s="13">
        <f>SUM($E$5:E289)</f>
        <v>-64915.673888433157</v>
      </c>
      <c r="H289" s="13">
        <f>SUM($F$5:F289)</f>
        <v>-41432.457275381057</v>
      </c>
    </row>
    <row r="290" spans="1:8" x14ac:dyDescent="0.25">
      <c r="A290" s="1">
        <f t="shared" si="24"/>
        <v>286</v>
      </c>
      <c r="B290" s="14">
        <f t="shared" ca="1" si="25"/>
        <v>51380</v>
      </c>
      <c r="C290" s="15">
        <f t="shared" si="26"/>
        <v>23567.542724619019</v>
      </c>
      <c r="D290" s="13">
        <f t="shared" si="27"/>
        <v>-373.15133741689175</v>
      </c>
      <c r="E290" s="13">
        <f t="shared" si="28"/>
        <v>-109.98186604822185</v>
      </c>
      <c r="F290" s="13">
        <f t="shared" si="29"/>
        <v>-263.16947136866986</v>
      </c>
      <c r="G290" s="13">
        <f>SUM($E$5:E290)</f>
        <v>-65025.655754481377</v>
      </c>
      <c r="H290" s="13">
        <f>SUM($F$5:F290)</f>
        <v>-41695.626746749724</v>
      </c>
    </row>
    <row r="291" spans="1:8" x14ac:dyDescent="0.25">
      <c r="A291" s="1">
        <f t="shared" si="24"/>
        <v>287</v>
      </c>
      <c r="B291" s="14">
        <f t="shared" ca="1" si="25"/>
        <v>51410</v>
      </c>
      <c r="C291" s="15">
        <f t="shared" si="26"/>
        <v>23304.373253250349</v>
      </c>
      <c r="D291" s="13">
        <f t="shared" si="27"/>
        <v>-373.15133741689175</v>
      </c>
      <c r="E291" s="13">
        <f t="shared" si="28"/>
        <v>-108.75374184850138</v>
      </c>
      <c r="F291" s="13">
        <f t="shared" si="29"/>
        <v>-264.39759556839033</v>
      </c>
      <c r="G291" s="13">
        <f>SUM($E$5:E291)</f>
        <v>-65134.409496329878</v>
      </c>
      <c r="H291" s="13">
        <f>SUM($F$5:F291)</f>
        <v>-41960.024342318116</v>
      </c>
    </row>
    <row r="292" spans="1:8" x14ac:dyDescent="0.25">
      <c r="A292" s="1">
        <f t="shared" si="24"/>
        <v>288</v>
      </c>
      <c r="B292" s="14">
        <f t="shared" ca="1" si="25"/>
        <v>51441</v>
      </c>
      <c r="C292" s="15">
        <f t="shared" si="26"/>
        <v>23039.97565768196</v>
      </c>
      <c r="D292" s="13">
        <f t="shared" si="27"/>
        <v>-373.15133741689175</v>
      </c>
      <c r="E292" s="13">
        <f t="shared" si="28"/>
        <v>-107.51988640251555</v>
      </c>
      <c r="F292" s="13">
        <f t="shared" si="29"/>
        <v>-265.63145101437618</v>
      </c>
      <c r="G292" s="13">
        <f>SUM($E$5:E292)</f>
        <v>-65241.929382732393</v>
      </c>
      <c r="H292" s="13">
        <f>SUM($F$5:F292)</f>
        <v>-42225.655793332495</v>
      </c>
    </row>
    <row r="293" spans="1:8" x14ac:dyDescent="0.25">
      <c r="A293" s="1">
        <f t="shared" si="24"/>
        <v>289</v>
      </c>
      <c r="B293" s="14">
        <f t="shared" ca="1" si="25"/>
        <v>51471</v>
      </c>
      <c r="C293" s="15">
        <f t="shared" si="26"/>
        <v>22774.344206667585</v>
      </c>
      <c r="D293" s="13">
        <f t="shared" si="27"/>
        <v>-373.15133741689175</v>
      </c>
      <c r="E293" s="13">
        <f t="shared" si="28"/>
        <v>-106.28027296444849</v>
      </c>
      <c r="F293" s="13">
        <f t="shared" si="29"/>
        <v>-266.87106445244325</v>
      </c>
      <c r="G293" s="13">
        <f>SUM($E$5:E293)</f>
        <v>-65348.209655696839</v>
      </c>
      <c r="H293" s="13">
        <f>SUM($F$5:F293)</f>
        <v>-42492.526857784935</v>
      </c>
    </row>
    <row r="294" spans="1:8" x14ac:dyDescent="0.25">
      <c r="A294" s="1">
        <f t="shared" si="24"/>
        <v>290</v>
      </c>
      <c r="B294" s="14">
        <f t="shared" ca="1" si="25"/>
        <v>51502</v>
      </c>
      <c r="C294" s="15">
        <f t="shared" si="26"/>
        <v>22507.473142215142</v>
      </c>
      <c r="D294" s="13">
        <f t="shared" si="27"/>
        <v>-373.15133741689175</v>
      </c>
      <c r="E294" s="13">
        <f t="shared" si="28"/>
        <v>-105.03487466367042</v>
      </c>
      <c r="F294" s="13">
        <f t="shared" si="29"/>
        <v>-268.11646275322136</v>
      </c>
      <c r="G294" s="13">
        <f>SUM($E$5:E294)</f>
        <v>-65453.244530360513</v>
      </c>
      <c r="H294" s="13">
        <f>SUM($F$5:F294)</f>
        <v>-42760.643320538155</v>
      </c>
    </row>
    <row r="295" spans="1:8" x14ac:dyDescent="0.25">
      <c r="A295" s="1">
        <f t="shared" si="24"/>
        <v>291</v>
      </c>
      <c r="B295" s="14">
        <f t="shared" ca="1" si="25"/>
        <v>51533</v>
      </c>
      <c r="C295" s="15">
        <f t="shared" si="26"/>
        <v>22239.356679461922</v>
      </c>
      <c r="D295" s="13">
        <f t="shared" si="27"/>
        <v>-373.15133741689175</v>
      </c>
      <c r="E295" s="13">
        <f t="shared" si="28"/>
        <v>-103.78366450415537</v>
      </c>
      <c r="F295" s="13">
        <f t="shared" si="29"/>
        <v>-269.36767291273634</v>
      </c>
      <c r="G295" s="13">
        <f>SUM($E$5:E295)</f>
        <v>-65557.028194864673</v>
      </c>
      <c r="H295" s="13">
        <f>SUM($F$5:F295)</f>
        <v>-43030.010993450887</v>
      </c>
    </row>
    <row r="296" spans="1:8" x14ac:dyDescent="0.25">
      <c r="A296" s="1">
        <f t="shared" si="24"/>
        <v>292</v>
      </c>
      <c r="B296" s="14">
        <f t="shared" ca="1" si="25"/>
        <v>51561</v>
      </c>
      <c r="C296" s="15">
        <f t="shared" si="26"/>
        <v>21969.989006549185</v>
      </c>
      <c r="D296" s="13">
        <f t="shared" si="27"/>
        <v>-373.15133741689175</v>
      </c>
      <c r="E296" s="13">
        <f t="shared" si="28"/>
        <v>-102.52661536389591</v>
      </c>
      <c r="F296" s="13">
        <f t="shared" si="29"/>
        <v>-270.62472205299582</v>
      </c>
      <c r="G296" s="13">
        <f>SUM($E$5:E296)</f>
        <v>-65659.554810228568</v>
      </c>
      <c r="H296" s="13">
        <f>SUM($F$5:F296)</f>
        <v>-43300.635715503886</v>
      </c>
    </row>
    <row r="297" spans="1:8" x14ac:dyDescent="0.25">
      <c r="A297" s="1">
        <f t="shared" si="24"/>
        <v>293</v>
      </c>
      <c r="B297" s="14">
        <f t="shared" ca="1" si="25"/>
        <v>51592</v>
      </c>
      <c r="C297" s="15">
        <f t="shared" si="26"/>
        <v>21699.364284496191</v>
      </c>
      <c r="D297" s="13">
        <f t="shared" si="27"/>
        <v>-373.15133741689175</v>
      </c>
      <c r="E297" s="13">
        <f t="shared" si="28"/>
        <v>-101.26369999431529</v>
      </c>
      <c r="F297" s="13">
        <f t="shared" si="29"/>
        <v>-271.8876374225764</v>
      </c>
      <c r="G297" s="13">
        <f>SUM($E$5:E297)</f>
        <v>-65760.818510222889</v>
      </c>
      <c r="H297" s="13">
        <f>SUM($F$5:F297)</f>
        <v>-43572.523352926459</v>
      </c>
    </row>
    <row r="298" spans="1:8" x14ac:dyDescent="0.25">
      <c r="A298" s="1">
        <f t="shared" si="24"/>
        <v>294</v>
      </c>
      <c r="B298" s="14">
        <f t="shared" ca="1" si="25"/>
        <v>51622</v>
      </c>
      <c r="C298" s="15">
        <f t="shared" si="26"/>
        <v>21427.476647073614</v>
      </c>
      <c r="D298" s="13">
        <f t="shared" si="27"/>
        <v>-373.15133741689175</v>
      </c>
      <c r="E298" s="13">
        <f t="shared" si="28"/>
        <v>-99.994891019676601</v>
      </c>
      <c r="F298" s="13">
        <f t="shared" si="29"/>
        <v>-273.15644639721512</v>
      </c>
      <c r="G298" s="13">
        <f>SUM($E$5:E298)</f>
        <v>-65860.813401242573</v>
      </c>
      <c r="H298" s="13">
        <f>SUM($F$5:F298)</f>
        <v>-43845.679799323676</v>
      </c>
    </row>
    <row r="299" spans="1:8" x14ac:dyDescent="0.25">
      <c r="A299" s="1">
        <f t="shared" si="24"/>
        <v>295</v>
      </c>
      <c r="B299" s="14">
        <f t="shared" ca="1" si="25"/>
        <v>51653</v>
      </c>
      <c r="C299" s="15">
        <f t="shared" si="26"/>
        <v>21154.3202006764</v>
      </c>
      <c r="D299" s="13">
        <f t="shared" si="27"/>
        <v>-373.15133741689175</v>
      </c>
      <c r="E299" s="13">
        <f t="shared" si="28"/>
        <v>-98.720160936489592</v>
      </c>
      <c r="F299" s="13">
        <f t="shared" si="29"/>
        <v>-274.43117648040214</v>
      </c>
      <c r="G299" s="13">
        <f>SUM($E$5:E299)</f>
        <v>-65959.533562179058</v>
      </c>
      <c r="H299" s="13">
        <f>SUM($F$5:F299)</f>
        <v>-44120.110975804077</v>
      </c>
    </row>
    <row r="300" spans="1:8" x14ac:dyDescent="0.25">
      <c r="A300" s="1">
        <f t="shared" si="24"/>
        <v>296</v>
      </c>
      <c r="B300" s="14">
        <f t="shared" ca="1" si="25"/>
        <v>51683</v>
      </c>
      <c r="C300" s="15">
        <f t="shared" si="26"/>
        <v>20879.889024196</v>
      </c>
      <c r="D300" s="13">
        <f t="shared" si="27"/>
        <v>-373.15133741689175</v>
      </c>
      <c r="E300" s="13">
        <f t="shared" si="28"/>
        <v>-97.439482112914405</v>
      </c>
      <c r="F300" s="13">
        <f t="shared" si="29"/>
        <v>-275.71185530397736</v>
      </c>
      <c r="G300" s="13">
        <f>SUM($E$5:E300)</f>
        <v>-66056.973044291968</v>
      </c>
      <c r="H300" s="13">
        <f>SUM($F$5:F300)</f>
        <v>-44395.822831108053</v>
      </c>
    </row>
    <row r="301" spans="1:8" x14ac:dyDescent="0.25">
      <c r="A301" s="1">
        <f t="shared" si="24"/>
        <v>297</v>
      </c>
      <c r="B301" s="14">
        <f t="shared" ca="1" si="25"/>
        <v>51714</v>
      </c>
      <c r="C301" s="15">
        <f t="shared" si="26"/>
        <v>20604.177168892023</v>
      </c>
      <c r="D301" s="13">
        <f t="shared" si="27"/>
        <v>-373.15133741689175</v>
      </c>
      <c r="E301" s="13">
        <f t="shared" si="28"/>
        <v>-96.152826788162486</v>
      </c>
      <c r="F301" s="13">
        <f t="shared" si="29"/>
        <v>-276.99851062872926</v>
      </c>
      <c r="G301" s="13">
        <f>SUM($E$5:E301)</f>
        <v>-66153.125871080134</v>
      </c>
      <c r="H301" s="13">
        <f>SUM($F$5:F301)</f>
        <v>-44672.821341736781</v>
      </c>
    </row>
    <row r="302" spans="1:8" x14ac:dyDescent="0.25">
      <c r="A302" s="1">
        <f t="shared" si="24"/>
        <v>298</v>
      </c>
      <c r="B302" s="14">
        <f t="shared" ca="1" si="25"/>
        <v>51745</v>
      </c>
      <c r="C302" s="15">
        <f t="shared" si="26"/>
        <v>20327.178658263296</v>
      </c>
      <c r="D302" s="13">
        <f t="shared" si="27"/>
        <v>-373.15133741689175</v>
      </c>
      <c r="E302" s="13">
        <f t="shared" si="28"/>
        <v>-94.860167071895077</v>
      </c>
      <c r="F302" s="13">
        <f t="shared" si="29"/>
        <v>-278.29117034499666</v>
      </c>
      <c r="G302" s="13">
        <f>SUM($E$5:E302)</f>
        <v>-66247.986038152027</v>
      </c>
      <c r="H302" s="13">
        <f>SUM($F$5:F302)</f>
        <v>-44951.112512081774</v>
      </c>
    </row>
    <row r="303" spans="1:8" x14ac:dyDescent="0.25">
      <c r="A303" s="1">
        <f t="shared" si="24"/>
        <v>299</v>
      </c>
      <c r="B303" s="14">
        <f t="shared" ca="1" si="25"/>
        <v>51775</v>
      </c>
      <c r="C303" s="15">
        <f t="shared" si="26"/>
        <v>20048.887487918299</v>
      </c>
      <c r="D303" s="13">
        <f t="shared" si="27"/>
        <v>-373.15133741689175</v>
      </c>
      <c r="E303" s="13">
        <f t="shared" si="28"/>
        <v>-93.561474943618435</v>
      </c>
      <c r="F303" s="13">
        <f t="shared" si="29"/>
        <v>-279.58986247327329</v>
      </c>
      <c r="G303" s="13">
        <f>SUM($E$5:E303)</f>
        <v>-66341.547513095647</v>
      </c>
      <c r="H303" s="13">
        <f>SUM($F$5:F303)</f>
        <v>-45230.702374555047</v>
      </c>
    </row>
    <row r="304" spans="1:8" x14ac:dyDescent="0.25">
      <c r="A304" s="1">
        <f t="shared" si="24"/>
        <v>300</v>
      </c>
      <c r="B304" s="14">
        <f t="shared" ca="1" si="25"/>
        <v>51806</v>
      </c>
      <c r="C304" s="15">
        <f t="shared" si="26"/>
        <v>19769.297625445026</v>
      </c>
      <c r="D304" s="13">
        <f t="shared" si="27"/>
        <v>-373.15133741689175</v>
      </c>
      <c r="E304" s="13">
        <f t="shared" si="28"/>
        <v>-92.2567222520765</v>
      </c>
      <c r="F304" s="13">
        <f t="shared" si="29"/>
        <v>-280.89461516481521</v>
      </c>
      <c r="G304" s="13">
        <f>SUM($E$5:E304)</f>
        <v>-66433.804235347721</v>
      </c>
      <c r="H304" s="13">
        <f>SUM($F$5:F304)</f>
        <v>-45511.596989719859</v>
      </c>
    </row>
    <row r="305" spans="1:8" x14ac:dyDescent="0.25">
      <c r="A305" s="1">
        <f t="shared" si="24"/>
        <v>301</v>
      </c>
      <c r="B305" s="14">
        <f t="shared" ca="1" si="25"/>
        <v>51836</v>
      </c>
      <c r="C305" s="15">
        <f t="shared" si="26"/>
        <v>19488.40301028021</v>
      </c>
      <c r="D305" s="13">
        <f t="shared" si="27"/>
        <v>-373.15133741689175</v>
      </c>
      <c r="E305" s="13">
        <f t="shared" si="28"/>
        <v>-90.94588071464068</v>
      </c>
      <c r="F305" s="13">
        <f t="shared" si="29"/>
        <v>-282.20545670225101</v>
      </c>
      <c r="G305" s="13">
        <f>SUM($E$5:E305)</f>
        <v>-66524.750116062365</v>
      </c>
      <c r="H305" s="13">
        <f>SUM($F$5:F305)</f>
        <v>-45793.802446422109</v>
      </c>
    </row>
    <row r="306" spans="1:8" x14ac:dyDescent="0.25">
      <c r="A306" s="1">
        <f t="shared" si="24"/>
        <v>302</v>
      </c>
      <c r="B306" s="14">
        <f t="shared" ca="1" si="25"/>
        <v>51867</v>
      </c>
      <c r="C306" s="15">
        <f t="shared" si="26"/>
        <v>19206.19755357796</v>
      </c>
      <c r="D306" s="13">
        <f t="shared" si="27"/>
        <v>-373.15133741689175</v>
      </c>
      <c r="E306" s="13">
        <f t="shared" si="28"/>
        <v>-89.628921916696854</v>
      </c>
      <c r="F306" s="13">
        <f t="shared" si="29"/>
        <v>-283.52241550019488</v>
      </c>
      <c r="G306" s="13">
        <f>SUM($E$5:E306)</f>
        <v>-66614.379037979059</v>
      </c>
      <c r="H306" s="13">
        <f>SUM($F$5:F306)</f>
        <v>-46077.324861922301</v>
      </c>
    </row>
    <row r="307" spans="1:8" x14ac:dyDescent="0.25">
      <c r="A307" s="1">
        <f t="shared" si="24"/>
        <v>303</v>
      </c>
      <c r="B307" s="14">
        <f t="shared" ca="1" si="25"/>
        <v>51898</v>
      </c>
      <c r="C307" s="15">
        <f t="shared" si="26"/>
        <v>18922.675138077764</v>
      </c>
      <c r="D307" s="13">
        <f t="shared" si="27"/>
        <v>-373.15133741689175</v>
      </c>
      <c r="E307" s="13">
        <f t="shared" si="28"/>
        <v>-88.305817311029287</v>
      </c>
      <c r="F307" s="13">
        <f t="shared" si="29"/>
        <v>-284.84552010586242</v>
      </c>
      <c r="G307" s="13">
        <f>SUM($E$5:E307)</f>
        <v>-66702.684855290092</v>
      </c>
      <c r="H307" s="13">
        <f>SUM($F$5:F307)</f>
        <v>-46362.170382028162</v>
      </c>
    </row>
    <row r="308" spans="1:8" x14ac:dyDescent="0.25">
      <c r="A308" s="1">
        <f t="shared" si="24"/>
        <v>304</v>
      </c>
      <c r="B308" s="14">
        <f t="shared" ca="1" si="25"/>
        <v>51926</v>
      </c>
      <c r="C308" s="15">
        <f t="shared" si="26"/>
        <v>18637.8296179719</v>
      </c>
      <c r="D308" s="13">
        <f t="shared" si="27"/>
        <v>-373.15133741689175</v>
      </c>
      <c r="E308" s="13">
        <f t="shared" si="28"/>
        <v>-86.97653821720192</v>
      </c>
      <c r="F308" s="13">
        <f t="shared" si="29"/>
        <v>-286.17479919968986</v>
      </c>
      <c r="G308" s="13">
        <f>SUM($E$5:E308)</f>
        <v>-66789.661393507296</v>
      </c>
      <c r="H308" s="13">
        <f>SUM($F$5:F308)</f>
        <v>-46648.345181227851</v>
      </c>
    </row>
    <row r="309" spans="1:8" x14ac:dyDescent="0.25">
      <c r="A309" s="1">
        <f t="shared" si="24"/>
        <v>305</v>
      </c>
      <c r="B309" s="14">
        <f t="shared" ca="1" si="25"/>
        <v>51957</v>
      </c>
      <c r="C309" s="15">
        <f t="shared" si="26"/>
        <v>18351.654818772211</v>
      </c>
      <c r="D309" s="13">
        <f t="shared" si="27"/>
        <v>-373.15133741689175</v>
      </c>
      <c r="E309" s="13">
        <f t="shared" si="28"/>
        <v>-85.641055820936685</v>
      </c>
      <c r="F309" s="13">
        <f t="shared" si="29"/>
        <v>-287.51028159595501</v>
      </c>
      <c r="G309" s="13">
        <f>SUM($E$5:E309)</f>
        <v>-66875.302449328228</v>
      </c>
      <c r="H309" s="13">
        <f>SUM($F$5:F309)</f>
        <v>-46935.855462823805</v>
      </c>
    </row>
    <row r="310" spans="1:8" x14ac:dyDescent="0.25">
      <c r="A310" s="1">
        <f t="shared" si="24"/>
        <v>306</v>
      </c>
      <c r="B310" s="14">
        <f t="shared" ca="1" si="25"/>
        <v>51987</v>
      </c>
      <c r="C310" s="15">
        <f t="shared" si="26"/>
        <v>18064.144537176257</v>
      </c>
      <c r="D310" s="13">
        <f t="shared" si="27"/>
        <v>-373.15133741689175</v>
      </c>
      <c r="E310" s="13">
        <f t="shared" si="28"/>
        <v>-84.299341173488912</v>
      </c>
      <c r="F310" s="13">
        <f t="shared" si="29"/>
        <v>-288.85199624340282</v>
      </c>
      <c r="G310" s="13">
        <f>SUM($E$5:E310)</f>
        <v>-66959.601790501722</v>
      </c>
      <c r="H310" s="13">
        <f>SUM($F$5:F310)</f>
        <v>-47224.707459067205</v>
      </c>
    </row>
    <row r="311" spans="1:8" x14ac:dyDescent="0.25">
      <c r="A311" s="1">
        <f t="shared" si="24"/>
        <v>307</v>
      </c>
      <c r="B311" s="14">
        <f t="shared" ca="1" si="25"/>
        <v>52018</v>
      </c>
      <c r="C311" s="15">
        <f t="shared" si="26"/>
        <v>17775.292540932853</v>
      </c>
      <c r="D311" s="13">
        <f t="shared" si="27"/>
        <v>-373.15133741689175</v>
      </c>
      <c r="E311" s="13">
        <f t="shared" si="28"/>
        <v>-82.951365191019704</v>
      </c>
      <c r="F311" s="13">
        <f t="shared" si="29"/>
        <v>-290.19997222587205</v>
      </c>
      <c r="G311" s="13">
        <f>SUM($E$5:E311)</f>
        <v>-67042.553155692745</v>
      </c>
      <c r="H311" s="13">
        <f>SUM($F$5:F311)</f>
        <v>-47514.907431293075</v>
      </c>
    </row>
    <row r="312" spans="1:8" x14ac:dyDescent="0.25">
      <c r="A312" s="1">
        <f t="shared" si="24"/>
        <v>308</v>
      </c>
      <c r="B312" s="14">
        <f t="shared" ca="1" si="25"/>
        <v>52048</v>
      </c>
      <c r="C312" s="15">
        <f t="shared" si="26"/>
        <v>17485.092568706979</v>
      </c>
      <c r="D312" s="13">
        <f t="shared" si="27"/>
        <v>-373.15133741689175</v>
      </c>
      <c r="E312" s="13">
        <f t="shared" si="28"/>
        <v>-81.597098653965617</v>
      </c>
      <c r="F312" s="13">
        <f t="shared" si="29"/>
        <v>-291.5542387629261</v>
      </c>
      <c r="G312" s="13">
        <f>SUM($E$5:E312)</f>
        <v>-67124.150254346707</v>
      </c>
      <c r="H312" s="13">
        <f>SUM($F$5:F312)</f>
        <v>-47806.461670056</v>
      </c>
    </row>
    <row r="313" spans="1:8" x14ac:dyDescent="0.25">
      <c r="A313" s="1">
        <f t="shared" si="24"/>
        <v>309</v>
      </c>
      <c r="B313" s="14">
        <f t="shared" ca="1" si="25"/>
        <v>52079</v>
      </c>
      <c r="C313" s="15">
        <f t="shared" si="26"/>
        <v>17193.538329944055</v>
      </c>
      <c r="D313" s="13">
        <f t="shared" si="27"/>
        <v>-373.15133741689175</v>
      </c>
      <c r="E313" s="13">
        <f t="shared" si="28"/>
        <v>-80.236512206405308</v>
      </c>
      <c r="F313" s="13">
        <f t="shared" si="29"/>
        <v>-292.91482521048641</v>
      </c>
      <c r="G313" s="13">
        <f>SUM($E$5:E313)</f>
        <v>-67204.386766553114</v>
      </c>
      <c r="H313" s="13">
        <f>SUM($F$5:F313)</f>
        <v>-48099.376495266486</v>
      </c>
    </row>
    <row r="314" spans="1:8" x14ac:dyDescent="0.25">
      <c r="A314" s="1">
        <f t="shared" si="24"/>
        <v>310</v>
      </c>
      <c r="B314" s="14">
        <f t="shared" ca="1" si="25"/>
        <v>52110</v>
      </c>
      <c r="C314" s="15">
        <f t="shared" si="26"/>
        <v>16900.623504733569</v>
      </c>
      <c r="D314" s="13">
        <f t="shared" si="27"/>
        <v>-373.15133741689175</v>
      </c>
      <c r="E314" s="13">
        <f t="shared" si="28"/>
        <v>-78.869576355423035</v>
      </c>
      <c r="F314" s="13">
        <f t="shared" si="29"/>
        <v>-294.28176106146873</v>
      </c>
      <c r="G314" s="13">
        <f>SUM($E$5:E314)</f>
        <v>-67283.256342908542</v>
      </c>
      <c r="H314" s="13">
        <f>SUM($F$5:F314)</f>
        <v>-48393.658256327952</v>
      </c>
    </row>
    <row r="315" spans="1:8" x14ac:dyDescent="0.25">
      <c r="A315" s="1">
        <f t="shared" si="24"/>
        <v>311</v>
      </c>
      <c r="B315" s="14">
        <f t="shared" ca="1" si="25"/>
        <v>52140</v>
      </c>
      <c r="C315" s="15">
        <f t="shared" si="26"/>
        <v>16606.341743672099</v>
      </c>
      <c r="D315" s="13">
        <f t="shared" si="27"/>
        <v>-373.15133741689175</v>
      </c>
      <c r="E315" s="13">
        <f t="shared" si="28"/>
        <v>-77.49626147046952</v>
      </c>
      <c r="F315" s="13">
        <f t="shared" si="29"/>
        <v>-295.65507594642224</v>
      </c>
      <c r="G315" s="13">
        <f>SUM($E$5:E315)</f>
        <v>-67360.752604379013</v>
      </c>
      <c r="H315" s="13">
        <f>SUM($F$5:F315)</f>
        <v>-48689.313332274374</v>
      </c>
    </row>
    <row r="316" spans="1:8" x14ac:dyDescent="0.25">
      <c r="A316" s="1">
        <f t="shared" si="24"/>
        <v>312</v>
      </c>
      <c r="B316" s="14">
        <f t="shared" ca="1" si="25"/>
        <v>52171</v>
      </c>
      <c r="C316" s="15">
        <f t="shared" si="26"/>
        <v>16310.686667725677</v>
      </c>
      <c r="D316" s="13">
        <f t="shared" si="27"/>
        <v>-373.15133741689175</v>
      </c>
      <c r="E316" s="13">
        <f t="shared" si="28"/>
        <v>-76.116537782719547</v>
      </c>
      <c r="F316" s="13">
        <f t="shared" si="29"/>
        <v>-297.0347996341722</v>
      </c>
      <c r="G316" s="13">
        <f>SUM($E$5:E316)</f>
        <v>-67436.869142161726</v>
      </c>
      <c r="H316" s="13">
        <f>SUM($F$5:F316)</f>
        <v>-48986.348131908548</v>
      </c>
    </row>
    <row r="317" spans="1:8" x14ac:dyDescent="0.25">
      <c r="A317" s="1">
        <f t="shared" si="24"/>
        <v>313</v>
      </c>
      <c r="B317" s="14">
        <f t="shared" ca="1" si="25"/>
        <v>52201</v>
      </c>
      <c r="C317" s="15">
        <f t="shared" si="26"/>
        <v>16013.651868091505</v>
      </c>
      <c r="D317" s="13">
        <f t="shared" si="27"/>
        <v>-373.15133741689175</v>
      </c>
      <c r="E317" s="13">
        <f t="shared" si="28"/>
        <v>-74.730375384426736</v>
      </c>
      <c r="F317" s="13">
        <f t="shared" si="29"/>
        <v>-298.42096203246501</v>
      </c>
      <c r="G317" s="13">
        <f>SUM($E$5:E317)</f>
        <v>-67511.599517546158</v>
      </c>
      <c r="H317" s="13">
        <f>SUM($F$5:F317)</f>
        <v>-49284.769093941009</v>
      </c>
    </row>
    <row r="318" spans="1:8" x14ac:dyDescent="0.25">
      <c r="A318" s="1">
        <f t="shared" si="24"/>
        <v>314</v>
      </c>
      <c r="B318" s="14">
        <f t="shared" ca="1" si="25"/>
        <v>52232</v>
      </c>
      <c r="C318" s="15">
        <f t="shared" si="26"/>
        <v>15715.23090605904</v>
      </c>
      <c r="D318" s="13">
        <f t="shared" si="27"/>
        <v>-373.15133741689175</v>
      </c>
      <c r="E318" s="13">
        <f t="shared" si="28"/>
        <v>-73.337744228275241</v>
      </c>
      <c r="F318" s="13">
        <f t="shared" si="29"/>
        <v>-299.81359318861649</v>
      </c>
      <c r="G318" s="13">
        <f>SUM($E$5:E318)</f>
        <v>-67584.937261774438</v>
      </c>
      <c r="H318" s="13">
        <f>SUM($F$5:F318)</f>
        <v>-49584.582687129623</v>
      </c>
    </row>
    <row r="319" spans="1:8" x14ac:dyDescent="0.25">
      <c r="A319" s="1">
        <f t="shared" si="24"/>
        <v>315</v>
      </c>
      <c r="B319" s="14">
        <f t="shared" ca="1" si="25"/>
        <v>52263</v>
      </c>
      <c r="C319" s="15">
        <f t="shared" si="26"/>
        <v>15415.417312870422</v>
      </c>
      <c r="D319" s="13">
        <f t="shared" si="27"/>
        <v>-373.15133741689175</v>
      </c>
      <c r="E319" s="13">
        <f t="shared" si="28"/>
        <v>-71.938614126728353</v>
      </c>
      <c r="F319" s="13">
        <f t="shared" si="29"/>
        <v>-301.21272329016341</v>
      </c>
      <c r="G319" s="13">
        <f>SUM($E$5:E319)</f>
        <v>-67656.875875901169</v>
      </c>
      <c r="H319" s="13">
        <f>SUM($F$5:F319)</f>
        <v>-49885.795410419785</v>
      </c>
    </row>
    <row r="320" spans="1:8" x14ac:dyDescent="0.25">
      <c r="A320" s="1">
        <f t="shared" si="24"/>
        <v>316</v>
      </c>
      <c r="B320" s="14">
        <f t="shared" ca="1" si="25"/>
        <v>52291</v>
      </c>
      <c r="C320" s="15">
        <f t="shared" si="26"/>
        <v>15114.204589580258</v>
      </c>
      <c r="D320" s="13">
        <f t="shared" si="27"/>
        <v>-373.15133741689175</v>
      </c>
      <c r="E320" s="13">
        <f t="shared" si="28"/>
        <v>-70.532954751374263</v>
      </c>
      <c r="F320" s="13">
        <f t="shared" si="29"/>
        <v>-302.61838266551746</v>
      </c>
      <c r="G320" s="13">
        <f>SUM($E$5:E320)</f>
        <v>-67727.408830652537</v>
      </c>
      <c r="H320" s="13">
        <f>SUM($F$5:F320)</f>
        <v>-50188.413793085303</v>
      </c>
    </row>
    <row r="321" spans="1:8" x14ac:dyDescent="0.25">
      <c r="A321" s="1">
        <f t="shared" si="24"/>
        <v>317</v>
      </c>
      <c r="B321" s="14">
        <f t="shared" ca="1" si="25"/>
        <v>52322</v>
      </c>
      <c r="C321" s="15">
        <f t="shared" si="26"/>
        <v>14811.586206914741</v>
      </c>
      <c r="D321" s="13">
        <f t="shared" si="27"/>
        <v>-373.15133741689175</v>
      </c>
      <c r="E321" s="13">
        <f t="shared" si="28"/>
        <v>-69.120735632268492</v>
      </c>
      <c r="F321" s="13">
        <f t="shared" si="29"/>
        <v>-304.03060178462323</v>
      </c>
      <c r="G321" s="13">
        <f>SUM($E$5:E321)</f>
        <v>-67796.529566284808</v>
      </c>
      <c r="H321" s="13">
        <f>SUM($F$5:F321)</f>
        <v>-50492.444394869926</v>
      </c>
    </row>
    <row r="322" spans="1:8" x14ac:dyDescent="0.25">
      <c r="A322" s="1">
        <f t="shared" si="24"/>
        <v>318</v>
      </c>
      <c r="B322" s="14">
        <f t="shared" ca="1" si="25"/>
        <v>52352</v>
      </c>
      <c r="C322" s="15">
        <f t="shared" si="26"/>
        <v>14507.555605130117</v>
      </c>
      <c r="D322" s="13">
        <f t="shared" si="27"/>
        <v>-373.15133741689175</v>
      </c>
      <c r="E322" s="13">
        <f t="shared" si="28"/>
        <v>-67.701926157273604</v>
      </c>
      <c r="F322" s="13">
        <f t="shared" si="29"/>
        <v>-305.44941125961816</v>
      </c>
      <c r="G322" s="13">
        <f>SUM($E$5:E322)</f>
        <v>-67864.231492442079</v>
      </c>
      <c r="H322" s="13">
        <f>SUM($F$5:F322)</f>
        <v>-50797.893806129541</v>
      </c>
    </row>
    <row r="323" spans="1:8" x14ac:dyDescent="0.25">
      <c r="A323" s="1">
        <f t="shared" si="24"/>
        <v>319</v>
      </c>
      <c r="B323" s="14">
        <f t="shared" ca="1" si="25"/>
        <v>52383</v>
      </c>
      <c r="C323" s="15">
        <f t="shared" si="26"/>
        <v>14202.106193870499</v>
      </c>
      <c r="D323" s="13">
        <f t="shared" si="27"/>
        <v>-373.15133741689175</v>
      </c>
      <c r="E323" s="13">
        <f t="shared" si="28"/>
        <v>-66.276495571395401</v>
      </c>
      <c r="F323" s="13">
        <f t="shared" si="29"/>
        <v>-306.87484184549635</v>
      </c>
      <c r="G323" s="13">
        <f>SUM($E$5:E323)</f>
        <v>-67930.507988013473</v>
      </c>
      <c r="H323" s="13">
        <f>SUM($F$5:F323)</f>
        <v>-51104.768647975041</v>
      </c>
    </row>
    <row r="324" spans="1:8" x14ac:dyDescent="0.25">
      <c r="A324" s="1">
        <f t="shared" si="24"/>
        <v>320</v>
      </c>
      <c r="B324" s="14">
        <f t="shared" ca="1" si="25"/>
        <v>52413</v>
      </c>
      <c r="C324" s="15">
        <f t="shared" si="26"/>
        <v>13895.231352025003</v>
      </c>
      <c r="D324" s="13">
        <f t="shared" si="27"/>
        <v>-373.15133741689175</v>
      </c>
      <c r="E324" s="13">
        <f t="shared" si="28"/>
        <v>-64.844412976116402</v>
      </c>
      <c r="F324" s="13">
        <f t="shared" si="29"/>
        <v>-308.30692444077533</v>
      </c>
      <c r="G324" s="13">
        <f>SUM($E$5:E324)</f>
        <v>-67995.352400989592</v>
      </c>
      <c r="H324" s="13">
        <f>SUM($F$5:F324)</f>
        <v>-51413.075572415815</v>
      </c>
    </row>
    <row r="325" spans="1:8" x14ac:dyDescent="0.25">
      <c r="A325" s="1">
        <f t="shared" ref="A325:A364" si="30">ROW(A321)</f>
        <v>321</v>
      </c>
      <c r="B325" s="14">
        <f t="shared" ca="1" si="25"/>
        <v>52444</v>
      </c>
      <c r="C325" s="15">
        <f t="shared" si="26"/>
        <v>13586.924427584227</v>
      </c>
      <c r="D325" s="13">
        <f t="shared" si="27"/>
        <v>-373.15133741689175</v>
      </c>
      <c r="E325" s="13">
        <f t="shared" si="28"/>
        <v>-63.405647328726126</v>
      </c>
      <c r="F325" s="13">
        <f t="shared" si="29"/>
        <v>-309.74569008816565</v>
      </c>
      <c r="G325" s="13">
        <f>SUM($E$5:E325)</f>
        <v>-68058.758048318312</v>
      </c>
      <c r="H325" s="13">
        <f>SUM($F$5:F325)</f>
        <v>-51722.821262503981</v>
      </c>
    </row>
    <row r="326" spans="1:8" x14ac:dyDescent="0.25">
      <c r="A326" s="1">
        <f t="shared" si="30"/>
        <v>322</v>
      </c>
      <c r="B326" s="14">
        <f t="shared" ref="B326:B364" ca="1" si="31">DATE(YEAR(NOW()),MONTH(NOW())+A326,1)</f>
        <v>52475</v>
      </c>
      <c r="C326" s="15">
        <f t="shared" si="26"/>
        <v>13277.17873749606</v>
      </c>
      <c r="D326" s="13">
        <f t="shared" si="27"/>
        <v>-373.15133741689175</v>
      </c>
      <c r="E326" s="13">
        <f t="shared" si="28"/>
        <v>-61.960167441648004</v>
      </c>
      <c r="F326" s="13">
        <f t="shared" si="29"/>
        <v>-311.19116997524367</v>
      </c>
      <c r="G326" s="13">
        <f>SUM($E$5:E326)</f>
        <v>-68120.71821575996</v>
      </c>
      <c r="H326" s="13">
        <f>SUM($F$5:F326)</f>
        <v>-52034.012432479227</v>
      </c>
    </row>
    <row r="327" spans="1:8" x14ac:dyDescent="0.25">
      <c r="A327" s="1">
        <f t="shared" si="30"/>
        <v>323</v>
      </c>
      <c r="B327" s="14">
        <f t="shared" ca="1" si="31"/>
        <v>52505</v>
      </c>
      <c r="C327" s="15">
        <f t="shared" ref="C327:C364" si="32">C326+F326</f>
        <v>12965.987567520817</v>
      </c>
      <c r="D327" s="13">
        <f t="shared" ref="D327:D364" si="33">$F$2</f>
        <v>-373.15133741689175</v>
      </c>
      <c r="E327" s="13">
        <f t="shared" ref="E327:E364" si="34">IPMT($D$2/12,A327,$E$2*12,$C$2)</f>
        <v>-60.50794198176353</v>
      </c>
      <c r="F327" s="13">
        <f t="shared" ref="F327:F364" si="35">PPMT($D$2/12,A327,$E$2*12,$C$2)</f>
        <v>-312.64339543512818</v>
      </c>
      <c r="G327" s="13">
        <f>SUM($E$5:E327)</f>
        <v>-68181.226157741723</v>
      </c>
      <c r="H327" s="13">
        <f>SUM($F$5:F327)</f>
        <v>-52346.655827914357</v>
      </c>
    </row>
    <row r="328" spans="1:8" x14ac:dyDescent="0.25">
      <c r="A328" s="1">
        <f t="shared" si="30"/>
        <v>324</v>
      </c>
      <c r="B328" s="14">
        <f t="shared" ca="1" si="31"/>
        <v>52536</v>
      </c>
      <c r="C328" s="15">
        <f t="shared" si="32"/>
        <v>12653.344172085688</v>
      </c>
      <c r="D328" s="13">
        <f t="shared" si="33"/>
        <v>-373.15133741689175</v>
      </c>
      <c r="E328" s="13">
        <f t="shared" si="34"/>
        <v>-59.048939469732936</v>
      </c>
      <c r="F328" s="13">
        <f t="shared" si="35"/>
        <v>-314.10239794715875</v>
      </c>
      <c r="G328" s="13">
        <f>SUM($E$5:E328)</f>
        <v>-68240.275097211459</v>
      </c>
      <c r="H328" s="13">
        <f>SUM($F$5:F328)</f>
        <v>-52660.758225861515</v>
      </c>
    </row>
    <row r="329" spans="1:8" x14ac:dyDescent="0.25">
      <c r="A329" s="1">
        <f t="shared" si="30"/>
        <v>325</v>
      </c>
      <c r="B329" s="14">
        <f t="shared" ca="1" si="31"/>
        <v>52566</v>
      </c>
      <c r="C329" s="15">
        <f t="shared" si="32"/>
        <v>12339.241774138529</v>
      </c>
      <c r="D329" s="13">
        <f t="shared" si="33"/>
        <v>-373.15133741689175</v>
      </c>
      <c r="E329" s="13">
        <f t="shared" si="34"/>
        <v>-57.583128279312866</v>
      </c>
      <c r="F329" s="13">
        <f t="shared" si="35"/>
        <v>-315.56820913757889</v>
      </c>
      <c r="G329" s="13">
        <f>SUM($E$5:E329)</f>
        <v>-68297.858225490767</v>
      </c>
      <c r="H329" s="13">
        <f>SUM($F$5:F329)</f>
        <v>-52976.326434999093</v>
      </c>
    </row>
    <row r="330" spans="1:8" x14ac:dyDescent="0.25">
      <c r="A330" s="1">
        <f t="shared" si="30"/>
        <v>326</v>
      </c>
      <c r="B330" s="14">
        <f t="shared" ca="1" si="31"/>
        <v>52597</v>
      </c>
      <c r="C330" s="15">
        <f t="shared" si="32"/>
        <v>12023.67356500095</v>
      </c>
      <c r="D330" s="13">
        <f t="shared" si="33"/>
        <v>-373.15133741689175</v>
      </c>
      <c r="E330" s="13">
        <f t="shared" si="34"/>
        <v>-56.110476636670825</v>
      </c>
      <c r="F330" s="13">
        <f t="shared" si="35"/>
        <v>-317.0408607802209</v>
      </c>
      <c r="G330" s="13">
        <f>SUM($E$5:E330)</f>
        <v>-68353.968702127444</v>
      </c>
      <c r="H330" s="13">
        <f>SUM($F$5:F330)</f>
        <v>-53293.367295779317</v>
      </c>
    </row>
    <row r="331" spans="1:8" x14ac:dyDescent="0.25">
      <c r="A331" s="1">
        <f t="shared" si="30"/>
        <v>327</v>
      </c>
      <c r="B331" s="14">
        <f t="shared" ca="1" si="31"/>
        <v>52628</v>
      </c>
      <c r="C331" s="15">
        <f t="shared" si="32"/>
        <v>11706.63270422073</v>
      </c>
      <c r="D331" s="13">
        <f t="shared" si="33"/>
        <v>-373.15133741689175</v>
      </c>
      <c r="E331" s="13">
        <f t="shared" si="34"/>
        <v>-54.630952619696465</v>
      </c>
      <c r="F331" s="13">
        <f t="shared" si="35"/>
        <v>-318.52038479719528</v>
      </c>
      <c r="G331" s="13">
        <f>SUM($E$5:E331)</f>
        <v>-68408.599654747144</v>
      </c>
      <c r="H331" s="13">
        <f>SUM($F$5:F331)</f>
        <v>-53611.88768057651</v>
      </c>
    </row>
    <row r="332" spans="1:8" x14ac:dyDescent="0.25">
      <c r="A332" s="1">
        <f t="shared" si="30"/>
        <v>328</v>
      </c>
      <c r="B332" s="14">
        <f t="shared" ca="1" si="31"/>
        <v>52657</v>
      </c>
      <c r="C332" s="15">
        <f t="shared" si="32"/>
        <v>11388.112319423535</v>
      </c>
      <c r="D332" s="13">
        <f t="shared" si="33"/>
        <v>-373.15133741689175</v>
      </c>
      <c r="E332" s="13">
        <f t="shared" si="34"/>
        <v>-53.144524157309547</v>
      </c>
      <c r="F332" s="13">
        <f t="shared" si="35"/>
        <v>-320.00681325958215</v>
      </c>
      <c r="G332" s="13">
        <f>SUM($E$5:E332)</f>
        <v>-68461.744178904453</v>
      </c>
      <c r="H332" s="13">
        <f>SUM($F$5:F332)</f>
        <v>-53931.894493836095</v>
      </c>
    </row>
    <row r="333" spans="1:8" x14ac:dyDescent="0.25">
      <c r="A333" s="1">
        <f t="shared" si="30"/>
        <v>329</v>
      </c>
      <c r="B333" s="14">
        <f t="shared" ca="1" si="31"/>
        <v>52688</v>
      </c>
      <c r="C333" s="15">
        <f t="shared" si="32"/>
        <v>11068.105506163953</v>
      </c>
      <c r="D333" s="13">
        <f t="shared" si="33"/>
        <v>-373.15133741689175</v>
      </c>
      <c r="E333" s="13">
        <f t="shared" si="34"/>
        <v>-51.651159028764837</v>
      </c>
      <c r="F333" s="13">
        <f t="shared" si="35"/>
        <v>-321.50017838812693</v>
      </c>
      <c r="G333" s="13">
        <f>SUM($E$5:E333)</f>
        <v>-68513.395337933223</v>
      </c>
      <c r="H333" s="13">
        <f>SUM($F$5:F333)</f>
        <v>-54253.394672224218</v>
      </c>
    </row>
    <row r="334" spans="1:8" x14ac:dyDescent="0.25">
      <c r="A334" s="1">
        <f t="shared" si="30"/>
        <v>330</v>
      </c>
      <c r="B334" s="14">
        <f t="shared" ca="1" si="31"/>
        <v>52718</v>
      </c>
      <c r="C334" s="15">
        <f t="shared" si="32"/>
        <v>10746.605327775826</v>
      </c>
      <c r="D334" s="13">
        <f t="shared" si="33"/>
        <v>-373.15133741689175</v>
      </c>
      <c r="E334" s="13">
        <f t="shared" si="34"/>
        <v>-50.150824862953577</v>
      </c>
      <c r="F334" s="13">
        <f t="shared" si="35"/>
        <v>-323.00051255393811</v>
      </c>
      <c r="G334" s="13">
        <f>SUM($E$5:E334)</f>
        <v>-68563.546162796178</v>
      </c>
      <c r="H334" s="13">
        <f>SUM($F$5:F334)</f>
        <v>-54576.395184778157</v>
      </c>
    </row>
    <row r="335" spans="1:8" x14ac:dyDescent="0.25">
      <c r="A335" s="1">
        <f t="shared" si="30"/>
        <v>331</v>
      </c>
      <c r="B335" s="14">
        <f t="shared" ca="1" si="31"/>
        <v>52749</v>
      </c>
      <c r="C335" s="15">
        <f t="shared" si="32"/>
        <v>10423.604815221888</v>
      </c>
      <c r="D335" s="13">
        <f t="shared" si="33"/>
        <v>-373.15133741689175</v>
      </c>
      <c r="E335" s="13">
        <f t="shared" si="34"/>
        <v>-48.64348913770187</v>
      </c>
      <c r="F335" s="13">
        <f t="shared" si="35"/>
        <v>-324.50784827918989</v>
      </c>
      <c r="G335" s="13">
        <f>SUM($E$5:E335)</f>
        <v>-68612.189651933877</v>
      </c>
      <c r="H335" s="13">
        <f>SUM($F$5:F335)</f>
        <v>-54900.903033057344</v>
      </c>
    </row>
    <row r="336" spans="1:8" x14ac:dyDescent="0.25">
      <c r="A336" s="1">
        <f t="shared" si="30"/>
        <v>332</v>
      </c>
      <c r="B336" s="14">
        <f t="shared" ca="1" si="31"/>
        <v>52779</v>
      </c>
      <c r="C336" s="15">
        <f t="shared" si="32"/>
        <v>10099.096966942698</v>
      </c>
      <c r="D336" s="13">
        <f t="shared" si="33"/>
        <v>-373.15133741689175</v>
      </c>
      <c r="E336" s="13">
        <f t="shared" si="34"/>
        <v>-47.129119179065654</v>
      </c>
      <c r="F336" s="13">
        <f t="shared" si="35"/>
        <v>-326.02221823782605</v>
      </c>
      <c r="G336" s="13">
        <f>SUM($E$5:E336)</f>
        <v>-68659.318771112943</v>
      </c>
      <c r="H336" s="13">
        <f>SUM($F$5:F336)</f>
        <v>-55226.925251295172</v>
      </c>
    </row>
    <row r="337" spans="1:8" x14ac:dyDescent="0.25">
      <c r="A337" s="1">
        <f t="shared" si="30"/>
        <v>333</v>
      </c>
      <c r="B337" s="14">
        <f t="shared" ca="1" si="31"/>
        <v>52810</v>
      </c>
      <c r="C337" s="15">
        <f t="shared" si="32"/>
        <v>9773.074748704872</v>
      </c>
      <c r="D337" s="13">
        <f t="shared" si="33"/>
        <v>-373.15133741689175</v>
      </c>
      <c r="E337" s="13">
        <f t="shared" si="34"/>
        <v>-45.607682160622453</v>
      </c>
      <c r="F337" s="13">
        <f t="shared" si="35"/>
        <v>-327.54365525626929</v>
      </c>
      <c r="G337" s="13">
        <f>SUM($E$5:E337)</f>
        <v>-68704.926453273569</v>
      </c>
      <c r="H337" s="13">
        <f>SUM($F$5:F337)</f>
        <v>-55554.468906551439</v>
      </c>
    </row>
    <row r="338" spans="1:8" x14ac:dyDescent="0.25">
      <c r="A338" s="1">
        <f t="shared" si="30"/>
        <v>334</v>
      </c>
      <c r="B338" s="14">
        <f t="shared" ca="1" si="31"/>
        <v>52841</v>
      </c>
      <c r="C338" s="15">
        <f t="shared" si="32"/>
        <v>9445.5310934486024</v>
      </c>
      <c r="D338" s="13">
        <f t="shared" si="33"/>
        <v>-373.15133741689175</v>
      </c>
      <c r="E338" s="13">
        <f t="shared" si="34"/>
        <v>-44.079145102759867</v>
      </c>
      <c r="F338" s="13">
        <f t="shared" si="35"/>
        <v>-329.07219231413194</v>
      </c>
      <c r="G338" s="13">
        <f>SUM($E$5:E338)</f>
        <v>-68749.00559837633</v>
      </c>
      <c r="H338" s="13">
        <f>SUM($F$5:F338)</f>
        <v>-55883.541098865571</v>
      </c>
    </row>
    <row r="339" spans="1:8" x14ac:dyDescent="0.25">
      <c r="A339" s="1">
        <f t="shared" si="30"/>
        <v>335</v>
      </c>
      <c r="B339" s="14">
        <f t="shared" ca="1" si="31"/>
        <v>52871</v>
      </c>
      <c r="C339" s="15">
        <f t="shared" si="32"/>
        <v>9116.4589011344706</v>
      </c>
      <c r="D339" s="13">
        <f t="shared" si="33"/>
        <v>-373.15133741689175</v>
      </c>
      <c r="E339" s="13">
        <f t="shared" si="34"/>
        <v>-42.543474871960584</v>
      </c>
      <c r="F339" s="13">
        <f t="shared" si="35"/>
        <v>-330.60786254493109</v>
      </c>
      <c r="G339" s="13">
        <f>SUM($E$5:E339)</f>
        <v>-68791.549073248287</v>
      </c>
      <c r="H339" s="13">
        <f>SUM($F$5:F339)</f>
        <v>-56214.148961410501</v>
      </c>
    </row>
    <row r="340" spans="1:8" x14ac:dyDescent="0.25">
      <c r="A340" s="1">
        <f t="shared" si="30"/>
        <v>336</v>
      </c>
      <c r="B340" s="14">
        <f t="shared" ca="1" si="31"/>
        <v>52902</v>
      </c>
      <c r="C340" s="15">
        <f t="shared" si="32"/>
        <v>8785.8510385895388</v>
      </c>
      <c r="D340" s="13">
        <f t="shared" si="33"/>
        <v>-373.15133741689175</v>
      </c>
      <c r="E340" s="13">
        <f t="shared" si="34"/>
        <v>-41.000638180084238</v>
      </c>
      <c r="F340" s="13">
        <f t="shared" si="35"/>
        <v>-332.1506992368075</v>
      </c>
      <c r="G340" s="13">
        <f>SUM($E$5:E340)</f>
        <v>-68832.549711428364</v>
      </c>
      <c r="H340" s="13">
        <f>SUM($F$5:F340)</f>
        <v>-56546.29966064731</v>
      </c>
    </row>
    <row r="341" spans="1:8" x14ac:dyDescent="0.25">
      <c r="A341" s="1">
        <f t="shared" si="30"/>
        <v>337</v>
      </c>
      <c r="B341" s="14">
        <f t="shared" ca="1" si="31"/>
        <v>52932</v>
      </c>
      <c r="C341" s="15">
        <f t="shared" si="32"/>
        <v>8453.700339352732</v>
      </c>
      <c r="D341" s="13">
        <f t="shared" si="33"/>
        <v>-373.15133741689175</v>
      </c>
      <c r="E341" s="13">
        <f t="shared" si="34"/>
        <v>-39.450601583645806</v>
      </c>
      <c r="F341" s="13">
        <f t="shared" si="35"/>
        <v>-333.70073583324597</v>
      </c>
      <c r="G341" s="13">
        <f>SUM($E$5:E341)</f>
        <v>-68872.000313012017</v>
      </c>
      <c r="H341" s="13">
        <f>SUM($F$5:F341)</f>
        <v>-56880.000396480558</v>
      </c>
    </row>
    <row r="342" spans="1:8" x14ac:dyDescent="0.25">
      <c r="A342" s="1">
        <f t="shared" si="30"/>
        <v>338</v>
      </c>
      <c r="B342" s="14">
        <f t="shared" ca="1" si="31"/>
        <v>52963</v>
      </c>
      <c r="C342" s="15">
        <f t="shared" si="32"/>
        <v>8119.9996035194863</v>
      </c>
      <c r="D342" s="13">
        <f t="shared" si="33"/>
        <v>-373.15133741689175</v>
      </c>
      <c r="E342" s="13">
        <f t="shared" si="34"/>
        <v>-37.893331483090662</v>
      </c>
      <c r="F342" s="13">
        <f t="shared" si="35"/>
        <v>-335.25800593380109</v>
      </c>
      <c r="G342" s="13">
        <f>SUM($E$5:E342)</f>
        <v>-68909.89364449511</v>
      </c>
      <c r="H342" s="13">
        <f>SUM($F$5:F342)</f>
        <v>-57215.258402414358</v>
      </c>
    </row>
    <row r="343" spans="1:8" x14ac:dyDescent="0.25">
      <c r="A343" s="1">
        <f t="shared" si="30"/>
        <v>339</v>
      </c>
      <c r="B343" s="14">
        <f t="shared" ca="1" si="31"/>
        <v>52994</v>
      </c>
      <c r="C343" s="15">
        <f t="shared" si="32"/>
        <v>7784.7415975856857</v>
      </c>
      <c r="D343" s="13">
        <f t="shared" si="33"/>
        <v>-373.15133741689175</v>
      </c>
      <c r="E343" s="13">
        <f t="shared" si="34"/>
        <v>-36.328794122066249</v>
      </c>
      <c r="F343" s="13">
        <f t="shared" si="35"/>
        <v>-336.82254329482549</v>
      </c>
      <c r="G343" s="13">
        <f>SUM($E$5:E343)</f>
        <v>-68946.222438617173</v>
      </c>
      <c r="H343" s="13">
        <f>SUM($F$5:F343)</f>
        <v>-57552.080945709182</v>
      </c>
    </row>
    <row r="344" spans="1:8" x14ac:dyDescent="0.25">
      <c r="A344" s="1">
        <f t="shared" si="30"/>
        <v>340</v>
      </c>
      <c r="B344" s="14">
        <f t="shared" ca="1" si="31"/>
        <v>53022</v>
      </c>
      <c r="C344" s="15">
        <f t="shared" si="32"/>
        <v>7447.91905429086</v>
      </c>
      <c r="D344" s="13">
        <f t="shared" si="33"/>
        <v>-373.15133741689175</v>
      </c>
      <c r="E344" s="13">
        <f t="shared" si="34"/>
        <v>-34.756955586690395</v>
      </c>
      <c r="F344" s="13">
        <f t="shared" si="35"/>
        <v>-338.39438183020138</v>
      </c>
      <c r="G344" s="13">
        <f>SUM($E$5:E344)</f>
        <v>-68980.979394203867</v>
      </c>
      <c r="H344" s="13">
        <f>SUM($F$5:F344)</f>
        <v>-57890.475327539381</v>
      </c>
    </row>
    <row r="345" spans="1:8" x14ac:dyDescent="0.25">
      <c r="A345" s="1">
        <f t="shared" si="30"/>
        <v>341</v>
      </c>
      <c r="B345" s="14">
        <f t="shared" ca="1" si="31"/>
        <v>53053</v>
      </c>
      <c r="C345" s="15">
        <f t="shared" si="32"/>
        <v>7109.5246724606586</v>
      </c>
      <c r="D345" s="13">
        <f t="shared" si="33"/>
        <v>-373.15133741689175</v>
      </c>
      <c r="E345" s="13">
        <f t="shared" si="34"/>
        <v>-33.177781804816128</v>
      </c>
      <c r="F345" s="13">
        <f t="shared" si="35"/>
        <v>-339.97355561207564</v>
      </c>
      <c r="G345" s="13">
        <f>SUM($E$5:E345)</f>
        <v>-69014.157176008681</v>
      </c>
      <c r="H345" s="13">
        <f>SUM($F$5:F345)</f>
        <v>-58230.448883151454</v>
      </c>
    </row>
    <row r="346" spans="1:8" x14ac:dyDescent="0.25">
      <c r="A346" s="1">
        <f t="shared" si="30"/>
        <v>342</v>
      </c>
      <c r="B346" s="14">
        <f t="shared" ca="1" si="31"/>
        <v>53083</v>
      </c>
      <c r="C346" s="15">
        <f t="shared" si="32"/>
        <v>6769.5511168485828</v>
      </c>
      <c r="D346" s="13">
        <f t="shared" si="33"/>
        <v>-373.15133741689175</v>
      </c>
      <c r="E346" s="13">
        <f t="shared" si="34"/>
        <v>-31.591238545293102</v>
      </c>
      <c r="F346" s="13">
        <f t="shared" si="35"/>
        <v>-341.5600988715986</v>
      </c>
      <c r="G346" s="13">
        <f>SUM($E$5:E346)</f>
        <v>-69045.748414553978</v>
      </c>
      <c r="H346" s="13">
        <f>SUM($F$5:F346)</f>
        <v>-58572.00898202305</v>
      </c>
    </row>
    <row r="347" spans="1:8" x14ac:dyDescent="0.25">
      <c r="A347" s="1">
        <f t="shared" si="30"/>
        <v>343</v>
      </c>
      <c r="B347" s="14">
        <f t="shared" ca="1" si="31"/>
        <v>53114</v>
      </c>
      <c r="C347" s="15">
        <f t="shared" si="32"/>
        <v>6427.991017976984</v>
      </c>
      <c r="D347" s="13">
        <f t="shared" si="33"/>
        <v>-373.15133741689175</v>
      </c>
      <c r="E347" s="13">
        <f t="shared" si="34"/>
        <v>-29.997291417225647</v>
      </c>
      <c r="F347" s="13">
        <f t="shared" si="35"/>
        <v>-343.1540459996661</v>
      </c>
      <c r="G347" s="13">
        <f>SUM($E$5:E347)</f>
        <v>-69075.745705971203</v>
      </c>
      <c r="H347" s="13">
        <f>SUM($F$5:F347)</f>
        <v>-58915.163028022718</v>
      </c>
    </row>
    <row r="348" spans="1:8" x14ac:dyDescent="0.25">
      <c r="A348" s="1">
        <f t="shared" si="30"/>
        <v>344</v>
      </c>
      <c r="B348" s="14">
        <f t="shared" ca="1" si="31"/>
        <v>53144</v>
      </c>
      <c r="C348" s="15">
        <f t="shared" si="32"/>
        <v>6084.8369719773182</v>
      </c>
      <c r="D348" s="13">
        <f t="shared" si="33"/>
        <v>-373.15133741689175</v>
      </c>
      <c r="E348" s="13">
        <f t="shared" si="34"/>
        <v>-28.395905869227207</v>
      </c>
      <c r="F348" s="13">
        <f t="shared" si="35"/>
        <v>-344.7554315476645</v>
      </c>
      <c r="G348" s="13">
        <f>SUM($E$5:E348)</f>
        <v>-69104.14161184043</v>
      </c>
      <c r="H348" s="13">
        <f>SUM($F$5:F348)</f>
        <v>-59259.918459570385</v>
      </c>
    </row>
    <row r="349" spans="1:8" x14ac:dyDescent="0.25">
      <c r="A349" s="1">
        <f t="shared" si="30"/>
        <v>345</v>
      </c>
      <c r="B349" s="14">
        <f t="shared" ca="1" si="31"/>
        <v>53175</v>
      </c>
      <c r="C349" s="15">
        <f t="shared" si="32"/>
        <v>5740.0815404296536</v>
      </c>
      <c r="D349" s="13">
        <f t="shared" si="33"/>
        <v>-373.15133741689175</v>
      </c>
      <c r="E349" s="13">
        <f t="shared" si="34"/>
        <v>-26.787047188671433</v>
      </c>
      <c r="F349" s="13">
        <f t="shared" si="35"/>
        <v>-346.36429022822034</v>
      </c>
      <c r="G349" s="13">
        <f>SUM($E$5:E349)</f>
        <v>-69130.928659029101</v>
      </c>
      <c r="H349" s="13">
        <f>SUM($F$5:F349)</f>
        <v>-59606.282749798607</v>
      </c>
    </row>
    <row r="350" spans="1:8" x14ac:dyDescent="0.25">
      <c r="A350" s="1">
        <f t="shared" si="30"/>
        <v>346</v>
      </c>
      <c r="B350" s="14">
        <f t="shared" ca="1" si="31"/>
        <v>53206</v>
      </c>
      <c r="C350" s="15">
        <f t="shared" si="32"/>
        <v>5393.7172502014337</v>
      </c>
      <c r="D350" s="13">
        <f t="shared" si="33"/>
        <v>-373.15133741689175</v>
      </c>
      <c r="E350" s="13">
        <f t="shared" si="34"/>
        <v>-25.170680500939739</v>
      </c>
      <c r="F350" s="13">
        <f t="shared" si="35"/>
        <v>-347.98065691595201</v>
      </c>
      <c r="G350" s="13">
        <f>SUM($E$5:E350)</f>
        <v>-69156.099339530047</v>
      </c>
      <c r="H350" s="13">
        <f>SUM($F$5:F350)</f>
        <v>-59954.263406714563</v>
      </c>
    </row>
    <row r="351" spans="1:8" x14ac:dyDescent="0.25">
      <c r="A351" s="1">
        <f t="shared" si="30"/>
        <v>347</v>
      </c>
      <c r="B351" s="14">
        <f t="shared" ca="1" si="31"/>
        <v>53236</v>
      </c>
      <c r="C351" s="15">
        <f t="shared" si="32"/>
        <v>5045.7365932854818</v>
      </c>
      <c r="D351" s="13">
        <f t="shared" si="33"/>
        <v>-373.15133741689175</v>
      </c>
      <c r="E351" s="13">
        <f t="shared" si="34"/>
        <v>-23.54677076866529</v>
      </c>
      <c r="F351" s="13">
        <f t="shared" si="35"/>
        <v>-349.60456664822647</v>
      </c>
      <c r="G351" s="13">
        <f>SUM($E$5:E351)</f>
        <v>-69179.646110298709</v>
      </c>
      <c r="H351" s="13">
        <f>SUM($F$5:F351)</f>
        <v>-60303.867973362787</v>
      </c>
    </row>
    <row r="352" spans="1:8" x14ac:dyDescent="0.25">
      <c r="A352" s="1">
        <f t="shared" si="30"/>
        <v>348</v>
      </c>
      <c r="B352" s="14">
        <f t="shared" ca="1" si="31"/>
        <v>53267</v>
      </c>
      <c r="C352" s="15">
        <f t="shared" si="32"/>
        <v>4696.132026637255</v>
      </c>
      <c r="D352" s="13">
        <f t="shared" si="33"/>
        <v>-373.15133741689175</v>
      </c>
      <c r="E352" s="13">
        <f t="shared" si="34"/>
        <v>-21.915282790973574</v>
      </c>
      <c r="F352" s="13">
        <f t="shared" si="35"/>
        <v>-351.2360546259182</v>
      </c>
      <c r="G352" s="13">
        <f>SUM($E$5:E352)</f>
        <v>-69201.56139308968</v>
      </c>
      <c r="H352" s="13">
        <f>SUM($F$5:F352)</f>
        <v>-60655.104027988702</v>
      </c>
    </row>
    <row r="353" spans="1:8" x14ac:dyDescent="0.25">
      <c r="A353" s="1">
        <f t="shared" si="30"/>
        <v>349</v>
      </c>
      <c r="B353" s="14">
        <f t="shared" ca="1" si="31"/>
        <v>53297</v>
      </c>
      <c r="C353" s="15">
        <f t="shared" si="32"/>
        <v>4344.8959720113371</v>
      </c>
      <c r="D353" s="13">
        <f t="shared" si="33"/>
        <v>-373.15133741689175</v>
      </c>
      <c r="E353" s="13">
        <f t="shared" si="34"/>
        <v>-20.276181202719286</v>
      </c>
      <c r="F353" s="13">
        <f t="shared" si="35"/>
        <v>-352.87515621417242</v>
      </c>
      <c r="G353" s="13">
        <f>SUM($E$5:E353)</f>
        <v>-69221.837574292396</v>
      </c>
      <c r="H353" s="13">
        <f>SUM($F$5:F353)</f>
        <v>-61007.979184202872</v>
      </c>
    </row>
    <row r="354" spans="1:8" x14ac:dyDescent="0.25">
      <c r="A354" s="1">
        <f t="shared" si="30"/>
        <v>350</v>
      </c>
      <c r="B354" s="14">
        <f t="shared" ca="1" si="31"/>
        <v>53328</v>
      </c>
      <c r="C354" s="15">
        <f t="shared" si="32"/>
        <v>3992.0208157971647</v>
      </c>
      <c r="D354" s="13">
        <f t="shared" si="33"/>
        <v>-373.15133741689175</v>
      </c>
      <c r="E354" s="13">
        <f t="shared" si="34"/>
        <v>-18.629430473719815</v>
      </c>
      <c r="F354" s="13">
        <f t="shared" si="35"/>
        <v>-354.52190694317193</v>
      </c>
      <c r="G354" s="13">
        <f>SUM($E$5:E354)</f>
        <v>-69240.46700476612</v>
      </c>
      <c r="H354" s="13">
        <f>SUM($F$5:F354)</f>
        <v>-61362.501091146041</v>
      </c>
    </row>
    <row r="355" spans="1:8" x14ac:dyDescent="0.25">
      <c r="A355" s="1">
        <f t="shared" si="30"/>
        <v>351</v>
      </c>
      <c r="B355" s="14">
        <f t="shared" ca="1" si="31"/>
        <v>53359</v>
      </c>
      <c r="C355" s="15">
        <f t="shared" si="32"/>
        <v>3637.4989088539928</v>
      </c>
      <c r="D355" s="13">
        <f t="shared" si="33"/>
        <v>-373.15133741689175</v>
      </c>
      <c r="E355" s="13">
        <f t="shared" si="34"/>
        <v>-16.974994907985014</v>
      </c>
      <c r="F355" s="13">
        <f t="shared" si="35"/>
        <v>-356.17634250890671</v>
      </c>
      <c r="G355" s="13">
        <f>SUM($E$5:E355)</f>
        <v>-69257.441999674105</v>
      </c>
      <c r="H355" s="13">
        <f>SUM($F$5:F355)</f>
        <v>-61718.67743365495</v>
      </c>
    </row>
    <row r="356" spans="1:8" x14ac:dyDescent="0.25">
      <c r="A356" s="1">
        <f t="shared" si="30"/>
        <v>352</v>
      </c>
      <c r="B356" s="14">
        <f t="shared" ca="1" si="31"/>
        <v>53387</v>
      </c>
      <c r="C356" s="15">
        <f t="shared" si="32"/>
        <v>3281.3225663450862</v>
      </c>
      <c r="D356" s="13">
        <f t="shared" si="33"/>
        <v>-373.15133741689175</v>
      </c>
      <c r="E356" s="13">
        <f t="shared" si="34"/>
        <v>-15.312838642943451</v>
      </c>
      <c r="F356" s="13">
        <f t="shared" si="35"/>
        <v>-357.83849877394829</v>
      </c>
      <c r="G356" s="13">
        <f>SUM($E$5:E356)</f>
        <v>-69272.754838317051</v>
      </c>
      <c r="H356" s="13">
        <f>SUM($F$5:F356)</f>
        <v>-62076.515932428898</v>
      </c>
    </row>
    <row r="357" spans="1:8" x14ac:dyDescent="0.25">
      <c r="A357" s="1">
        <f t="shared" si="30"/>
        <v>353</v>
      </c>
      <c r="B357" s="14">
        <f t="shared" ca="1" si="31"/>
        <v>53418</v>
      </c>
      <c r="C357" s="15">
        <f t="shared" si="32"/>
        <v>2923.484067571138</v>
      </c>
      <c r="D357" s="13">
        <f t="shared" si="33"/>
        <v>-373.15133741689175</v>
      </c>
      <c r="E357" s="13">
        <f t="shared" si="34"/>
        <v>-13.642925648665024</v>
      </c>
      <c r="F357" s="13">
        <f t="shared" si="35"/>
        <v>-359.50841176822672</v>
      </c>
      <c r="G357" s="13">
        <f>SUM($E$5:E357)</f>
        <v>-69286.39776396571</v>
      </c>
      <c r="H357" s="13">
        <f>SUM($F$5:F357)</f>
        <v>-62436.024344197125</v>
      </c>
    </row>
    <row r="358" spans="1:8" x14ac:dyDescent="0.25">
      <c r="A358" s="1">
        <f t="shared" si="30"/>
        <v>354</v>
      </c>
      <c r="B358" s="14">
        <f t="shared" ca="1" si="31"/>
        <v>53448</v>
      </c>
      <c r="C358" s="15">
        <f t="shared" si="32"/>
        <v>2563.9756558029112</v>
      </c>
      <c r="D358" s="13">
        <f t="shared" si="33"/>
        <v>-373.15133741689175</v>
      </c>
      <c r="E358" s="13">
        <f t="shared" si="34"/>
        <v>-11.965219727079965</v>
      </c>
      <c r="F358" s="13">
        <f t="shared" si="35"/>
        <v>-361.18611768981179</v>
      </c>
      <c r="G358" s="13">
        <f>SUM($E$5:E358)</f>
        <v>-69298.362983692787</v>
      </c>
      <c r="H358" s="13">
        <f>SUM($F$5:F358)</f>
        <v>-62797.210461886934</v>
      </c>
    </row>
    <row r="359" spans="1:8" x14ac:dyDescent="0.25">
      <c r="A359" s="1">
        <f t="shared" si="30"/>
        <v>355</v>
      </c>
      <c r="B359" s="14">
        <f t="shared" ca="1" si="31"/>
        <v>53479</v>
      </c>
      <c r="C359" s="15">
        <f t="shared" si="32"/>
        <v>2202.7895381130993</v>
      </c>
      <c r="D359" s="13">
        <f t="shared" si="33"/>
        <v>-373.15133741689175</v>
      </c>
      <c r="E359" s="13">
        <f t="shared" si="34"/>
        <v>-10.279684511194178</v>
      </c>
      <c r="F359" s="13">
        <f t="shared" si="35"/>
        <v>-362.87165290569754</v>
      </c>
      <c r="G359" s="13">
        <f>SUM($E$5:E359)</f>
        <v>-69308.642668203975</v>
      </c>
      <c r="H359" s="13">
        <f>SUM($F$5:F359)</f>
        <v>-63160.082114792633</v>
      </c>
    </row>
    <row r="360" spans="1:8" x14ac:dyDescent="0.25">
      <c r="A360" s="1">
        <f t="shared" si="30"/>
        <v>356</v>
      </c>
      <c r="B360" s="14">
        <f t="shared" ca="1" si="31"/>
        <v>53509</v>
      </c>
      <c r="C360" s="15">
        <f t="shared" si="32"/>
        <v>1839.9178852074017</v>
      </c>
      <c r="D360" s="13">
        <f t="shared" si="33"/>
        <v>-373.15133741689175</v>
      </c>
      <c r="E360" s="13">
        <f t="shared" si="34"/>
        <v>-8.5862834643009229</v>
      </c>
      <c r="F360" s="13">
        <f t="shared" si="35"/>
        <v>-364.5650539525908</v>
      </c>
      <c r="G360" s="13">
        <f>SUM($E$5:E360)</f>
        <v>-69317.228951668279</v>
      </c>
      <c r="H360" s="13">
        <f>SUM($F$5:F360)</f>
        <v>-63524.647168745221</v>
      </c>
    </row>
    <row r="361" spans="1:8" x14ac:dyDescent="0.25">
      <c r="A361" s="1">
        <f t="shared" si="30"/>
        <v>357</v>
      </c>
      <c r="B361" s="14">
        <f t="shared" ca="1" si="31"/>
        <v>53540</v>
      </c>
      <c r="C361" s="15">
        <f t="shared" si="32"/>
        <v>1475.352831254811</v>
      </c>
      <c r="D361" s="13">
        <f t="shared" si="33"/>
        <v>-373.15133741689175</v>
      </c>
      <c r="E361" s="13">
        <f t="shared" si="34"/>
        <v>-6.8849798791888315</v>
      </c>
      <c r="F361" s="13">
        <f t="shared" si="35"/>
        <v>-366.26635753770296</v>
      </c>
      <c r="G361" s="13">
        <f>SUM($E$5:E361)</f>
        <v>-69324.113931547472</v>
      </c>
      <c r="H361" s="13">
        <f>SUM($F$5:F361)</f>
        <v>-63890.913526282922</v>
      </c>
    </row>
    <row r="362" spans="1:8" x14ac:dyDescent="0.25">
      <c r="A362" s="1">
        <f t="shared" si="30"/>
        <v>358</v>
      </c>
      <c r="B362" s="14">
        <f t="shared" ca="1" si="31"/>
        <v>53571</v>
      </c>
      <c r="C362" s="15">
        <f t="shared" si="32"/>
        <v>1109.086473717108</v>
      </c>
      <c r="D362" s="13">
        <f t="shared" si="33"/>
        <v>-373.15133741689175</v>
      </c>
      <c r="E362" s="13">
        <f t="shared" si="34"/>
        <v>-5.1757368773462176</v>
      </c>
      <c r="F362" s="13">
        <f t="shared" si="35"/>
        <v>-367.9756005395455</v>
      </c>
      <c r="G362" s="13">
        <f>SUM($E$5:E362)</f>
        <v>-69329.289668424812</v>
      </c>
      <c r="H362" s="13">
        <f>SUM($F$5:F362)</f>
        <v>-64258.889126822469</v>
      </c>
    </row>
    <row r="363" spans="1:8" x14ac:dyDescent="0.25">
      <c r="A363" s="1">
        <f t="shared" si="30"/>
        <v>359</v>
      </c>
      <c r="B363" s="14">
        <f t="shared" ca="1" si="31"/>
        <v>53601</v>
      </c>
      <c r="C363" s="15">
        <f t="shared" si="32"/>
        <v>741.11087317756255</v>
      </c>
      <c r="D363" s="13">
        <f t="shared" si="33"/>
        <v>-373.15133741689175</v>
      </c>
      <c r="E363" s="13">
        <f t="shared" si="34"/>
        <v>-3.4585174081616712</v>
      </c>
      <c r="F363" s="13">
        <f t="shared" si="35"/>
        <v>-369.69282000873005</v>
      </c>
      <c r="G363" s="13">
        <f>SUM($E$5:E363)</f>
        <v>-69332.74818583297</v>
      </c>
      <c r="H363" s="13">
        <f>SUM($F$5:F363)</f>
        <v>-64628.581946831197</v>
      </c>
    </row>
    <row r="364" spans="1:8" x14ac:dyDescent="0.25">
      <c r="A364" s="1">
        <f t="shared" si="30"/>
        <v>360</v>
      </c>
      <c r="B364" s="14">
        <f t="shared" ca="1" si="31"/>
        <v>53632</v>
      </c>
      <c r="C364" s="15">
        <f t="shared" si="32"/>
        <v>371.4180531688325</v>
      </c>
      <c r="D364" s="13">
        <f t="shared" si="33"/>
        <v>-373.15133741689175</v>
      </c>
      <c r="E364" s="13">
        <f t="shared" si="34"/>
        <v>-1.7332842481209307</v>
      </c>
      <c r="F364" s="13">
        <f t="shared" si="35"/>
        <v>-371.41805316877077</v>
      </c>
      <c r="G364" s="13">
        <f>SUM($E$5:E364)</f>
        <v>-69334.481470081097</v>
      </c>
      <c r="H364" s="13">
        <f>SUM($F$5:F364)</f>
        <v>-64999.999999999971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Principal</vt:lpstr>
    </vt:vector>
  </TitlesOfParts>
  <Company>Staples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 M. Verschuuren</dc:creator>
  <cp:lastModifiedBy>Gerry</cp:lastModifiedBy>
  <dcterms:created xsi:type="dcterms:W3CDTF">2006-03-16T12:27:00Z</dcterms:created>
  <dcterms:modified xsi:type="dcterms:W3CDTF">2016-11-11T12:07:24Z</dcterms:modified>
</cp:coreProperties>
</file>