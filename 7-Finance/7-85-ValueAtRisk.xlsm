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360" yWindow="45" windowWidth="11340" windowHeight="4500"/>
  </bookViews>
  <sheets>
    <sheet name="ValueAtRisk" sheetId="12" r:id="rId1"/>
  </sheets>
  <calcPr calcId="152511"/>
</workbook>
</file>

<file path=xl/calcChain.xml><?xml version="1.0" encoding="utf-8"?>
<calcChain xmlns="http://schemas.openxmlformats.org/spreadsheetml/2006/main">
  <c r="B7" i="12" l="1"/>
  <c r="C7" i="12" s="1"/>
  <c r="D7" i="12" s="1"/>
  <c r="E7" i="12" s="1"/>
</calcChain>
</file>

<file path=xl/sharedStrings.xml><?xml version="1.0" encoding="utf-8"?>
<sst xmlns="http://schemas.openxmlformats.org/spreadsheetml/2006/main" count="9" uniqueCount="9">
  <si>
    <t>Avg return</t>
  </si>
  <si>
    <t>SD</t>
  </si>
  <si>
    <t xml:space="preserve">Confidence </t>
  </si>
  <si>
    <t>Confidence</t>
  </si>
  <si>
    <t>Min. return</t>
  </si>
  <si>
    <t>New value</t>
  </si>
  <si>
    <t>Portfolio</t>
  </si>
  <si>
    <t>Value at risk</t>
  </si>
  <si>
    <t>Monthly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</si>
</sst>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6">
    <xf numFmtId="0" fontId="0" fillId="0" borderId="0"/>
    <xf numFmtId="0" fontId="6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4" borderId="0" applyNumberFormat="0" applyBorder="0" applyAlignment="0" applyProtection="0"/>
    <xf numFmtId="0" fontId="7" fillId="7" borderId="0" applyNumberFormat="0" applyBorder="0" applyAlignment="0" applyProtection="0"/>
    <xf numFmtId="0" fontId="8" fillId="5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8" fillId="9" borderId="0" applyNumberFormat="0" applyBorder="0" applyAlignment="0" applyProtection="0"/>
    <xf numFmtId="0" fontId="9" fillId="0" borderId="0">
      <alignment horizontal="center" vertical="center" wrapText="1"/>
    </xf>
    <xf numFmtId="43" fontId="6" fillId="0" borderId="0" applyFont="0" applyFill="0" applyBorder="0" applyAlignment="0" applyProtection="0"/>
    <xf numFmtId="0" fontId="10" fillId="0" borderId="0">
      <alignment horizontal="left" vertical="center" wrapText="1"/>
    </xf>
    <xf numFmtId="4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5" fontId="11" fillId="0" borderId="4" applyNumberFormat="0" applyFill="0">
      <alignment horizontal="right"/>
    </xf>
    <xf numFmtId="166" fontId="12" fillId="0" borderId="4">
      <alignment horizontal="right" vertical="center"/>
    </xf>
    <xf numFmtId="49" fontId="13" fillId="0" borderId="4">
      <alignment horizontal="left" vertical="center"/>
    </xf>
    <xf numFmtId="165" fontId="11" fillId="0" borderId="4" applyNumberFormat="0" applyFill="0">
      <alignment horizontal="right"/>
    </xf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0" borderId="4">
      <alignment horizontal="left"/>
    </xf>
    <xf numFmtId="0" fontId="16" fillId="0" borderId="5">
      <alignment horizontal="right" vertical="center"/>
    </xf>
    <xf numFmtId="0" fontId="17" fillId="0" borderId="4">
      <alignment horizontal="left" vertical="center"/>
    </xf>
    <xf numFmtId="0" fontId="11" fillId="0" borderId="4">
      <alignment horizontal="left" vertical="center"/>
    </xf>
    <xf numFmtId="0" fontId="15" fillId="0" borderId="4">
      <alignment horizontal="left"/>
    </xf>
    <xf numFmtId="0" fontId="15" fillId="13" borderId="0">
      <alignment horizontal="centerContinuous" wrapText="1"/>
    </xf>
    <xf numFmtId="49" fontId="15" fillId="13" borderId="6">
      <alignment horizontal="left" vertical="center"/>
    </xf>
    <xf numFmtId="0" fontId="15" fillId="13" borderId="0">
      <alignment horizontal="centerContinuous" vertical="center" wrapText="1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6" fillId="0" borderId="0" applyFont="0" applyFill="0" applyBorder="0" applyAlignment="0" applyProtection="0"/>
    <xf numFmtId="3" fontId="12" fillId="0" borderId="0">
      <alignment horizontal="left" vertical="center"/>
    </xf>
    <xf numFmtId="0" fontId="9" fillId="0" borderId="0">
      <alignment horizontal="left" vertical="center"/>
    </xf>
    <xf numFmtId="0" fontId="19" fillId="0" borderId="0" applyNumberFormat="0" applyFill="0" applyBorder="0" applyAlignment="0" applyProtection="0"/>
    <xf numFmtId="0" fontId="20" fillId="0" borderId="0">
      <alignment horizontal="right"/>
    </xf>
    <xf numFmtId="49" fontId="20" fillId="0" borderId="0">
      <alignment horizontal="center"/>
    </xf>
    <xf numFmtId="0" fontId="13" fillId="0" borderId="0">
      <alignment horizontal="right"/>
    </xf>
    <xf numFmtId="0" fontId="20" fillId="0" borderId="0">
      <alignment horizontal="left"/>
    </xf>
    <xf numFmtId="49" fontId="12" fillId="0" borderId="0">
      <alignment horizontal="left" vertical="center"/>
    </xf>
    <xf numFmtId="49" fontId="13" fillId="0" borderId="4">
      <alignment horizontal="left"/>
    </xf>
    <xf numFmtId="165" fontId="12" fillId="0" borderId="0" applyNumberFormat="0">
      <alignment horizontal="right"/>
    </xf>
    <xf numFmtId="0" fontId="16" fillId="14" borderId="0">
      <alignment horizontal="centerContinuous" vertical="center" wrapText="1"/>
    </xf>
    <xf numFmtId="0" fontId="16" fillId="0" borderId="7">
      <alignment horizontal="left" vertical="center"/>
    </xf>
    <xf numFmtId="0" fontId="21" fillId="0" borderId="0">
      <alignment horizontal="left" vertical="top"/>
    </xf>
    <xf numFmtId="0" fontId="15" fillId="0" borderId="0">
      <alignment horizontal="left"/>
    </xf>
    <xf numFmtId="0" fontId="10" fillId="0" borderId="0">
      <alignment horizontal="left"/>
    </xf>
    <xf numFmtId="0" fontId="11" fillId="0" borderId="0">
      <alignment horizontal="left"/>
    </xf>
    <xf numFmtId="0" fontId="21" fillId="0" borderId="0">
      <alignment horizontal="left" vertical="top"/>
    </xf>
    <xf numFmtId="0" fontId="10" fillId="0" borderId="0">
      <alignment horizontal="left"/>
    </xf>
    <xf numFmtId="0" fontId="11" fillId="0" borderId="0">
      <alignment horizontal="left"/>
    </xf>
    <xf numFmtId="49" fontId="12" fillId="0" borderId="4">
      <alignment horizontal="left"/>
    </xf>
    <xf numFmtId="0" fontId="16" fillId="0" borderId="5">
      <alignment horizontal="left"/>
    </xf>
    <xf numFmtId="0" fontId="15" fillId="0" borderId="0">
      <alignment horizontal="left" vertical="center"/>
    </xf>
    <xf numFmtId="49" fontId="12" fillId="0" borderId="4">
      <alignment horizontal="left"/>
    </xf>
    <xf numFmtId="0" fontId="22" fillId="15" borderId="1" applyNumberFormat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0" fontId="3" fillId="16" borderId="8" applyNumberFormat="0" applyFont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0" fontId="11" fillId="0" borderId="0"/>
  </cellStyleXfs>
  <cellXfs count="11">
    <xf numFmtId="0" fontId="0" fillId="0" borderId="0" xfId="0"/>
    <xf numFmtId="0" fontId="4" fillId="0" borderId="0" xfId="75" applyProtection="1">
      <protection locked="0"/>
    </xf>
    <xf numFmtId="0" fontId="4" fillId="0" borderId="0" xfId="75" applyBorder="1" applyProtection="1">
      <protection locked="0"/>
    </xf>
    <xf numFmtId="0" fontId="4" fillId="0" borderId="2" xfId="75" applyBorder="1" applyProtection="1">
      <protection locked="0"/>
    </xf>
    <xf numFmtId="0" fontId="4" fillId="0" borderId="3" xfId="75" applyBorder="1" applyProtection="1">
      <protection locked="0"/>
    </xf>
    <xf numFmtId="7" fontId="24" fillId="0" borderId="0" xfId="74" applyNumberFormat="1" applyFont="1" applyFill="1" applyBorder="1" applyProtection="1">
      <protection locked="0"/>
    </xf>
    <xf numFmtId="0" fontId="24" fillId="0" borderId="0" xfId="74" applyFont="1" applyFill="1" applyBorder="1" applyProtection="1">
      <protection locked="0"/>
    </xf>
    <xf numFmtId="9" fontId="23" fillId="0" borderId="0" xfId="77" applyFont="1" applyBorder="1" applyProtection="1">
      <protection locked="0"/>
    </xf>
    <xf numFmtId="9" fontId="4" fillId="0" borderId="2" xfId="75" applyNumberFormat="1" applyBorder="1" applyProtection="1">
      <protection locked="0"/>
    </xf>
    <xf numFmtId="2" fontId="4" fillId="0" borderId="0" xfId="75" applyNumberFormat="1" applyProtection="1">
      <protection locked="0"/>
    </xf>
    <xf numFmtId="8" fontId="4" fillId="0" borderId="0" xfId="75" applyNumberFormat="1" applyProtection="1">
      <protection locked="0"/>
    </xf>
  </cellXfs>
  <cellStyles count="86">
    <cellStyle name="Accent1 - 20%" xfId="5"/>
    <cellStyle name="Accent1 - 40%" xfId="6"/>
    <cellStyle name="Accent1 - 60%" xfId="7"/>
    <cellStyle name="Accent2 - 20%" xfId="8"/>
    <cellStyle name="Accent2 - 40%" xfId="9"/>
    <cellStyle name="Accent2 - 60%" xfId="10"/>
    <cellStyle name="Accent3 - 20%" xfId="11"/>
    <cellStyle name="Accent3 - 40%" xfId="12"/>
    <cellStyle name="Accent3 - 60%" xfId="13"/>
    <cellStyle name="Accent4 - 20%" xfId="14"/>
    <cellStyle name="Accent4 - 40%" xfId="15"/>
    <cellStyle name="Accent4 - 60%" xfId="16"/>
    <cellStyle name="Accent5 - 20%" xfId="17"/>
    <cellStyle name="Accent5 - 40%" xfId="18"/>
    <cellStyle name="Accent5 - 60%" xfId="19"/>
    <cellStyle name="Accent6 - 20%" xfId="20"/>
    <cellStyle name="Accent6 - 40%" xfId="21"/>
    <cellStyle name="Accent6 - 60%" xfId="22"/>
    <cellStyle name="Column heading" xfId="23"/>
    <cellStyle name="Comma 2" xfId="24"/>
    <cellStyle name="Comma 3" xfId="81"/>
    <cellStyle name="Corner heading" xfId="25"/>
    <cellStyle name="Currency 2" xfId="3"/>
    <cellStyle name="Currency 3" xfId="26"/>
    <cellStyle name="Currency 4" xfId="27"/>
    <cellStyle name="Currency 5" xfId="76"/>
    <cellStyle name="Currency 6" xfId="80"/>
    <cellStyle name="Currency 7" xfId="83"/>
    <cellStyle name="Data" xfId="28"/>
    <cellStyle name="Data no deci" xfId="29"/>
    <cellStyle name="Data Superscript" xfId="30"/>
    <cellStyle name="Data_1-1A-Regular" xfId="31"/>
    <cellStyle name="Emphasis 1" xfId="32"/>
    <cellStyle name="Emphasis 2" xfId="33"/>
    <cellStyle name="Emphasis 3" xfId="34"/>
    <cellStyle name="Hed Side" xfId="35"/>
    <cellStyle name="Hed Side bold" xfId="36"/>
    <cellStyle name="Hed Side Indent" xfId="37"/>
    <cellStyle name="Hed Side Regular" xfId="38"/>
    <cellStyle name="Hed Side_1-1A-Regular" xfId="39"/>
    <cellStyle name="Hed Top" xfId="40"/>
    <cellStyle name="Hed Top - SECTION" xfId="41"/>
    <cellStyle name="Hed Top_3-new4" xfId="42"/>
    <cellStyle name="Input" xfId="74" builtinId="20"/>
    <cellStyle name="Normal" xfId="0" builtinId="0"/>
    <cellStyle name="Normal 2" xfId="1"/>
    <cellStyle name="Normal 2 2" xfId="43"/>
    <cellStyle name="Normal 2 3" xfId="44"/>
    <cellStyle name="Normal 2_E-UniqueLists" xfId="45"/>
    <cellStyle name="Normal 3" xfId="2"/>
    <cellStyle name="Normal 3 2" xfId="46"/>
    <cellStyle name="Normal 4" xfId="47"/>
    <cellStyle name="Normal 5" xfId="75"/>
    <cellStyle name="Normal 6" xfId="78"/>
    <cellStyle name="Normal 7" xfId="82"/>
    <cellStyle name="Normal 8" xfId="84"/>
    <cellStyle name="Normal 9" xfId="85"/>
    <cellStyle name="Note 2" xfId="79"/>
    <cellStyle name="Percent 2" xfId="4"/>
    <cellStyle name="Percent 2 2" xfId="48"/>
    <cellStyle name="Percent 3" xfId="49"/>
    <cellStyle name="Percent 3 2" xfId="50"/>
    <cellStyle name="Percent 4" xfId="77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633132</xdr:colOff>
      <xdr:row>0</xdr:row>
      <xdr:rowOff>128868</xdr:rowOff>
    </xdr:from>
    <xdr:to>
      <xdr:col>6</xdr:col>
      <xdr:colOff>285750</xdr:colOff>
      <xdr:row>3</xdr:row>
      <xdr:rowOff>151279</xdr:rowOff>
    </xdr:to>
    <xdr:sp macro="" textlink="">
      <xdr:nvSpPr>
        <xdr:cNvPr id="2" name="Rectangle 1"/>
        <xdr:cNvSpPr/>
      </xdr:nvSpPr>
      <xdr:spPr>
        <a:xfrm>
          <a:off x="2930338" y="128868"/>
          <a:ext cx="1871383" cy="5939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Ctrl Shift 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99"/>
  <sheetViews>
    <sheetView tabSelected="1" zoomScale="170" zoomScaleNormal="170" workbookViewId="0">
      <selection activeCell="B1" sqref="B1"/>
    </sheetView>
  </sheetViews>
  <sheetFormatPr defaultRowHeight="15" x14ac:dyDescent="0.25"/>
  <cols>
    <col min="1" max="1" width="11.5703125" style="1" bestFit="1" customWidth="1"/>
    <col min="2" max="3" width="11.42578125" style="1" bestFit="1" customWidth="1"/>
    <col min="4" max="4" width="11.85546875" style="1" bestFit="1" customWidth="1"/>
    <col min="5" max="5" width="12.28515625" style="1" bestFit="1" customWidth="1"/>
    <col min="6" max="16384" width="9.140625" style="1"/>
  </cols>
  <sheetData>
    <row r="1" spans="1:5" x14ac:dyDescent="0.25">
      <c r="A1" s="1" t="s">
        <v>6</v>
      </c>
      <c r="B1" s="5">
        <v>25000</v>
      </c>
    </row>
    <row r="2" spans="1:5" x14ac:dyDescent="0.25">
      <c r="A2" s="1" t="s">
        <v>0</v>
      </c>
      <c r="B2" s="6">
        <v>0.152</v>
      </c>
    </row>
    <row r="3" spans="1:5" x14ac:dyDescent="0.25">
      <c r="A3" s="1" t="s">
        <v>1</v>
      </c>
      <c r="B3" s="6">
        <v>0.13500000000000001</v>
      </c>
    </row>
    <row r="4" spans="1:5" x14ac:dyDescent="0.25">
      <c r="A4" s="1" t="s">
        <v>2</v>
      </c>
      <c r="B4" s="7">
        <v>0.95</v>
      </c>
    </row>
    <row r="5" spans="1:5" x14ac:dyDescent="0.25">
      <c r="A5" s="2"/>
    </row>
    <row r="6" spans="1:5" x14ac:dyDescent="0.25">
      <c r="A6" s="3" t="s">
        <v>3</v>
      </c>
      <c r="B6" s="1" t="s">
        <v>4</v>
      </c>
      <c r="C6" s="1" t="s">
        <v>5</v>
      </c>
      <c r="D6" s="1" t="s">
        <v>7</v>
      </c>
      <c r="E6" s="1" t="s">
        <v>8</v>
      </c>
    </row>
    <row r="7" spans="1:5" x14ac:dyDescent="0.25">
      <c r="A7" s="8">
        <v>0.95</v>
      </c>
      <c r="B7" s="9">
        <f>_xlfn.NORM.INV(1-B4,B2,B3)</f>
        <v>-7.0055239638448674E-2</v>
      </c>
      <c r="C7" s="10">
        <f>B1*($B$7+1)</f>
        <v>23248.619009038786</v>
      </c>
      <c r="D7" s="10">
        <f>B1-$C$7</f>
        <v>1751.3809909612137</v>
      </c>
      <c r="E7" s="10">
        <f>$D$7*SQRT(22)</f>
        <v>8214.7050014596516</v>
      </c>
    </row>
    <row r="8" spans="1:5" x14ac:dyDescent="0.25">
      <c r="A8" s="8">
        <v>0.9</v>
      </c>
      <c r="B8" s="9">
        <f t="dataTable" ref="B8:E16" dt2D="0" dtr="0" r1="B4"/>
        <v>-2.1009461348521108E-2</v>
      </c>
      <c r="C8" s="10">
        <v>24474.763466286971</v>
      </c>
      <c r="D8" s="10">
        <v>525.23653371302862</v>
      </c>
      <c r="E8" s="10">
        <v>2463.5777153626195</v>
      </c>
    </row>
    <row r="9" spans="1:5" x14ac:dyDescent="0.25">
      <c r="A9" s="8">
        <v>0.85</v>
      </c>
      <c r="B9" s="9">
        <v>1.2081492418338363E-2</v>
      </c>
      <c r="C9" s="10">
        <v>25302.037310458458</v>
      </c>
      <c r="D9" s="10">
        <v>-302.0373104584578</v>
      </c>
      <c r="E9" s="10">
        <v>-1416.6805610290326</v>
      </c>
    </row>
    <row r="10" spans="1:5" x14ac:dyDescent="0.25">
      <c r="A10" s="8">
        <v>0.8</v>
      </c>
      <c r="B10" s="9">
        <v>3.8381133467656495E-2</v>
      </c>
      <c r="C10" s="10">
        <v>25959.528336691412</v>
      </c>
      <c r="D10" s="10">
        <v>-959.52833669141182</v>
      </c>
      <c r="E10" s="10">
        <v>-4500.5868324145604</v>
      </c>
    </row>
    <row r="11" spans="1:5" x14ac:dyDescent="0.25">
      <c r="A11" s="8">
        <v>0.75</v>
      </c>
      <c r="B11" s="9">
        <v>6.0943883723528935E-2</v>
      </c>
      <c r="C11" s="10">
        <v>26523.597093088225</v>
      </c>
      <c r="D11" s="10">
        <v>-1523.5970930882249</v>
      </c>
      <c r="E11" s="10">
        <v>-7146.3038170421751</v>
      </c>
    </row>
    <row r="12" spans="1:5" x14ac:dyDescent="0.25">
      <c r="A12" s="8">
        <v>0.7</v>
      </c>
      <c r="B12" s="9">
        <v>8.1205930784414487E-2</v>
      </c>
      <c r="C12" s="10">
        <v>27030.148269610359</v>
      </c>
      <c r="D12" s="10">
        <v>-2030.1482696103594</v>
      </c>
      <c r="E12" s="10">
        <v>-9522.2394385586958</v>
      </c>
    </row>
    <row r="13" spans="1:5" x14ac:dyDescent="0.25">
      <c r="A13" s="8">
        <v>0.65</v>
      </c>
      <c r="B13" s="9">
        <v>9.9981737034978341E-2</v>
      </c>
      <c r="C13" s="10">
        <v>27499.543425874457</v>
      </c>
      <c r="D13" s="10">
        <v>-2499.5434258744572</v>
      </c>
      <c r="E13" s="10">
        <v>-11723.897877084601</v>
      </c>
    </row>
    <row r="14" spans="1:5" x14ac:dyDescent="0.25">
      <c r="A14" s="8">
        <v>0.6</v>
      </c>
      <c r="B14" s="9">
        <v>0.11779814107666703</v>
      </c>
      <c r="C14" s="10">
        <v>27944.953526916677</v>
      </c>
      <c r="D14" s="10">
        <v>-2944.9535269166772</v>
      </c>
      <c r="E14" s="10">
        <v>-13813.056434597576</v>
      </c>
    </row>
    <row r="15" spans="1:5" x14ac:dyDescent="0.25">
      <c r="A15" s="8">
        <v>0.55000000000000004</v>
      </c>
      <c r="B15" s="9">
        <v>0.13503571817456497</v>
      </c>
      <c r="C15" s="10">
        <v>28375.892954364124</v>
      </c>
      <c r="D15" s="10">
        <v>-3375.8929543641243</v>
      </c>
      <c r="E15" s="10">
        <v>-15834.341516626368</v>
      </c>
    </row>
    <row r="16" spans="1:5" x14ac:dyDescent="0.25">
      <c r="A16" s="8">
        <v>0.5</v>
      </c>
      <c r="B16" s="9">
        <v>0.152</v>
      </c>
      <c r="C16" s="10">
        <v>28799.999999999996</v>
      </c>
      <c r="D16" s="10">
        <v>-3799.9999999999964</v>
      </c>
      <c r="E16" s="10">
        <v>-17823.579887329015</v>
      </c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ht="15.75" thickBot="1" x14ac:dyDescent="0.3">
      <c r="A699" s="4"/>
    </row>
  </sheetData>
  <conditionalFormatting sqref="E7:E1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{099A1BCA-8BDC-4E71-A7EC-4DD252FE68E9}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{95F94477-A222-4772-B553-5AF08667B296}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{9EEA9F06-5D7D-4FA5-825E-50514C03BB7B}</x14:id>
        </ext>
      </extLst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{84112023-AE0B-45D1-85A0-30BC136D53F9}</x14:id>
        </ext>
      </extLst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{175A3587-1C02-49A6-81F7-BE652F9039E7}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{8A042D29-0823-485E-ACE9-698499C5317F}</x14:id>
        </ext>
      </extLst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{8268B498-1BCD-4A72-9146-937B5307265E}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9A1BCA-8BDC-4E71-A7EC-4DD252FE68E9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14:cfRule type="dataBar" id="{95F94477-A222-4772-B553-5AF08667B296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14:cfRule type="dataBar" id="{9EEA9F06-5D7D-4FA5-825E-50514C03BB7B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14:cfRule type="dataBar" id="{84112023-AE0B-45D1-85A0-30BC136D53F9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14:cfRule type="dataBar" id="{175A3587-1C02-49A6-81F7-BE652F9039E7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14:cfRule type="dataBar" id="{8A042D29-0823-485E-ACE9-698499C5317F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14:cfRule type="dataBar" id="{8268B498-1BCD-4A72-9146-937B5307265E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638EC6"/>
              <x14:negativeBorderColor rgb="FF000000"/>
              <x14:axisColor rgb="FF000000"/>
            </x14:dataBar>
          </x14:cfRule>
          <xm:sqref>E7:E16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ValueAtRisk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cp:revision/>
  <dcterms:created xsi:type="dcterms:W3CDTF">2012-12-16T11:14:23Z</dcterms:created>
  <dcterms:modified xsi:type="dcterms:W3CDTF">2016-11-14T16:44:07Z</dcterms:modified>
</cp:coreProperties>
</file>