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7-Finance\"/>
    </mc:Choice>
  </mc:AlternateContent>
  <bookViews>
    <workbookView xWindow="360" yWindow="45" windowWidth="11340" windowHeight="4500"/>
  </bookViews>
  <sheets>
    <sheet name="ReturnOI" sheetId="9" r:id="rId1"/>
  </sheets>
  <calcPr calcId="152511"/>
</workbook>
</file>

<file path=xl/calcChain.xml><?xml version="1.0" encoding="utf-8"?>
<calcChain xmlns="http://schemas.openxmlformats.org/spreadsheetml/2006/main">
  <c r="D7" i="9" l="1"/>
  <c r="D8" i="9"/>
  <c r="D9" i="9"/>
  <c r="D10" i="9"/>
  <c r="D11" i="9"/>
  <c r="D12" i="9"/>
  <c r="D13" i="9"/>
  <c r="E6" i="9"/>
  <c r="F6" i="9"/>
  <c r="G6" i="9"/>
  <c r="H6" i="9"/>
  <c r="I6" i="9"/>
  <c r="J6" i="9"/>
  <c r="K6" i="9"/>
  <c r="B9" i="9"/>
  <c r="B7" i="9"/>
  <c r="B8" i="9" s="1"/>
  <c r="B10" i="9" l="1"/>
  <c r="B11" i="9" s="1"/>
  <c r="D6" i="9" s="1"/>
</calcChain>
</file>

<file path=xl/sharedStrings.xml><?xml version="1.0" encoding="utf-8"?>
<sst xmlns="http://schemas.openxmlformats.org/spreadsheetml/2006/main" count="12" uniqueCount="10">
  <si>
    <t>Taxes</t>
  </si>
  <si>
    <t>Taxes on profit</t>
  </si>
  <si>
    <t>ROI (return on investment)</t>
  </si>
  <si>
    <t>After inflation</t>
  </si>
  <si>
    <t>To keep power</t>
  </si>
  <si>
    <t>Number of years</t>
  </si>
  <si>
    <t>Inflation rate</t>
  </si>
  <si>
    <t>CD interest</t>
  </si>
  <si>
    <t>CD value</t>
  </si>
  <si>
    <t>inflation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</si>
</sst>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0.00%;[Red]\ \-0.00%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CC99"/>
      </patternFill>
    </fill>
    <fill>
      <patternFill patternType="solid">
        <fgColor rgb="FFFFFFCC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</borders>
  <cellStyleXfs count="85">
    <xf numFmtId="0" fontId="0" fillId="0" borderId="0"/>
    <xf numFmtId="0" fontId="5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7" borderId="0" applyNumberFormat="0" applyBorder="0" applyAlignment="0" applyProtection="0"/>
    <xf numFmtId="0" fontId="7" fillId="5" borderId="0" applyNumberFormat="0" applyBorder="0" applyAlignment="0" applyProtection="0"/>
    <xf numFmtId="0" fontId="6" fillId="2" borderId="0" applyNumberFormat="0" applyBorder="0" applyAlignment="0" applyProtection="0"/>
    <xf numFmtId="0" fontId="6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9" borderId="0" applyNumberFormat="0" applyBorder="0" applyAlignment="0" applyProtection="0"/>
    <xf numFmtId="0" fontId="7" fillId="9" borderId="0" applyNumberFormat="0" applyBorder="0" applyAlignment="0" applyProtection="0"/>
    <xf numFmtId="0" fontId="8" fillId="0" borderId="0">
      <alignment horizontal="center" vertical="center" wrapText="1"/>
    </xf>
    <xf numFmtId="43" fontId="5" fillId="0" borderId="0" applyFont="0" applyFill="0" applyBorder="0" applyAlignment="0" applyProtection="0"/>
    <xf numFmtId="0" fontId="9" fillId="0" borderId="0">
      <alignment horizontal="left" vertical="center" wrapText="1"/>
    </xf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0" fillId="0" borderId="8" applyNumberFormat="0" applyFill="0">
      <alignment horizontal="right"/>
    </xf>
    <xf numFmtId="166" fontId="11" fillId="0" borderId="8">
      <alignment horizontal="right" vertical="center"/>
    </xf>
    <xf numFmtId="49" fontId="12" fillId="0" borderId="8">
      <alignment horizontal="left" vertical="center"/>
    </xf>
    <xf numFmtId="165" fontId="10" fillId="0" borderId="8" applyNumberFormat="0" applyFill="0">
      <alignment horizontal="right"/>
    </xf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4" fillId="0" borderId="8">
      <alignment horizontal="left"/>
    </xf>
    <xf numFmtId="0" fontId="15" fillId="0" borderId="9">
      <alignment horizontal="right" vertical="center"/>
    </xf>
    <xf numFmtId="0" fontId="16" fillId="0" borderId="8">
      <alignment horizontal="left" vertical="center"/>
    </xf>
    <xf numFmtId="0" fontId="10" fillId="0" borderId="8">
      <alignment horizontal="left" vertical="center"/>
    </xf>
    <xf numFmtId="0" fontId="14" fillId="0" borderId="8">
      <alignment horizontal="left"/>
    </xf>
    <xf numFmtId="0" fontId="14" fillId="13" borderId="0">
      <alignment horizontal="centerContinuous" wrapText="1"/>
    </xf>
    <xf numFmtId="49" fontId="14" fillId="13" borderId="10">
      <alignment horizontal="left" vertical="center"/>
    </xf>
    <xf numFmtId="0" fontId="14" fillId="13" borderId="0">
      <alignment horizontal="centerContinuous" vertical="center" wrapTex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5" fillId="0" borderId="0" applyFont="0" applyFill="0" applyBorder="0" applyAlignment="0" applyProtection="0"/>
    <xf numFmtId="3" fontId="11" fillId="0" borderId="0">
      <alignment horizontal="left" vertical="center"/>
    </xf>
    <xf numFmtId="0" fontId="8" fillId="0" borderId="0">
      <alignment horizontal="left" vertical="center"/>
    </xf>
    <xf numFmtId="0" fontId="18" fillId="0" borderId="0" applyNumberFormat="0" applyFill="0" applyBorder="0" applyAlignment="0" applyProtection="0"/>
    <xf numFmtId="0" fontId="19" fillId="0" borderId="0">
      <alignment horizontal="right"/>
    </xf>
    <xf numFmtId="49" fontId="19" fillId="0" borderId="0">
      <alignment horizontal="center"/>
    </xf>
    <xf numFmtId="0" fontId="12" fillId="0" borderId="0">
      <alignment horizontal="right"/>
    </xf>
    <xf numFmtId="0" fontId="19" fillId="0" borderId="0">
      <alignment horizontal="left"/>
    </xf>
    <xf numFmtId="49" fontId="11" fillId="0" borderId="0">
      <alignment horizontal="left" vertical="center"/>
    </xf>
    <xf numFmtId="49" fontId="12" fillId="0" borderId="8">
      <alignment horizontal="left"/>
    </xf>
    <xf numFmtId="165" fontId="11" fillId="0" borderId="0" applyNumberFormat="0">
      <alignment horizontal="right"/>
    </xf>
    <xf numFmtId="0" fontId="15" fillId="14" borderId="0">
      <alignment horizontal="centerContinuous" vertical="center" wrapText="1"/>
    </xf>
    <xf numFmtId="0" fontId="15" fillId="0" borderId="11">
      <alignment horizontal="left" vertical="center"/>
    </xf>
    <xf numFmtId="0" fontId="20" fillId="0" borderId="0">
      <alignment horizontal="left" vertical="top"/>
    </xf>
    <xf numFmtId="0" fontId="14" fillId="0" borderId="0">
      <alignment horizontal="left"/>
    </xf>
    <xf numFmtId="0" fontId="9" fillId="0" borderId="0">
      <alignment horizontal="left"/>
    </xf>
    <xf numFmtId="0" fontId="10" fillId="0" borderId="0">
      <alignment horizontal="left"/>
    </xf>
    <xf numFmtId="0" fontId="20" fillId="0" borderId="0">
      <alignment horizontal="left" vertical="top"/>
    </xf>
    <xf numFmtId="0" fontId="9" fillId="0" borderId="0">
      <alignment horizontal="left"/>
    </xf>
    <xf numFmtId="0" fontId="10" fillId="0" borderId="0">
      <alignment horizontal="left"/>
    </xf>
    <xf numFmtId="49" fontId="11" fillId="0" borderId="8">
      <alignment horizontal="left"/>
    </xf>
    <xf numFmtId="0" fontId="15" fillId="0" borderId="9">
      <alignment horizontal="left"/>
    </xf>
    <xf numFmtId="0" fontId="14" fillId="0" borderId="0">
      <alignment horizontal="left" vertical="center"/>
    </xf>
    <xf numFmtId="49" fontId="11" fillId="0" borderId="8">
      <alignment horizontal="left"/>
    </xf>
    <xf numFmtId="0" fontId="21" fillId="15" borderId="1" applyNumberFormat="0" applyAlignment="0" applyProtection="0"/>
    <xf numFmtId="0" fontId="22" fillId="16" borderId="12" applyNumberFormat="0" applyFont="0" applyAlignment="0" applyProtection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" fillId="16" borderId="12" applyNumberFormat="0" applyFont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23" fillId="0" borderId="2" xfId="2" applyFont="1" applyBorder="1" applyProtection="1">
      <protection locked="0"/>
    </xf>
    <xf numFmtId="44" fontId="24" fillId="0" borderId="3" xfId="3" applyFont="1" applyBorder="1" applyProtection="1">
      <protection locked="0"/>
    </xf>
    <xf numFmtId="0" fontId="23" fillId="0" borderId="0" xfId="2" applyFont="1" applyProtection="1">
      <protection locked="0"/>
    </xf>
    <xf numFmtId="0" fontId="23" fillId="0" borderId="4" xfId="2" applyFont="1" applyBorder="1" applyProtection="1">
      <protection locked="0"/>
    </xf>
    <xf numFmtId="9" fontId="23" fillId="0" borderId="5" xfId="2" applyNumberFormat="1" applyFont="1" applyBorder="1" applyProtection="1">
      <protection locked="0"/>
    </xf>
    <xf numFmtId="0" fontId="23" fillId="0" borderId="6" xfId="2" applyFont="1" applyBorder="1" applyProtection="1">
      <protection locked="0"/>
    </xf>
    <xf numFmtId="9" fontId="23" fillId="0" borderId="7" xfId="2" applyNumberFormat="1" applyFont="1" applyBorder="1" applyProtection="1">
      <protection locked="0"/>
    </xf>
    <xf numFmtId="0" fontId="23" fillId="0" borderId="0" xfId="2" applyFont="1" applyBorder="1" applyProtection="1">
      <protection locked="0"/>
    </xf>
    <xf numFmtId="9" fontId="23" fillId="0" borderId="0" xfId="2" applyNumberFormat="1" applyFont="1" applyBorder="1" applyProtection="1">
      <protection locked="0"/>
    </xf>
    <xf numFmtId="0" fontId="23" fillId="15" borderId="13" xfId="74" applyNumberFormat="1" applyFont="1" applyBorder="1" applyProtection="1">
      <protection locked="0"/>
    </xf>
    <xf numFmtId="44" fontId="23" fillId="0" borderId="5" xfId="2" applyNumberFormat="1" applyFont="1" applyBorder="1" applyProtection="1"/>
    <xf numFmtId="10" fontId="24" fillId="16" borderId="7" xfId="75" applyNumberFormat="1" applyFont="1" applyBorder="1" applyProtection="1"/>
    <xf numFmtId="167" fontId="0" fillId="0" borderId="0" xfId="0" applyNumberFormat="1"/>
    <xf numFmtId="167" fontId="23" fillId="0" borderId="14" xfId="2" applyNumberFormat="1" applyFont="1" applyBorder="1" applyProtection="1">
      <protection locked="0"/>
    </xf>
    <xf numFmtId="167" fontId="23" fillId="0" borderId="5" xfId="2" applyNumberFormat="1" applyFont="1" applyBorder="1" applyProtection="1">
      <protection locked="0"/>
    </xf>
    <xf numFmtId="167" fontId="23" fillId="0" borderId="0" xfId="2" applyNumberFormat="1" applyFont="1" applyProtection="1">
      <protection locked="0"/>
    </xf>
  </cellXfs>
  <cellStyles count="85">
    <cellStyle name="Accent1 - 20%" xfId="5"/>
    <cellStyle name="Accent1 - 40%" xfId="6"/>
    <cellStyle name="Accent1 - 60%" xfId="7"/>
    <cellStyle name="Accent2 - 20%" xfId="8"/>
    <cellStyle name="Accent2 - 40%" xfId="9"/>
    <cellStyle name="Accent2 - 60%" xfId="10"/>
    <cellStyle name="Accent3 - 20%" xfId="11"/>
    <cellStyle name="Accent3 - 40%" xfId="12"/>
    <cellStyle name="Accent3 - 60%" xfId="13"/>
    <cellStyle name="Accent4 - 20%" xfId="14"/>
    <cellStyle name="Accent4 - 40%" xfId="15"/>
    <cellStyle name="Accent4 - 60%" xfId="16"/>
    <cellStyle name="Accent5 - 20%" xfId="17"/>
    <cellStyle name="Accent5 - 40%" xfId="18"/>
    <cellStyle name="Accent5 - 60%" xfId="19"/>
    <cellStyle name="Accent6 - 20%" xfId="20"/>
    <cellStyle name="Accent6 - 40%" xfId="21"/>
    <cellStyle name="Accent6 - 60%" xfId="22"/>
    <cellStyle name="Column heading" xfId="23"/>
    <cellStyle name="Comma 2" xfId="24"/>
    <cellStyle name="Comma 3" xfId="82"/>
    <cellStyle name="Corner heading" xfId="25"/>
    <cellStyle name="Currency 2" xfId="3"/>
    <cellStyle name="Currency 3" xfId="26"/>
    <cellStyle name="Currency 4" xfId="27"/>
    <cellStyle name="Currency 5" xfId="77"/>
    <cellStyle name="Currency 6" xfId="81"/>
    <cellStyle name="Currency 7" xfId="84"/>
    <cellStyle name="Data" xfId="28"/>
    <cellStyle name="Data no deci" xfId="29"/>
    <cellStyle name="Data Superscript" xfId="30"/>
    <cellStyle name="Data_1-1A-Regular" xfId="31"/>
    <cellStyle name="Emphasis 1" xfId="32"/>
    <cellStyle name="Emphasis 2" xfId="33"/>
    <cellStyle name="Emphasis 3" xfId="34"/>
    <cellStyle name="Hed Side" xfId="35"/>
    <cellStyle name="Hed Side bold" xfId="36"/>
    <cellStyle name="Hed Side Indent" xfId="37"/>
    <cellStyle name="Hed Side Regular" xfId="38"/>
    <cellStyle name="Hed Side_1-1A-Regular" xfId="39"/>
    <cellStyle name="Hed Top" xfId="40"/>
    <cellStyle name="Hed Top - SECTION" xfId="41"/>
    <cellStyle name="Hed Top_3-new4" xfId="42"/>
    <cellStyle name="Input" xfId="74" builtinId="20"/>
    <cellStyle name="Normal" xfId="0" builtinId="0"/>
    <cellStyle name="Normal 2" xfId="1"/>
    <cellStyle name="Normal 2 2" xfId="43"/>
    <cellStyle name="Normal 2 3" xfId="44"/>
    <cellStyle name="Normal 2_E-UniqueLists" xfId="45"/>
    <cellStyle name="Normal 3" xfId="2"/>
    <cellStyle name="Normal 3 2" xfId="46"/>
    <cellStyle name="Normal 4" xfId="47"/>
    <cellStyle name="Normal 5" xfId="76"/>
    <cellStyle name="Normal 6" xfId="79"/>
    <cellStyle name="Normal 7" xfId="83"/>
    <cellStyle name="Note" xfId="75" builtinId="10"/>
    <cellStyle name="Note 2" xfId="80"/>
    <cellStyle name="Percent 2" xfId="4"/>
    <cellStyle name="Percent 2 2" xfId="48"/>
    <cellStyle name="Percent 3" xfId="49"/>
    <cellStyle name="Percent 3 2" xfId="50"/>
    <cellStyle name="Percent 4" xfId="78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183696</xdr:colOff>
      <xdr:row>0</xdr:row>
      <xdr:rowOff>129268</xdr:rowOff>
    </xdr:from>
    <xdr:to>
      <xdr:col>7</xdr:col>
      <xdr:colOff>380999</xdr:colOff>
      <xdr:row>4</xdr:row>
      <xdr:rowOff>6803</xdr:rowOff>
    </xdr:to>
    <xdr:sp macro="" textlink="">
      <xdr:nvSpPr>
        <xdr:cNvPr id="2" name="Rounded Rectangle 1"/>
        <xdr:cNvSpPr/>
      </xdr:nvSpPr>
      <xdr:spPr>
        <a:xfrm>
          <a:off x="3605892" y="129268"/>
          <a:ext cx="2496911" cy="646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Ctrl + Shift + 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4"/>
  <sheetViews>
    <sheetView tabSelected="1" zoomScale="160" zoomScaleNormal="160" workbookViewId="0">
      <selection activeCell="K13" sqref="K13"/>
    </sheetView>
  </sheetViews>
  <sheetFormatPr defaultRowHeight="15" x14ac:dyDescent="0.25"/>
  <cols>
    <col min="1" max="1" width="25.28515625" style="3" bestFit="1" customWidth="1"/>
    <col min="2" max="2" width="13.42578125" style="3" bestFit="1" customWidth="1"/>
    <col min="3" max="3" width="12.5703125" style="3" customWidth="1"/>
    <col min="4" max="4" width="9.140625" style="3" bestFit="1" customWidth="1"/>
    <col min="5" max="6" width="9" style="3" bestFit="1" customWidth="1"/>
    <col min="7" max="7" width="8.5703125" style="3" bestFit="1" customWidth="1"/>
    <col min="8" max="11" width="8" style="3" bestFit="1" customWidth="1"/>
    <col min="12" max="16384" width="9.140625" style="3"/>
  </cols>
  <sheetData>
    <row r="1" spans="1:12" x14ac:dyDescent="0.25">
      <c r="A1" s="1" t="s">
        <v>8</v>
      </c>
      <c r="B1" s="2">
        <v>100000</v>
      </c>
    </row>
    <row r="2" spans="1:12" x14ac:dyDescent="0.25">
      <c r="A2" s="4" t="s">
        <v>7</v>
      </c>
      <c r="B2" s="5">
        <v>0.08</v>
      </c>
    </row>
    <row r="3" spans="1:12" x14ac:dyDescent="0.25">
      <c r="A3" s="4" t="s">
        <v>0</v>
      </c>
      <c r="B3" s="5">
        <v>0.25</v>
      </c>
    </row>
    <row r="4" spans="1:12" ht="15.75" thickBot="1" x14ac:dyDescent="0.3">
      <c r="A4" s="6" t="s">
        <v>6</v>
      </c>
      <c r="B4" s="7">
        <v>0.1</v>
      </c>
    </row>
    <row r="5" spans="1:12" ht="15.75" thickBot="1" x14ac:dyDescent="0.3">
      <c r="A5" s="8"/>
      <c r="B5" s="9"/>
    </row>
    <row r="6" spans="1:12" ht="15.75" thickBot="1" x14ac:dyDescent="0.3">
      <c r="A6" s="1" t="s">
        <v>5</v>
      </c>
      <c r="B6" s="10">
        <v>10</v>
      </c>
      <c r="D6" s="13">
        <f>B11</f>
        <v>-3.1079083048554005E-2</v>
      </c>
      <c r="E6" s="14">
        <f t="shared" ref="E6:K6" si="0">COLUMN(D1)/100</f>
        <v>0.04</v>
      </c>
      <c r="F6" s="14">
        <f t="shared" si="0"/>
        <v>0.05</v>
      </c>
      <c r="G6" s="14">
        <f t="shared" si="0"/>
        <v>0.06</v>
      </c>
      <c r="H6" s="14">
        <f t="shared" si="0"/>
        <v>7.0000000000000007E-2</v>
      </c>
      <c r="I6" s="14">
        <f t="shared" si="0"/>
        <v>0.08</v>
      </c>
      <c r="J6" s="14">
        <f t="shared" si="0"/>
        <v>0.09</v>
      </c>
      <c r="K6" s="14">
        <f t="shared" si="0"/>
        <v>0.1</v>
      </c>
      <c r="L6" s="3" t="s">
        <v>7</v>
      </c>
    </row>
    <row r="7" spans="1:12" x14ac:dyDescent="0.25">
      <c r="A7" s="4" t="s">
        <v>3</v>
      </c>
      <c r="B7" s="11">
        <f>B1*(1-B4)^B6</f>
        <v>34867.844010000015</v>
      </c>
      <c r="D7" s="15">
        <f t="shared" ref="D7:D13" si="1">ROW(A4)/100</f>
        <v>0.04</v>
      </c>
      <c r="E7" s="16">
        <f t="dataTable" ref="E7:K13" dt2D="1" dtr="1" r1="B2" r2="B4"/>
        <v>-2.6339292703289247E-2</v>
      </c>
      <c r="F7" s="16">
        <v>2.9833440409982537E-2</v>
      </c>
      <c r="G7" s="16">
        <v>8.600617352325432E-2</v>
      </c>
      <c r="H7" s="16">
        <v>0.14217890663652619</v>
      </c>
      <c r="I7" s="16">
        <v>0.19835163974979789</v>
      </c>
      <c r="J7" s="16">
        <v>0.25452437286306967</v>
      </c>
      <c r="K7" s="16">
        <v>0.31069710597634143</v>
      </c>
    </row>
    <row r="8" spans="1:12" x14ac:dyDescent="0.25">
      <c r="A8" s="4" t="s">
        <v>4</v>
      </c>
      <c r="B8" s="11">
        <f>B1-B7</f>
        <v>65132.155989999985</v>
      </c>
      <c r="D8" s="15">
        <f t="shared" si="1"/>
        <v>0.05</v>
      </c>
      <c r="E8" s="16">
        <v>-7.226556069106832E-2</v>
      </c>
      <c r="F8" s="16">
        <v>-1.8742419961706881E-2</v>
      </c>
      <c r="G8" s="16">
        <v>3.4780720767654559E-2</v>
      </c>
      <c r="H8" s="16">
        <v>8.8303861497016078E-2</v>
      </c>
      <c r="I8" s="16">
        <v>0.14182700222637745</v>
      </c>
      <c r="J8" s="16">
        <v>0.19535014295573888</v>
      </c>
      <c r="K8" s="16">
        <v>0.24887328368510031</v>
      </c>
    </row>
    <row r="9" spans="1:12" x14ac:dyDescent="0.25">
      <c r="A9" s="4" t="s">
        <v>7</v>
      </c>
      <c r="B9" s="11">
        <f>B1*B2*B6</f>
        <v>80000</v>
      </c>
      <c r="D9" s="15">
        <f t="shared" si="1"/>
        <v>0.06</v>
      </c>
      <c r="E9" s="16">
        <v>-0.11043284179386294</v>
      </c>
      <c r="F9" s="16">
        <v>-5.9111659589662718E-2</v>
      </c>
      <c r="G9" s="16">
        <v>-7.790477385462501E-3</v>
      </c>
      <c r="H9" s="16">
        <v>4.3530704818737789E-2</v>
      </c>
      <c r="I9" s="16">
        <v>9.4851887022937925E-2</v>
      </c>
      <c r="J9" s="16">
        <v>0.14617306922713816</v>
      </c>
      <c r="K9" s="16">
        <v>0.19749425143133836</v>
      </c>
    </row>
    <row r="10" spans="1:12" x14ac:dyDescent="0.25">
      <c r="A10" s="4" t="s">
        <v>1</v>
      </c>
      <c r="B10" s="11">
        <f>B9*B3</f>
        <v>20000</v>
      </c>
      <c r="D10" s="15">
        <f t="shared" si="1"/>
        <v>7.0000000000000007E-2</v>
      </c>
      <c r="E10" s="16">
        <v>-0.14249021884354396</v>
      </c>
      <c r="F10" s="16">
        <v>-9.3018500699902265E-2</v>
      </c>
      <c r="G10" s="16">
        <v>-4.3546782556260565E-2</v>
      </c>
      <c r="H10" s="16">
        <v>5.9249355873811993E-3</v>
      </c>
      <c r="I10" s="16">
        <v>5.5396653731022823E-2</v>
      </c>
      <c r="J10" s="16">
        <v>0.10486837187466452</v>
      </c>
      <c r="K10" s="16">
        <v>0.1543400900183062</v>
      </c>
    </row>
    <row r="11" spans="1:12" ht="15.75" thickBot="1" x14ac:dyDescent="0.3">
      <c r="A11" s="6" t="s">
        <v>2</v>
      </c>
      <c r="B11" s="12">
        <f>(B9-B8-B10)/(B1+B8)</f>
        <v>-3.1079083048554005E-2</v>
      </c>
      <c r="D11" s="15">
        <f t="shared" si="1"/>
        <v>0.08</v>
      </c>
      <c r="E11" s="16">
        <v>-0.16965354304707442</v>
      </c>
      <c r="F11" s="16">
        <v>-0.12174893976132871</v>
      </c>
      <c r="G11" s="16">
        <v>-7.3844336475583E-2</v>
      </c>
      <c r="H11" s="16">
        <v>-2.5939733189837222E-2</v>
      </c>
      <c r="I11" s="16">
        <v>2.1964870095908414E-2</v>
      </c>
      <c r="J11" s="16">
        <v>6.9869473381654126E-2</v>
      </c>
      <c r="K11" s="16">
        <v>0.11777407666739984</v>
      </c>
    </row>
    <row r="12" spans="1:12" x14ac:dyDescent="0.25">
      <c r="A12" s="8"/>
      <c r="B12" s="9"/>
      <c r="D12" s="15">
        <f t="shared" si="1"/>
        <v>0.09</v>
      </c>
      <c r="E12" s="16">
        <v>-0.19283930838733437</v>
      </c>
      <c r="F12" s="16">
        <v>-0.14627234540968059</v>
      </c>
      <c r="G12" s="16">
        <v>-9.9705382432026812E-2</v>
      </c>
      <c r="H12" s="16">
        <v>-5.3138419454372955E-2</v>
      </c>
      <c r="I12" s="16">
        <v>-6.5714564767192386E-3</v>
      </c>
      <c r="J12" s="16">
        <v>3.9995506500934544E-2</v>
      </c>
      <c r="K12" s="16">
        <v>8.6562469478588325E-2</v>
      </c>
    </row>
    <row r="13" spans="1:12" x14ac:dyDescent="0.25">
      <c r="A13" s="8"/>
      <c r="B13" s="9"/>
      <c r="D13" s="15">
        <f t="shared" si="1"/>
        <v>0.1</v>
      </c>
      <c r="E13" s="16">
        <v>-0.21275175497695012</v>
      </c>
      <c r="F13" s="16">
        <v>-0.1673335869948511</v>
      </c>
      <c r="G13" s="16">
        <v>-0.12191541901275206</v>
      </c>
      <c r="H13" s="16">
        <v>-7.6497251030652968E-2</v>
      </c>
      <c r="I13" s="16">
        <v>-3.1079083048554005E-2</v>
      </c>
      <c r="J13" s="16">
        <v>1.4339084933545021E-2</v>
      </c>
      <c r="K13" s="16">
        <v>5.975725291564405E-2</v>
      </c>
    </row>
    <row r="14" spans="1:12" x14ac:dyDescent="0.25">
      <c r="A14" s="8"/>
      <c r="B14" s="9"/>
      <c r="D14" s="3" t="s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PresentationFormat/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ReturnOI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cp:revision/>
  <dcterms:created xsi:type="dcterms:W3CDTF">2012-12-16T11:14:23Z</dcterms:created>
  <dcterms:modified xsi:type="dcterms:W3CDTF">2016-11-14T16:27:57Z</dcterms:modified>
</cp:coreProperties>
</file>