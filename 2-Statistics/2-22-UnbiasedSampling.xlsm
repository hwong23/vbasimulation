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720" yWindow="330" windowWidth="22755" windowHeight="9750" tabRatio="736"/>
  </bookViews>
  <sheets>
    <sheet name="SampleTechniques" sheetId="17" r:id="rId1"/>
  </sheets>
  <calcPr calcId="152511" calcOnSave="0"/>
</workbook>
</file>

<file path=xl/calcChain.xml><?xml version="1.0" encoding="utf-8"?>
<calcChain xmlns="http://schemas.openxmlformats.org/spreadsheetml/2006/main">
  <c r="I4" i="17" l="1"/>
  <c r="I5" i="17"/>
  <c r="I6" i="17"/>
  <c r="I7" i="17"/>
  <c r="I8" i="17"/>
  <c r="I9" i="17"/>
  <c r="I10" i="17"/>
  <c r="I11" i="17"/>
  <c r="I12" i="17"/>
  <c r="I13" i="17"/>
  <c r="D1" i="17" l="1"/>
  <c r="G1" i="17"/>
  <c r="N5" i="17" l="1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4" i="17"/>
  <c r="K5" i="17" l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l="1"/>
  <c r="P4" i="17" l="1"/>
  <c r="Q4" i="17" s="1"/>
  <c r="P8" i="17"/>
  <c r="Q8" i="17" s="1"/>
  <c r="P12" i="17"/>
  <c r="Q12" i="17" s="1"/>
  <c r="P5" i="17"/>
  <c r="Q5" i="17" s="1"/>
  <c r="P9" i="17"/>
  <c r="Q9" i="17" s="1"/>
  <c r="P13" i="17"/>
  <c r="Q13" i="17" s="1"/>
  <c r="P6" i="17"/>
  <c r="Q6" i="17" s="1"/>
  <c r="P10" i="17"/>
  <c r="Q10" i="17" s="1"/>
  <c r="P7" i="17"/>
  <c r="Q7" i="17" s="1"/>
  <c r="P11" i="17"/>
  <c r="Q11" i="17" s="1"/>
</calcChain>
</file>

<file path=xl/sharedStrings.xml><?xml version="1.0" encoding="utf-8"?>
<sst xmlns="http://schemas.openxmlformats.org/spreadsheetml/2006/main" count="19" uniqueCount="15">
  <si>
    <t>area code</t>
  </si>
  <si>
    <t>weight</t>
  </si>
  <si>
    <t>cumul.</t>
  </si>
  <si>
    <t>sample of 10</t>
  </si>
  <si>
    <t>+</t>
  </si>
  <si>
    <t>++</t>
  </si>
  <si>
    <t>+++</t>
  </si>
  <si>
    <t>++++</t>
  </si>
  <si>
    <t>bar</t>
  </si>
  <si>
    <t>random</t>
  </si>
  <si>
    <t>weighted</t>
  </si>
  <si>
    <t>mere random</t>
  </si>
  <si>
    <t>10 weighted area codes</t>
  </si>
  <si>
    <t>Total</t>
  </si>
  <si>
    <t>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</si>
</sst>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0.000"/>
  </numFmts>
  <fonts count="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theme="1"/>
      <name val="Arial"/>
      <family val="2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name val="Verdana"/>
      <family val="2"/>
    </font>
    <font>
      <b/>
      <sz val="12"/>
      <color theme="0" tint="-0.34998626667073579"/>
      <name val="Arial"/>
      <family val="2"/>
    </font>
    <font>
      <b/>
      <sz val="11"/>
      <color theme="0" tint="-0.34998626667073579"/>
      <name val="Verdana"/>
      <family val="2"/>
    </font>
    <font>
      <b/>
      <sz val="12"/>
      <color theme="0" tint="-0.249977111117893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5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8" fillId="0" borderId="0">
      <alignment horizontal="right"/>
    </xf>
    <xf numFmtId="0" fontId="16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7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7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9" fontId="18" fillId="0" borderId="0" applyFont="0" applyFill="0" applyBorder="0" applyAlignment="0" applyProtection="0"/>
  </cellStyleXfs>
  <cellXfs count="39">
    <xf numFmtId="0" fontId="0" fillId="0" borderId="0" xfId="0"/>
    <xf numFmtId="0" fontId="20" fillId="0" borderId="0" xfId="44" applyFont="1" applyProtection="1">
      <protection locked="0"/>
    </xf>
    <xf numFmtId="0" fontId="19" fillId="0" borderId="0" xfId="0" applyFont="1" applyProtection="1">
      <protection locked="0"/>
    </xf>
    <xf numFmtId="0" fontId="20" fillId="0" borderId="0" xfId="44" applyFont="1" applyBorder="1" applyAlignment="1" applyProtection="1">
      <alignment horizontal="center"/>
      <protection locked="0"/>
    </xf>
    <xf numFmtId="0" fontId="20" fillId="0" borderId="0" xfId="44" applyFont="1" applyAlignment="1" applyProtection="1">
      <alignment horizontal="center"/>
      <protection locked="0"/>
    </xf>
    <xf numFmtId="0" fontId="20" fillId="0" borderId="11" xfId="44" applyFont="1" applyBorder="1" applyAlignment="1" applyProtection="1">
      <alignment horizontal="center"/>
      <protection locked="0"/>
    </xf>
    <xf numFmtId="9" fontId="20" fillId="0" borderId="0" xfId="74" applyFont="1" applyAlignment="1" applyProtection="1">
      <alignment horizontal="center"/>
      <protection locked="0"/>
    </xf>
    <xf numFmtId="9" fontId="19" fillId="0" borderId="0" xfId="0" applyNumberFormat="1" applyFont="1" applyProtection="1">
      <protection locked="0"/>
    </xf>
    <xf numFmtId="0" fontId="21" fillId="15" borderId="15" xfId="40" applyFont="1" applyFill="1" applyBorder="1" applyAlignment="1" applyProtection="1">
      <alignment horizontal="center" vertical="center"/>
      <protection locked="0"/>
    </xf>
    <xf numFmtId="167" fontId="20" fillId="0" borderId="15" xfId="44" applyNumberFormat="1" applyFont="1" applyBorder="1" applyProtection="1">
      <protection locked="0"/>
    </xf>
    <xf numFmtId="0" fontId="21" fillId="15" borderId="11" xfId="40" applyFont="1" applyFill="1" applyBorder="1" applyAlignment="1" applyProtection="1">
      <alignment horizontal="center" vertical="center"/>
      <protection locked="0"/>
    </xf>
    <xf numFmtId="0" fontId="19" fillId="0" borderId="0" xfId="0" applyFont="1" applyProtection="1"/>
    <xf numFmtId="0" fontId="21" fillId="0" borderId="0" xfId="40" applyFont="1" applyFill="1" applyBorder="1" applyAlignment="1" applyProtection="1">
      <alignment horizontal="center" vertical="center"/>
      <protection locked="0"/>
    </xf>
    <xf numFmtId="0" fontId="22" fillId="0" borderId="11" xfId="44" applyFont="1" applyBorder="1" applyProtection="1">
      <protection locked="0"/>
    </xf>
    <xf numFmtId="0" fontId="23" fillId="15" borderId="0" xfId="40" applyFont="1" applyFill="1" applyBorder="1" applyAlignment="1" applyProtection="1">
      <alignment horizontal="center" vertical="center"/>
      <protection locked="0"/>
    </xf>
    <xf numFmtId="0" fontId="22" fillId="0" borderId="0" xfId="44" applyFont="1" applyAlignment="1" applyProtection="1">
      <alignment horizontal="center"/>
      <protection locked="0"/>
    </xf>
    <xf numFmtId="0" fontId="22" fillId="0" borderId="0" xfId="44" applyFont="1" applyProtection="1"/>
    <xf numFmtId="0" fontId="21" fillId="15" borderId="0" xfId="40" applyFont="1" applyFill="1" applyBorder="1" applyAlignment="1" applyProtection="1">
      <alignment horizontal="center" vertical="center"/>
    </xf>
    <xf numFmtId="0" fontId="20" fillId="0" borderId="0" xfId="44" applyFont="1" applyProtection="1"/>
    <xf numFmtId="0" fontId="24" fillId="0" borderId="10" xfId="44" applyFont="1" applyBorder="1" applyProtection="1">
      <protection locked="0"/>
    </xf>
    <xf numFmtId="0" fontId="24" fillId="0" borderId="9" xfId="44" applyFont="1" applyBorder="1" applyProtection="1">
      <protection locked="0"/>
    </xf>
    <xf numFmtId="0" fontId="21" fillId="15" borderId="16" xfId="40" applyFont="1" applyFill="1" applyBorder="1" applyAlignment="1" applyProtection="1">
      <alignment horizontal="center" vertical="center"/>
      <protection locked="0"/>
    </xf>
    <xf numFmtId="167" fontId="20" fillId="0" borderId="16" xfId="44" applyNumberFormat="1" applyFont="1" applyBorder="1" applyProtection="1">
      <protection locked="0"/>
    </xf>
    <xf numFmtId="0" fontId="22" fillId="0" borderId="11" xfId="44" applyFont="1" applyBorder="1" applyProtection="1"/>
    <xf numFmtId="0" fontId="24" fillId="0" borderId="8" xfId="44" applyFont="1" applyBorder="1" applyProtection="1">
      <protection locked="0"/>
    </xf>
    <xf numFmtId="0" fontId="24" fillId="0" borderId="7" xfId="44" quotePrefix="1" applyFont="1" applyBorder="1" applyProtection="1">
      <protection locked="0"/>
    </xf>
    <xf numFmtId="0" fontId="24" fillId="0" borderId="6" xfId="44" applyFont="1" applyBorder="1" applyProtection="1">
      <protection locked="0"/>
    </xf>
    <xf numFmtId="0" fontId="24" fillId="0" borderId="5" xfId="44" quotePrefix="1" applyFont="1" applyBorder="1" applyProtection="1">
      <protection locked="0"/>
    </xf>
    <xf numFmtId="0" fontId="21" fillId="15" borderId="17" xfId="40" applyFont="1" applyFill="1" applyBorder="1" applyAlignment="1" applyProtection="1">
      <alignment horizontal="center" vertical="center"/>
      <protection locked="0"/>
    </xf>
    <xf numFmtId="167" fontId="20" fillId="0" borderId="17" xfId="44" applyNumberFormat="1" applyFont="1" applyBorder="1" applyProtection="1">
      <protection locked="0"/>
    </xf>
    <xf numFmtId="0" fontId="21" fillId="15" borderId="0" xfId="40" applyFont="1" applyFill="1" applyBorder="1" applyAlignment="1" applyProtection="1">
      <alignment horizontal="center" vertical="center"/>
      <protection locked="0"/>
    </xf>
    <xf numFmtId="167" fontId="20" fillId="0" borderId="0" xfId="44" applyNumberFormat="1" applyFont="1" applyBorder="1" applyProtection="1">
      <protection locked="0"/>
    </xf>
    <xf numFmtId="167" fontId="20" fillId="0" borderId="0" xfId="44" applyNumberFormat="1" applyFont="1" applyProtection="1">
      <protection locked="0"/>
    </xf>
    <xf numFmtId="0" fontId="22" fillId="0" borderId="0" xfId="44" applyFont="1" applyProtection="1">
      <protection locked="0"/>
    </xf>
    <xf numFmtId="0" fontId="20" fillId="0" borderId="11" xfId="44" applyFont="1" applyBorder="1" applyProtection="1">
      <protection locked="0"/>
    </xf>
    <xf numFmtId="0" fontId="20" fillId="0" borderId="0" xfId="44" applyFont="1" applyAlignment="1" applyProtection="1">
      <alignment horizontal="center"/>
      <protection locked="0"/>
    </xf>
    <xf numFmtId="0" fontId="20" fillId="0" borderId="12" xfId="44" applyFont="1" applyBorder="1" applyAlignment="1" applyProtection="1">
      <alignment horizontal="center"/>
      <protection locked="0"/>
    </xf>
    <xf numFmtId="0" fontId="20" fillId="0" borderId="13" xfId="44" applyFont="1" applyBorder="1" applyAlignment="1" applyProtection="1">
      <alignment horizontal="center"/>
      <protection locked="0"/>
    </xf>
    <xf numFmtId="0" fontId="20" fillId="0" borderId="14" xfId="44" applyFont="1" applyBorder="1" applyAlignment="1" applyProtection="1">
      <alignment horizontal="center"/>
      <protection locked="0"/>
    </xf>
  </cellXfs>
  <cellStyles count="7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" xfId="74" builtinId="5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390525</xdr:colOff>
      <xdr:row>24</xdr:row>
      <xdr:rowOff>180975</xdr:rowOff>
    </xdr:from>
    <xdr:to>
      <xdr:col>14</xdr:col>
      <xdr:colOff>200025</xdr:colOff>
      <xdr:row>28</xdr:row>
      <xdr:rowOff>38100</xdr:rowOff>
    </xdr:to>
    <xdr:sp macro="" textlink="">
      <xdr:nvSpPr>
        <xdr:cNvPr id="2" name="Rounded Rectangle 1"/>
        <xdr:cNvSpPr/>
      </xdr:nvSpPr>
      <xdr:spPr>
        <a:xfrm>
          <a:off x="6819900" y="5019675"/>
          <a:ext cx="2095500" cy="657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70"/>
  <sheetViews>
    <sheetView tabSelected="1" workbookViewId="0">
      <selection sqref="A1:B1"/>
    </sheetView>
  </sheetViews>
  <sheetFormatPr defaultRowHeight="15.75" x14ac:dyDescent="0.25"/>
  <cols>
    <col min="1" max="1" width="11.42578125" style="1" bestFit="1" customWidth="1"/>
    <col min="2" max="2" width="8.85546875" style="4" bestFit="1" customWidth="1"/>
    <col min="3" max="3" width="9.140625" style="1"/>
    <col min="4" max="4" width="11.42578125" style="5" bestFit="1" customWidth="1"/>
    <col min="5" max="6" width="9.140625" style="2"/>
    <col min="7" max="7" width="11.42578125" style="5" bestFit="1" customWidth="1"/>
    <col min="8" max="9" width="9.140625" style="1"/>
    <col min="10" max="10" width="7.5703125" style="34" bestFit="1" customWidth="1"/>
    <col min="11" max="11" width="8.7109375" style="1" customWidth="1"/>
    <col min="12" max="12" width="11.42578125" style="1" bestFit="1" customWidth="1"/>
    <col min="13" max="13" width="7.7109375" style="1" customWidth="1"/>
    <col min="14" max="14" width="6.42578125" style="1" bestFit="1" customWidth="1"/>
    <col min="15" max="15" width="10.5703125" style="1" customWidth="1"/>
    <col min="16" max="16" width="14.28515625" style="1" bestFit="1" customWidth="1"/>
    <col min="17" max="17" width="10.28515625" style="1" bestFit="1" customWidth="1"/>
    <col min="18" max="18" width="4" style="1" customWidth="1"/>
    <col min="19" max="19" width="6.42578125" style="1" bestFit="1" customWidth="1"/>
    <col min="20" max="256" width="9.140625" style="1"/>
    <col min="257" max="257" width="14.28515625" style="1" bestFit="1" customWidth="1"/>
    <col min="258" max="260" width="9.140625" style="1"/>
    <col min="261" max="261" width="17.5703125" style="1" bestFit="1" customWidth="1"/>
    <col min="262" max="512" width="9.140625" style="1"/>
    <col min="513" max="513" width="14.28515625" style="1" bestFit="1" customWidth="1"/>
    <col min="514" max="516" width="9.140625" style="1"/>
    <col min="517" max="517" width="17.5703125" style="1" bestFit="1" customWidth="1"/>
    <col min="518" max="768" width="9.140625" style="1"/>
    <col min="769" max="769" width="14.28515625" style="1" bestFit="1" customWidth="1"/>
    <col min="770" max="772" width="9.140625" style="1"/>
    <col min="773" max="773" width="17.5703125" style="1" bestFit="1" customWidth="1"/>
    <col min="774" max="1024" width="9.140625" style="1"/>
    <col min="1025" max="1025" width="14.28515625" style="1" bestFit="1" customWidth="1"/>
    <col min="1026" max="1028" width="9.140625" style="1"/>
    <col min="1029" max="1029" width="17.5703125" style="1" bestFit="1" customWidth="1"/>
    <col min="1030" max="1280" width="9.140625" style="1"/>
    <col min="1281" max="1281" width="14.28515625" style="1" bestFit="1" customWidth="1"/>
    <col min="1282" max="1284" width="9.140625" style="1"/>
    <col min="1285" max="1285" width="17.5703125" style="1" bestFit="1" customWidth="1"/>
    <col min="1286" max="1536" width="9.140625" style="1"/>
    <col min="1537" max="1537" width="14.28515625" style="1" bestFit="1" customWidth="1"/>
    <col min="1538" max="1540" width="9.140625" style="1"/>
    <col min="1541" max="1541" width="17.5703125" style="1" bestFit="1" customWidth="1"/>
    <col min="1542" max="1792" width="9.140625" style="1"/>
    <col min="1793" max="1793" width="14.28515625" style="1" bestFit="1" customWidth="1"/>
    <col min="1794" max="1796" width="9.140625" style="1"/>
    <col min="1797" max="1797" width="17.5703125" style="1" bestFit="1" customWidth="1"/>
    <col min="1798" max="2048" width="9.140625" style="1"/>
    <col min="2049" max="2049" width="14.28515625" style="1" bestFit="1" customWidth="1"/>
    <col min="2050" max="2052" width="9.140625" style="1"/>
    <col min="2053" max="2053" width="17.5703125" style="1" bestFit="1" customWidth="1"/>
    <col min="2054" max="2304" width="9.140625" style="1"/>
    <col min="2305" max="2305" width="14.28515625" style="1" bestFit="1" customWidth="1"/>
    <col min="2306" max="2308" width="9.140625" style="1"/>
    <col min="2309" max="2309" width="17.5703125" style="1" bestFit="1" customWidth="1"/>
    <col min="2310" max="2560" width="9.140625" style="1"/>
    <col min="2561" max="2561" width="14.28515625" style="1" bestFit="1" customWidth="1"/>
    <col min="2562" max="2564" width="9.140625" style="1"/>
    <col min="2565" max="2565" width="17.5703125" style="1" bestFit="1" customWidth="1"/>
    <col min="2566" max="2816" width="9.140625" style="1"/>
    <col min="2817" max="2817" width="14.28515625" style="1" bestFit="1" customWidth="1"/>
    <col min="2818" max="2820" width="9.140625" style="1"/>
    <col min="2821" max="2821" width="17.5703125" style="1" bestFit="1" customWidth="1"/>
    <col min="2822" max="3072" width="9.140625" style="1"/>
    <col min="3073" max="3073" width="14.28515625" style="1" bestFit="1" customWidth="1"/>
    <col min="3074" max="3076" width="9.140625" style="1"/>
    <col min="3077" max="3077" width="17.5703125" style="1" bestFit="1" customWidth="1"/>
    <col min="3078" max="3328" width="9.140625" style="1"/>
    <col min="3329" max="3329" width="14.28515625" style="1" bestFit="1" customWidth="1"/>
    <col min="3330" max="3332" width="9.140625" style="1"/>
    <col min="3333" max="3333" width="17.5703125" style="1" bestFit="1" customWidth="1"/>
    <col min="3334" max="3584" width="9.140625" style="1"/>
    <col min="3585" max="3585" width="14.28515625" style="1" bestFit="1" customWidth="1"/>
    <col min="3586" max="3588" width="9.140625" style="1"/>
    <col min="3589" max="3589" width="17.5703125" style="1" bestFit="1" customWidth="1"/>
    <col min="3590" max="3840" width="9.140625" style="1"/>
    <col min="3841" max="3841" width="14.28515625" style="1" bestFit="1" customWidth="1"/>
    <col min="3842" max="3844" width="9.140625" style="1"/>
    <col min="3845" max="3845" width="17.5703125" style="1" bestFit="1" customWidth="1"/>
    <col min="3846" max="4096" width="9.140625" style="1"/>
    <col min="4097" max="4097" width="14.28515625" style="1" bestFit="1" customWidth="1"/>
    <col min="4098" max="4100" width="9.140625" style="1"/>
    <col min="4101" max="4101" width="17.5703125" style="1" bestFit="1" customWidth="1"/>
    <col min="4102" max="4352" width="9.140625" style="1"/>
    <col min="4353" max="4353" width="14.28515625" style="1" bestFit="1" customWidth="1"/>
    <col min="4354" max="4356" width="9.140625" style="1"/>
    <col min="4357" max="4357" width="17.5703125" style="1" bestFit="1" customWidth="1"/>
    <col min="4358" max="4608" width="9.140625" style="1"/>
    <col min="4609" max="4609" width="14.28515625" style="1" bestFit="1" customWidth="1"/>
    <col min="4610" max="4612" width="9.140625" style="1"/>
    <col min="4613" max="4613" width="17.5703125" style="1" bestFit="1" customWidth="1"/>
    <col min="4614" max="4864" width="9.140625" style="1"/>
    <col min="4865" max="4865" width="14.28515625" style="1" bestFit="1" customWidth="1"/>
    <col min="4866" max="4868" width="9.140625" style="1"/>
    <col min="4869" max="4869" width="17.5703125" style="1" bestFit="1" customWidth="1"/>
    <col min="4870" max="5120" width="9.140625" style="1"/>
    <col min="5121" max="5121" width="14.28515625" style="1" bestFit="1" customWidth="1"/>
    <col min="5122" max="5124" width="9.140625" style="1"/>
    <col min="5125" max="5125" width="17.5703125" style="1" bestFit="1" customWidth="1"/>
    <col min="5126" max="5376" width="9.140625" style="1"/>
    <col min="5377" max="5377" width="14.28515625" style="1" bestFit="1" customWidth="1"/>
    <col min="5378" max="5380" width="9.140625" style="1"/>
    <col min="5381" max="5381" width="17.5703125" style="1" bestFit="1" customWidth="1"/>
    <col min="5382" max="5632" width="9.140625" style="1"/>
    <col min="5633" max="5633" width="14.28515625" style="1" bestFit="1" customWidth="1"/>
    <col min="5634" max="5636" width="9.140625" style="1"/>
    <col min="5637" max="5637" width="17.5703125" style="1" bestFit="1" customWidth="1"/>
    <col min="5638" max="5888" width="9.140625" style="1"/>
    <col min="5889" max="5889" width="14.28515625" style="1" bestFit="1" customWidth="1"/>
    <col min="5890" max="5892" width="9.140625" style="1"/>
    <col min="5893" max="5893" width="17.5703125" style="1" bestFit="1" customWidth="1"/>
    <col min="5894" max="6144" width="9.140625" style="1"/>
    <col min="6145" max="6145" width="14.28515625" style="1" bestFit="1" customWidth="1"/>
    <col min="6146" max="6148" width="9.140625" style="1"/>
    <col min="6149" max="6149" width="17.5703125" style="1" bestFit="1" customWidth="1"/>
    <col min="6150" max="6400" width="9.140625" style="1"/>
    <col min="6401" max="6401" width="14.28515625" style="1" bestFit="1" customWidth="1"/>
    <col min="6402" max="6404" width="9.140625" style="1"/>
    <col min="6405" max="6405" width="17.5703125" style="1" bestFit="1" customWidth="1"/>
    <col min="6406" max="6656" width="9.140625" style="1"/>
    <col min="6657" max="6657" width="14.28515625" style="1" bestFit="1" customWidth="1"/>
    <col min="6658" max="6660" width="9.140625" style="1"/>
    <col min="6661" max="6661" width="17.5703125" style="1" bestFit="1" customWidth="1"/>
    <col min="6662" max="6912" width="9.140625" style="1"/>
    <col min="6913" max="6913" width="14.28515625" style="1" bestFit="1" customWidth="1"/>
    <col min="6914" max="6916" width="9.140625" style="1"/>
    <col min="6917" max="6917" width="17.5703125" style="1" bestFit="1" customWidth="1"/>
    <col min="6918" max="7168" width="9.140625" style="1"/>
    <col min="7169" max="7169" width="14.28515625" style="1" bestFit="1" customWidth="1"/>
    <col min="7170" max="7172" width="9.140625" style="1"/>
    <col min="7173" max="7173" width="17.5703125" style="1" bestFit="1" customWidth="1"/>
    <col min="7174" max="7424" width="9.140625" style="1"/>
    <col min="7425" max="7425" width="14.28515625" style="1" bestFit="1" customWidth="1"/>
    <col min="7426" max="7428" width="9.140625" style="1"/>
    <col min="7429" max="7429" width="17.5703125" style="1" bestFit="1" customWidth="1"/>
    <col min="7430" max="7680" width="9.140625" style="1"/>
    <col min="7681" max="7681" width="14.28515625" style="1" bestFit="1" customWidth="1"/>
    <col min="7682" max="7684" width="9.140625" style="1"/>
    <col min="7685" max="7685" width="17.5703125" style="1" bestFit="1" customWidth="1"/>
    <col min="7686" max="7936" width="9.140625" style="1"/>
    <col min="7937" max="7937" width="14.28515625" style="1" bestFit="1" customWidth="1"/>
    <col min="7938" max="7940" width="9.140625" style="1"/>
    <col min="7941" max="7941" width="17.5703125" style="1" bestFit="1" customWidth="1"/>
    <col min="7942" max="8192" width="9.140625" style="1"/>
    <col min="8193" max="8193" width="14.28515625" style="1" bestFit="1" customWidth="1"/>
    <col min="8194" max="8196" width="9.140625" style="1"/>
    <col min="8197" max="8197" width="17.5703125" style="1" bestFit="1" customWidth="1"/>
    <col min="8198" max="8448" width="9.140625" style="1"/>
    <col min="8449" max="8449" width="14.28515625" style="1" bestFit="1" customWidth="1"/>
    <col min="8450" max="8452" width="9.140625" style="1"/>
    <col min="8453" max="8453" width="17.5703125" style="1" bestFit="1" customWidth="1"/>
    <col min="8454" max="8704" width="9.140625" style="1"/>
    <col min="8705" max="8705" width="14.28515625" style="1" bestFit="1" customWidth="1"/>
    <col min="8706" max="8708" width="9.140625" style="1"/>
    <col min="8709" max="8709" width="17.5703125" style="1" bestFit="1" customWidth="1"/>
    <col min="8710" max="8960" width="9.140625" style="1"/>
    <col min="8961" max="8961" width="14.28515625" style="1" bestFit="1" customWidth="1"/>
    <col min="8962" max="8964" width="9.140625" style="1"/>
    <col min="8965" max="8965" width="17.5703125" style="1" bestFit="1" customWidth="1"/>
    <col min="8966" max="9216" width="9.140625" style="1"/>
    <col min="9217" max="9217" width="14.28515625" style="1" bestFit="1" customWidth="1"/>
    <col min="9218" max="9220" width="9.140625" style="1"/>
    <col min="9221" max="9221" width="17.5703125" style="1" bestFit="1" customWidth="1"/>
    <col min="9222" max="9472" width="9.140625" style="1"/>
    <col min="9473" max="9473" width="14.28515625" style="1" bestFit="1" customWidth="1"/>
    <col min="9474" max="9476" width="9.140625" style="1"/>
    <col min="9477" max="9477" width="17.5703125" style="1" bestFit="1" customWidth="1"/>
    <col min="9478" max="9728" width="9.140625" style="1"/>
    <col min="9729" max="9729" width="14.28515625" style="1" bestFit="1" customWidth="1"/>
    <col min="9730" max="9732" width="9.140625" style="1"/>
    <col min="9733" max="9733" width="17.5703125" style="1" bestFit="1" customWidth="1"/>
    <col min="9734" max="9984" width="9.140625" style="1"/>
    <col min="9985" max="9985" width="14.28515625" style="1" bestFit="1" customWidth="1"/>
    <col min="9986" max="9988" width="9.140625" style="1"/>
    <col min="9989" max="9989" width="17.5703125" style="1" bestFit="1" customWidth="1"/>
    <col min="9990" max="10240" width="9.140625" style="1"/>
    <col min="10241" max="10241" width="14.28515625" style="1" bestFit="1" customWidth="1"/>
    <col min="10242" max="10244" width="9.140625" style="1"/>
    <col min="10245" max="10245" width="17.5703125" style="1" bestFit="1" customWidth="1"/>
    <col min="10246" max="10496" width="9.140625" style="1"/>
    <col min="10497" max="10497" width="14.28515625" style="1" bestFit="1" customWidth="1"/>
    <col min="10498" max="10500" width="9.140625" style="1"/>
    <col min="10501" max="10501" width="17.5703125" style="1" bestFit="1" customWidth="1"/>
    <col min="10502" max="10752" width="9.140625" style="1"/>
    <col min="10753" max="10753" width="14.28515625" style="1" bestFit="1" customWidth="1"/>
    <col min="10754" max="10756" width="9.140625" style="1"/>
    <col min="10757" max="10757" width="17.5703125" style="1" bestFit="1" customWidth="1"/>
    <col min="10758" max="11008" width="9.140625" style="1"/>
    <col min="11009" max="11009" width="14.28515625" style="1" bestFit="1" customWidth="1"/>
    <col min="11010" max="11012" width="9.140625" style="1"/>
    <col min="11013" max="11013" width="17.5703125" style="1" bestFit="1" customWidth="1"/>
    <col min="11014" max="11264" width="9.140625" style="1"/>
    <col min="11265" max="11265" width="14.28515625" style="1" bestFit="1" customWidth="1"/>
    <col min="11266" max="11268" width="9.140625" style="1"/>
    <col min="11269" max="11269" width="17.5703125" style="1" bestFit="1" customWidth="1"/>
    <col min="11270" max="11520" width="9.140625" style="1"/>
    <col min="11521" max="11521" width="14.28515625" style="1" bestFit="1" customWidth="1"/>
    <col min="11522" max="11524" width="9.140625" style="1"/>
    <col min="11525" max="11525" width="17.5703125" style="1" bestFit="1" customWidth="1"/>
    <col min="11526" max="11776" width="9.140625" style="1"/>
    <col min="11777" max="11777" width="14.28515625" style="1" bestFit="1" customWidth="1"/>
    <col min="11778" max="11780" width="9.140625" style="1"/>
    <col min="11781" max="11781" width="17.5703125" style="1" bestFit="1" customWidth="1"/>
    <col min="11782" max="12032" width="9.140625" style="1"/>
    <col min="12033" max="12033" width="14.28515625" style="1" bestFit="1" customWidth="1"/>
    <col min="12034" max="12036" width="9.140625" style="1"/>
    <col min="12037" max="12037" width="17.5703125" style="1" bestFit="1" customWidth="1"/>
    <col min="12038" max="12288" width="9.140625" style="1"/>
    <col min="12289" max="12289" width="14.28515625" style="1" bestFit="1" customWidth="1"/>
    <col min="12290" max="12292" width="9.140625" style="1"/>
    <col min="12293" max="12293" width="17.5703125" style="1" bestFit="1" customWidth="1"/>
    <col min="12294" max="12544" width="9.140625" style="1"/>
    <col min="12545" max="12545" width="14.28515625" style="1" bestFit="1" customWidth="1"/>
    <col min="12546" max="12548" width="9.140625" style="1"/>
    <col min="12549" max="12549" width="17.5703125" style="1" bestFit="1" customWidth="1"/>
    <col min="12550" max="12800" width="9.140625" style="1"/>
    <col min="12801" max="12801" width="14.28515625" style="1" bestFit="1" customWidth="1"/>
    <col min="12802" max="12804" width="9.140625" style="1"/>
    <col min="12805" max="12805" width="17.5703125" style="1" bestFit="1" customWidth="1"/>
    <col min="12806" max="13056" width="9.140625" style="1"/>
    <col min="13057" max="13057" width="14.28515625" style="1" bestFit="1" customWidth="1"/>
    <col min="13058" max="13060" width="9.140625" style="1"/>
    <col min="13061" max="13061" width="17.5703125" style="1" bestFit="1" customWidth="1"/>
    <col min="13062" max="13312" width="9.140625" style="1"/>
    <col min="13313" max="13313" width="14.28515625" style="1" bestFit="1" customWidth="1"/>
    <col min="13314" max="13316" width="9.140625" style="1"/>
    <col min="13317" max="13317" width="17.5703125" style="1" bestFit="1" customWidth="1"/>
    <col min="13318" max="13568" width="9.140625" style="1"/>
    <col min="13569" max="13569" width="14.28515625" style="1" bestFit="1" customWidth="1"/>
    <col min="13570" max="13572" width="9.140625" style="1"/>
    <col min="13573" max="13573" width="17.5703125" style="1" bestFit="1" customWidth="1"/>
    <col min="13574" max="13824" width="9.140625" style="1"/>
    <col min="13825" max="13825" width="14.28515625" style="1" bestFit="1" customWidth="1"/>
    <col min="13826" max="13828" width="9.140625" style="1"/>
    <col min="13829" max="13829" width="17.5703125" style="1" bestFit="1" customWidth="1"/>
    <col min="13830" max="14080" width="9.140625" style="1"/>
    <col min="14081" max="14081" width="14.28515625" style="1" bestFit="1" customWidth="1"/>
    <col min="14082" max="14084" width="9.140625" style="1"/>
    <col min="14085" max="14085" width="17.5703125" style="1" bestFit="1" customWidth="1"/>
    <col min="14086" max="14336" width="9.140625" style="1"/>
    <col min="14337" max="14337" width="14.28515625" style="1" bestFit="1" customWidth="1"/>
    <col min="14338" max="14340" width="9.140625" style="1"/>
    <col min="14341" max="14341" width="17.5703125" style="1" bestFit="1" customWidth="1"/>
    <col min="14342" max="14592" width="9.140625" style="1"/>
    <col min="14593" max="14593" width="14.28515625" style="1" bestFit="1" customWidth="1"/>
    <col min="14594" max="14596" width="9.140625" style="1"/>
    <col min="14597" max="14597" width="17.5703125" style="1" bestFit="1" customWidth="1"/>
    <col min="14598" max="14848" width="9.140625" style="1"/>
    <col min="14849" max="14849" width="14.28515625" style="1" bestFit="1" customWidth="1"/>
    <col min="14850" max="14852" width="9.140625" style="1"/>
    <col min="14853" max="14853" width="17.5703125" style="1" bestFit="1" customWidth="1"/>
    <col min="14854" max="15104" width="9.140625" style="1"/>
    <col min="15105" max="15105" width="14.28515625" style="1" bestFit="1" customWidth="1"/>
    <col min="15106" max="15108" width="9.140625" style="1"/>
    <col min="15109" max="15109" width="17.5703125" style="1" bestFit="1" customWidth="1"/>
    <col min="15110" max="15360" width="9.140625" style="1"/>
    <col min="15361" max="15361" width="14.28515625" style="1" bestFit="1" customWidth="1"/>
    <col min="15362" max="15364" width="9.140625" style="1"/>
    <col min="15365" max="15365" width="17.5703125" style="1" bestFit="1" customWidth="1"/>
    <col min="15366" max="15616" width="9.140625" style="1"/>
    <col min="15617" max="15617" width="14.28515625" style="1" bestFit="1" customWidth="1"/>
    <col min="15618" max="15620" width="9.140625" style="1"/>
    <col min="15621" max="15621" width="17.5703125" style="1" bestFit="1" customWidth="1"/>
    <col min="15622" max="15872" width="9.140625" style="1"/>
    <col min="15873" max="15873" width="14.28515625" style="1" bestFit="1" customWidth="1"/>
    <col min="15874" max="15876" width="9.140625" style="1"/>
    <col min="15877" max="15877" width="17.5703125" style="1" bestFit="1" customWidth="1"/>
    <col min="15878" max="16128" width="9.140625" style="1"/>
    <col min="16129" max="16129" width="14.28515625" style="1" bestFit="1" customWidth="1"/>
    <col min="16130" max="16132" width="9.140625" style="1"/>
    <col min="16133" max="16133" width="17.5703125" style="1" bestFit="1" customWidth="1"/>
    <col min="16134" max="16384" width="9.140625" style="1"/>
  </cols>
  <sheetData>
    <row r="1" spans="1:20" ht="16.5" thickBot="1" x14ac:dyDescent="0.3">
      <c r="A1" s="36" t="s">
        <v>11</v>
      </c>
      <c r="B1" s="37"/>
      <c r="D1" s="36" t="str">
        <f>E3&amp;" of random"</f>
        <v>0.25 of random</v>
      </c>
      <c r="E1" s="37"/>
      <c r="G1" s="36" t="str">
        <f>"only "&amp;I3&amp;" codes"</f>
        <v>only 10 codes</v>
      </c>
      <c r="H1" s="37"/>
      <c r="I1" s="3"/>
      <c r="J1" s="1"/>
      <c r="K1" s="36" t="s">
        <v>12</v>
      </c>
      <c r="L1" s="38"/>
      <c r="M1" s="38"/>
      <c r="N1" s="38"/>
      <c r="O1" s="38"/>
      <c r="P1" s="38"/>
      <c r="Q1" s="38"/>
      <c r="R1" s="38"/>
      <c r="S1" s="38"/>
      <c r="T1" s="37"/>
    </row>
    <row r="2" spans="1:20" x14ac:dyDescent="0.25">
      <c r="A2" s="3"/>
      <c r="B2" s="3"/>
      <c r="D2" s="3"/>
      <c r="E2" s="3"/>
      <c r="G2" s="3"/>
      <c r="H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20" ht="16.5" thickBot="1" x14ac:dyDescent="0.3">
      <c r="A3" s="4" t="s">
        <v>0</v>
      </c>
      <c r="B3" s="4" t="s">
        <v>9</v>
      </c>
      <c r="D3" s="5" t="s">
        <v>0</v>
      </c>
      <c r="E3" s="6">
        <v>0.25</v>
      </c>
      <c r="F3" s="7"/>
      <c r="G3" s="5" t="s">
        <v>0</v>
      </c>
      <c r="H3" s="3" t="s">
        <v>14</v>
      </c>
      <c r="I3" s="4">
        <v>10</v>
      </c>
      <c r="J3" s="1"/>
      <c r="K3" s="5" t="s">
        <v>2</v>
      </c>
      <c r="L3" s="4" t="s">
        <v>0</v>
      </c>
      <c r="M3" s="4" t="s">
        <v>1</v>
      </c>
      <c r="N3" s="4" t="s">
        <v>8</v>
      </c>
      <c r="O3" s="4"/>
      <c r="P3" s="4" t="s">
        <v>3</v>
      </c>
      <c r="Q3" s="4" t="s">
        <v>10</v>
      </c>
    </row>
    <row r="4" spans="1:20" x14ac:dyDescent="0.25">
      <c r="A4" s="8">
        <v>206</v>
      </c>
      <c r="B4" s="9">
        <v>7.1672919034539984E-3</v>
      </c>
      <c r="D4" s="10">
        <v>906</v>
      </c>
      <c r="E4" s="11" t="b">
        <v>1</v>
      </c>
      <c r="G4" s="10">
        <v>201</v>
      </c>
      <c r="H4" s="12">
        <v>0.17999574299257259</v>
      </c>
      <c r="I4" s="1">
        <f t="shared" ref="I4:I13" si="0">INDEX($G$4:$G$270,RANK(H4,$H$4:$H$270))</f>
        <v>843</v>
      </c>
      <c r="J4" s="1"/>
      <c r="K4" s="13">
        <v>0</v>
      </c>
      <c r="L4" s="14">
        <v>201</v>
      </c>
      <c r="M4" s="15">
        <v>1</v>
      </c>
      <c r="N4" s="16" t="str">
        <f>REPT("+",M4)</f>
        <v>+</v>
      </c>
      <c r="P4" s="17">
        <f t="shared" ref="P4:P13" ca="1" si="1">VLOOKUP($K$24*RAND(), $K$4:$L$24, 2)</f>
        <v>213</v>
      </c>
      <c r="Q4" s="18" t="str">
        <f t="shared" ref="Q4:Q13" ca="1" si="2">VLOOKUP(P4,$L$4:$N$23,3,0)</f>
        <v>++++</v>
      </c>
      <c r="S4" s="19">
        <v>1</v>
      </c>
      <c r="T4" s="20" t="s">
        <v>4</v>
      </c>
    </row>
    <row r="5" spans="1:20" x14ac:dyDescent="0.25">
      <c r="A5" s="21">
        <v>570</v>
      </c>
      <c r="B5" s="22">
        <v>8.7948872033355441E-3</v>
      </c>
      <c r="D5" s="10">
        <v>515</v>
      </c>
      <c r="E5" s="11" t="b">
        <v>1</v>
      </c>
      <c r="G5" s="10">
        <v>202</v>
      </c>
      <c r="H5" s="12">
        <v>0.91340987833665077</v>
      </c>
      <c r="I5" s="1">
        <f t="shared" si="0"/>
        <v>225</v>
      </c>
      <c r="J5" s="1"/>
      <c r="K5" s="23">
        <f>K4+M4</f>
        <v>1</v>
      </c>
      <c r="L5" s="14">
        <v>202</v>
      </c>
      <c r="M5" s="15">
        <v>4</v>
      </c>
      <c r="N5" s="16" t="str">
        <f t="shared" ref="N5:N23" si="3">REPT("+",M5)</f>
        <v>++++</v>
      </c>
      <c r="P5" s="17">
        <f t="shared" ca="1" si="1"/>
        <v>206</v>
      </c>
      <c r="Q5" s="18" t="str">
        <f t="shared" ca="1" si="2"/>
        <v>+</v>
      </c>
      <c r="S5" s="24">
        <v>2</v>
      </c>
      <c r="T5" s="25" t="s">
        <v>5</v>
      </c>
    </row>
    <row r="6" spans="1:20" x14ac:dyDescent="0.25">
      <c r="A6" s="21">
        <v>664</v>
      </c>
      <c r="B6" s="22">
        <v>1.0297504528254842E-2</v>
      </c>
      <c r="D6" s="10">
        <v>401</v>
      </c>
      <c r="E6" s="11" t="b">
        <v>1</v>
      </c>
      <c r="G6" s="10">
        <v>203</v>
      </c>
      <c r="H6" s="12">
        <v>0.19693700254490321</v>
      </c>
      <c r="I6" s="1">
        <f t="shared" si="0"/>
        <v>828</v>
      </c>
      <c r="J6" s="1"/>
      <c r="K6" s="23">
        <f t="shared" ref="K6:K24" si="4">K5+M5</f>
        <v>5</v>
      </c>
      <c r="L6" s="14">
        <v>203</v>
      </c>
      <c r="M6" s="15">
        <v>2</v>
      </c>
      <c r="N6" s="16" t="str">
        <f t="shared" si="3"/>
        <v>++</v>
      </c>
      <c r="P6" s="17">
        <f t="shared" ca="1" si="1"/>
        <v>201</v>
      </c>
      <c r="Q6" s="18" t="str">
        <f t="shared" ca="1" si="2"/>
        <v>+</v>
      </c>
      <c r="S6" s="24">
        <v>3</v>
      </c>
      <c r="T6" s="25" t="s">
        <v>6</v>
      </c>
    </row>
    <row r="7" spans="1:20" ht="16.5" thickBot="1" x14ac:dyDescent="0.3">
      <c r="A7" s="21">
        <v>412</v>
      </c>
      <c r="B7" s="22">
        <v>2.1381185669334668E-2</v>
      </c>
      <c r="D7" s="10">
        <v>831</v>
      </c>
      <c r="E7" s="11" t="b">
        <v>1</v>
      </c>
      <c r="G7" s="10">
        <v>204</v>
      </c>
      <c r="H7" s="12">
        <v>0.55414866502384097</v>
      </c>
      <c r="I7" s="1">
        <f t="shared" si="0"/>
        <v>530</v>
      </c>
      <c r="J7" s="1"/>
      <c r="K7" s="23">
        <f t="shared" si="4"/>
        <v>7</v>
      </c>
      <c r="L7" s="14">
        <v>204</v>
      </c>
      <c r="M7" s="15">
        <v>1</v>
      </c>
      <c r="N7" s="16" t="str">
        <f t="shared" si="3"/>
        <v>+</v>
      </c>
      <c r="P7" s="17">
        <f t="shared" ca="1" si="1"/>
        <v>207</v>
      </c>
      <c r="Q7" s="18" t="str">
        <f t="shared" ca="1" si="2"/>
        <v>++++</v>
      </c>
      <c r="S7" s="26">
        <v>4</v>
      </c>
      <c r="T7" s="27" t="s">
        <v>7</v>
      </c>
    </row>
    <row r="8" spans="1:20" x14ac:dyDescent="0.25">
      <c r="A8" s="21">
        <v>850</v>
      </c>
      <c r="B8" s="22">
        <v>2.3156610700981739E-2</v>
      </c>
      <c r="D8" s="10">
        <v>425</v>
      </c>
      <c r="E8" s="11" t="b">
        <v>1</v>
      </c>
      <c r="G8" s="10">
        <v>205</v>
      </c>
      <c r="H8" s="12">
        <v>0.86718556127764368</v>
      </c>
      <c r="I8" s="1">
        <f t="shared" si="0"/>
        <v>268</v>
      </c>
      <c r="J8" s="1"/>
      <c r="K8" s="23">
        <f t="shared" si="4"/>
        <v>8</v>
      </c>
      <c r="L8" s="14">
        <v>205</v>
      </c>
      <c r="M8" s="15">
        <v>1</v>
      </c>
      <c r="N8" s="16" t="str">
        <f t="shared" si="3"/>
        <v>+</v>
      </c>
      <c r="P8" s="17">
        <f t="shared" ca="1" si="1"/>
        <v>219</v>
      </c>
      <c r="Q8" s="18" t="str">
        <f t="shared" ca="1" si="2"/>
        <v>++</v>
      </c>
    </row>
    <row r="9" spans="1:20" x14ac:dyDescent="0.25">
      <c r="A9" s="21">
        <v>626</v>
      </c>
      <c r="B9" s="22">
        <v>2.8624567335901463E-2</v>
      </c>
      <c r="D9" s="10">
        <v>609</v>
      </c>
      <c r="E9" s="11" t="b">
        <v>1</v>
      </c>
      <c r="G9" s="10">
        <v>206</v>
      </c>
      <c r="H9" s="12">
        <v>8.7538181031329709E-2</v>
      </c>
      <c r="I9" s="1">
        <f t="shared" si="0"/>
        <v>906</v>
      </c>
      <c r="J9" s="1"/>
      <c r="K9" s="23">
        <f t="shared" si="4"/>
        <v>9</v>
      </c>
      <c r="L9" s="14">
        <v>206</v>
      </c>
      <c r="M9" s="15">
        <v>1</v>
      </c>
      <c r="N9" s="16" t="str">
        <f t="shared" si="3"/>
        <v>+</v>
      </c>
      <c r="P9" s="17">
        <f t="shared" ca="1" si="1"/>
        <v>206</v>
      </c>
      <c r="Q9" s="18" t="str">
        <f t="shared" ca="1" si="2"/>
        <v>+</v>
      </c>
    </row>
    <row r="10" spans="1:20" x14ac:dyDescent="0.25">
      <c r="A10" s="21">
        <v>801</v>
      </c>
      <c r="B10" s="22">
        <v>3.2319627713721766E-2</v>
      </c>
      <c r="D10" s="10">
        <v>606</v>
      </c>
      <c r="E10" s="11" t="b">
        <v>1</v>
      </c>
      <c r="G10" s="10">
        <v>207</v>
      </c>
      <c r="H10" s="12">
        <v>0.55397309801407035</v>
      </c>
      <c r="I10" s="1">
        <f t="shared" si="0"/>
        <v>540</v>
      </c>
      <c r="J10" s="1"/>
      <c r="K10" s="23">
        <f t="shared" si="4"/>
        <v>10</v>
      </c>
      <c r="L10" s="14">
        <v>207</v>
      </c>
      <c r="M10" s="15">
        <v>4</v>
      </c>
      <c r="N10" s="16" t="str">
        <f t="shared" si="3"/>
        <v>++++</v>
      </c>
      <c r="P10" s="17">
        <f t="shared" ca="1" si="1"/>
        <v>202</v>
      </c>
      <c r="Q10" s="18" t="str">
        <f t="shared" ca="1" si="2"/>
        <v>++++</v>
      </c>
    </row>
    <row r="11" spans="1:20" x14ac:dyDescent="0.25">
      <c r="A11" s="21">
        <v>910</v>
      </c>
      <c r="B11" s="22">
        <v>3.250001406093217E-2</v>
      </c>
      <c r="D11" s="10">
        <v>773</v>
      </c>
      <c r="E11" s="11" t="b">
        <v>1</v>
      </c>
      <c r="G11" s="10">
        <v>208</v>
      </c>
      <c r="H11" s="12">
        <v>0.97265195823411843</v>
      </c>
      <c r="I11" s="1">
        <f t="shared" si="0"/>
        <v>205</v>
      </c>
      <c r="J11" s="1"/>
      <c r="K11" s="23">
        <f t="shared" si="4"/>
        <v>14</v>
      </c>
      <c r="L11" s="14">
        <v>208</v>
      </c>
      <c r="M11" s="15">
        <v>3</v>
      </c>
      <c r="N11" s="16" t="str">
        <f t="shared" si="3"/>
        <v>+++</v>
      </c>
      <c r="P11" s="17">
        <f t="shared" ca="1" si="1"/>
        <v>219</v>
      </c>
      <c r="Q11" s="18" t="str">
        <f t="shared" ca="1" si="2"/>
        <v>++</v>
      </c>
    </row>
    <row r="12" spans="1:20" x14ac:dyDescent="0.25">
      <c r="A12" s="21">
        <v>268</v>
      </c>
      <c r="B12" s="22">
        <v>3.2699893692866411E-2</v>
      </c>
      <c r="D12" s="10">
        <v>956</v>
      </c>
      <c r="E12" s="11" t="b">
        <v>1</v>
      </c>
      <c r="G12" s="10">
        <v>209</v>
      </c>
      <c r="H12" s="12">
        <v>0.83656626885823926</v>
      </c>
      <c r="I12" s="1">
        <f t="shared" si="0"/>
        <v>308</v>
      </c>
      <c r="J12" s="1"/>
      <c r="K12" s="23">
        <f t="shared" si="4"/>
        <v>17</v>
      </c>
      <c r="L12" s="14">
        <v>209</v>
      </c>
      <c r="M12" s="15">
        <v>1</v>
      </c>
      <c r="N12" s="16" t="str">
        <f t="shared" si="3"/>
        <v>+</v>
      </c>
      <c r="P12" s="17">
        <f t="shared" ca="1" si="1"/>
        <v>207</v>
      </c>
      <c r="Q12" s="18" t="str">
        <f t="shared" ca="1" si="2"/>
        <v>++++</v>
      </c>
    </row>
    <row r="13" spans="1:20" ht="16.5" thickBot="1" x14ac:dyDescent="0.3">
      <c r="A13" s="28">
        <v>281</v>
      </c>
      <c r="B13" s="29">
        <v>3.4679689341273856E-2</v>
      </c>
      <c r="D13" s="10">
        <v>832</v>
      </c>
      <c r="E13" s="11" t="b">
        <v>1</v>
      </c>
      <c r="G13" s="10">
        <v>210</v>
      </c>
      <c r="H13" s="12">
        <v>3.4541331877118386E-2</v>
      </c>
      <c r="I13" s="1">
        <f t="shared" si="0"/>
        <v>935</v>
      </c>
      <c r="J13" s="1"/>
      <c r="K13" s="23">
        <f t="shared" si="4"/>
        <v>18</v>
      </c>
      <c r="L13" s="14">
        <v>210</v>
      </c>
      <c r="M13" s="15">
        <v>1</v>
      </c>
      <c r="N13" s="16" t="str">
        <f t="shared" si="3"/>
        <v>+</v>
      </c>
      <c r="P13" s="17">
        <f t="shared" ca="1" si="1"/>
        <v>203</v>
      </c>
      <c r="Q13" s="18" t="str">
        <f t="shared" ca="1" si="2"/>
        <v>++</v>
      </c>
    </row>
    <row r="14" spans="1:20" x14ac:dyDescent="0.25">
      <c r="A14" s="30">
        <v>785</v>
      </c>
      <c r="B14" s="31">
        <v>3.5068265236672169E-2</v>
      </c>
      <c r="D14" s="10">
        <v>660</v>
      </c>
      <c r="E14" s="11" t="b">
        <v>1</v>
      </c>
      <c r="G14" s="10">
        <v>212</v>
      </c>
      <c r="H14" s="12">
        <v>0.32009161965107225</v>
      </c>
      <c r="J14" s="1"/>
      <c r="K14" s="23">
        <f t="shared" si="4"/>
        <v>19</v>
      </c>
      <c r="L14" s="14">
        <v>212</v>
      </c>
      <c r="M14" s="15">
        <v>1</v>
      </c>
      <c r="N14" s="16" t="str">
        <f t="shared" si="3"/>
        <v>+</v>
      </c>
    </row>
    <row r="15" spans="1:20" x14ac:dyDescent="0.25">
      <c r="A15" s="30">
        <v>506</v>
      </c>
      <c r="B15" s="32">
        <v>3.683308497472082E-2</v>
      </c>
      <c r="D15" s="10">
        <v>600</v>
      </c>
      <c r="E15" s="11" t="b">
        <v>1</v>
      </c>
      <c r="G15" s="10">
        <v>213</v>
      </c>
      <c r="H15" s="12">
        <v>0.17093111205206557</v>
      </c>
      <c r="J15" s="1"/>
      <c r="K15" s="23">
        <f t="shared" si="4"/>
        <v>20</v>
      </c>
      <c r="L15" s="14">
        <v>213</v>
      </c>
      <c r="M15" s="15">
        <v>4</v>
      </c>
      <c r="N15" s="16" t="str">
        <f t="shared" si="3"/>
        <v>++++</v>
      </c>
    </row>
    <row r="16" spans="1:20" x14ac:dyDescent="0.25">
      <c r="A16" s="30">
        <v>284</v>
      </c>
      <c r="B16" s="31">
        <v>3.7367460764878402E-2</v>
      </c>
      <c r="D16" s="10">
        <v>215</v>
      </c>
      <c r="E16" s="11" t="b">
        <v>1</v>
      </c>
      <c r="G16" s="10">
        <v>214</v>
      </c>
      <c r="H16" s="12">
        <v>0.8154729533797398</v>
      </c>
      <c r="J16" s="1"/>
      <c r="K16" s="23">
        <f t="shared" si="4"/>
        <v>24</v>
      </c>
      <c r="L16" s="14">
        <v>214</v>
      </c>
      <c r="M16" s="15">
        <v>2</v>
      </c>
      <c r="N16" s="16" t="str">
        <f t="shared" si="3"/>
        <v>++</v>
      </c>
    </row>
    <row r="17" spans="1:14" x14ac:dyDescent="0.25">
      <c r="A17" s="30">
        <v>712</v>
      </c>
      <c r="B17" s="32">
        <v>4.030566864218954E-2</v>
      </c>
      <c r="D17" s="10">
        <v>202</v>
      </c>
      <c r="E17" s="11" t="b">
        <v>1</v>
      </c>
      <c r="G17" s="10">
        <v>215</v>
      </c>
      <c r="H17" s="12">
        <v>0.635012125369674</v>
      </c>
      <c r="J17" s="1"/>
      <c r="K17" s="23">
        <f t="shared" si="4"/>
        <v>26</v>
      </c>
      <c r="L17" s="14">
        <v>215</v>
      </c>
      <c r="M17" s="15">
        <v>1</v>
      </c>
      <c r="N17" s="16" t="str">
        <f t="shared" si="3"/>
        <v>+</v>
      </c>
    </row>
    <row r="18" spans="1:14" x14ac:dyDescent="0.25">
      <c r="A18" s="30">
        <v>803</v>
      </c>
      <c r="B18" s="31">
        <v>4.1153720294688556E-2</v>
      </c>
      <c r="D18" s="10">
        <v>225</v>
      </c>
      <c r="E18" s="11" t="b">
        <v>1</v>
      </c>
      <c r="G18" s="10">
        <v>216</v>
      </c>
      <c r="H18" s="12">
        <v>0.37539910173504354</v>
      </c>
      <c r="J18" s="1"/>
      <c r="K18" s="23">
        <f t="shared" si="4"/>
        <v>27</v>
      </c>
      <c r="L18" s="14">
        <v>216</v>
      </c>
      <c r="M18" s="15">
        <v>1</v>
      </c>
      <c r="N18" s="16" t="str">
        <f t="shared" si="3"/>
        <v>+</v>
      </c>
    </row>
    <row r="19" spans="1:14" x14ac:dyDescent="0.25">
      <c r="A19" s="30">
        <v>500</v>
      </c>
      <c r="B19" s="32">
        <v>4.4288921717884899E-2</v>
      </c>
      <c r="D19" s="10">
        <v>504</v>
      </c>
      <c r="E19" s="11" t="b">
        <v>1</v>
      </c>
      <c r="G19" s="10">
        <v>217</v>
      </c>
      <c r="H19" s="12">
        <v>0.69982646745010912</v>
      </c>
      <c r="J19" s="1"/>
      <c r="K19" s="23">
        <f t="shared" si="4"/>
        <v>28</v>
      </c>
      <c r="L19" s="14">
        <v>217</v>
      </c>
      <c r="M19" s="15">
        <v>1</v>
      </c>
      <c r="N19" s="16" t="str">
        <f t="shared" si="3"/>
        <v>+</v>
      </c>
    </row>
    <row r="20" spans="1:14" x14ac:dyDescent="0.25">
      <c r="A20" s="30">
        <v>972</v>
      </c>
      <c r="B20" s="32">
        <v>4.704475970968558E-2</v>
      </c>
      <c r="D20" s="10">
        <v>775</v>
      </c>
      <c r="E20" s="11" t="b">
        <v>1</v>
      </c>
      <c r="G20" s="10">
        <v>218</v>
      </c>
      <c r="H20" s="12">
        <v>0.85832495174601575</v>
      </c>
      <c r="J20" s="1"/>
      <c r="K20" s="23">
        <f t="shared" si="4"/>
        <v>29</v>
      </c>
      <c r="L20" s="14">
        <v>218</v>
      </c>
      <c r="M20" s="15">
        <v>4</v>
      </c>
      <c r="N20" s="16" t="str">
        <f t="shared" si="3"/>
        <v>++++</v>
      </c>
    </row>
    <row r="21" spans="1:14" x14ac:dyDescent="0.25">
      <c r="A21" s="30">
        <v>404</v>
      </c>
      <c r="B21" s="32">
        <v>4.8595979517203181E-2</v>
      </c>
      <c r="D21" s="10">
        <v>876</v>
      </c>
      <c r="E21" s="11" t="b">
        <v>1</v>
      </c>
      <c r="G21" s="10">
        <v>219</v>
      </c>
      <c r="H21" s="12">
        <v>0.47372229831360602</v>
      </c>
      <c r="J21" s="1"/>
      <c r="K21" s="23">
        <f t="shared" si="4"/>
        <v>33</v>
      </c>
      <c r="L21" s="14">
        <v>219</v>
      </c>
      <c r="M21" s="15">
        <v>2</v>
      </c>
      <c r="N21" s="16" t="str">
        <f t="shared" si="3"/>
        <v>++</v>
      </c>
    </row>
    <row r="22" spans="1:14" x14ac:dyDescent="0.25">
      <c r="A22" s="30">
        <v>614</v>
      </c>
      <c r="B22" s="32">
        <v>5.9525186655691509E-2</v>
      </c>
      <c r="D22" s="10">
        <v>902</v>
      </c>
      <c r="E22" s="11" t="b">
        <v>1</v>
      </c>
      <c r="G22" s="10">
        <v>224</v>
      </c>
      <c r="H22" s="12">
        <v>0.42547326539919028</v>
      </c>
      <c r="J22" s="1"/>
      <c r="K22" s="23">
        <f t="shared" si="4"/>
        <v>35</v>
      </c>
      <c r="L22" s="14">
        <v>224</v>
      </c>
      <c r="M22" s="15">
        <v>1</v>
      </c>
      <c r="N22" s="16" t="str">
        <f t="shared" si="3"/>
        <v>+</v>
      </c>
    </row>
    <row r="23" spans="1:14" x14ac:dyDescent="0.25">
      <c r="A23" s="30">
        <v>517</v>
      </c>
      <c r="B23" s="32">
        <v>6.2266881152914566E-2</v>
      </c>
      <c r="D23" s="10">
        <v>709</v>
      </c>
      <c r="E23" s="11" t="b">
        <v>1</v>
      </c>
      <c r="G23" s="10">
        <v>225</v>
      </c>
      <c r="H23" s="12">
        <v>0.15456217479477319</v>
      </c>
      <c r="J23" s="1"/>
      <c r="K23" s="23">
        <f t="shared" si="4"/>
        <v>36</v>
      </c>
      <c r="L23" s="14">
        <v>225</v>
      </c>
      <c r="M23" s="15">
        <v>1</v>
      </c>
      <c r="N23" s="16" t="str">
        <f t="shared" si="3"/>
        <v>+</v>
      </c>
    </row>
    <row r="24" spans="1:14" x14ac:dyDescent="0.25">
      <c r="A24" s="30">
        <v>767</v>
      </c>
      <c r="B24" s="31">
        <v>7.5073327435805304E-2</v>
      </c>
      <c r="D24" s="10">
        <v>718</v>
      </c>
      <c r="E24" s="11" t="b">
        <v>1</v>
      </c>
      <c r="G24" s="10">
        <v>228</v>
      </c>
      <c r="H24" s="12">
        <v>0.8448382350297331</v>
      </c>
      <c r="J24" s="1"/>
      <c r="K24" s="13">
        <f t="shared" si="4"/>
        <v>37</v>
      </c>
      <c r="L24" s="33" t="s">
        <v>13</v>
      </c>
      <c r="M24" s="33"/>
      <c r="N24" s="33"/>
    </row>
    <row r="25" spans="1:14" x14ac:dyDescent="0.25">
      <c r="A25" s="30">
        <v>519</v>
      </c>
      <c r="B25" s="32">
        <v>7.8547896832578123E-2</v>
      </c>
      <c r="D25" s="10">
        <v>340</v>
      </c>
      <c r="E25" s="11" t="b">
        <v>1</v>
      </c>
      <c r="G25" s="10">
        <v>240</v>
      </c>
      <c r="H25" s="12">
        <v>0.34612108214588666</v>
      </c>
      <c r="J25" s="1"/>
      <c r="K25" s="34"/>
    </row>
    <row r="26" spans="1:14" x14ac:dyDescent="0.25">
      <c r="A26" s="30">
        <v>228</v>
      </c>
      <c r="B26" s="32">
        <v>8.5088229158968964E-2</v>
      </c>
      <c r="D26" s="10">
        <v>456</v>
      </c>
      <c r="E26" s="11" t="b">
        <v>1</v>
      </c>
      <c r="G26" s="10">
        <v>248</v>
      </c>
      <c r="H26" s="12">
        <v>0.57714090681844843</v>
      </c>
      <c r="J26" s="1"/>
      <c r="K26" s="34"/>
    </row>
    <row r="27" spans="1:14" x14ac:dyDescent="0.25">
      <c r="A27" s="30">
        <v>920</v>
      </c>
      <c r="B27" s="31">
        <v>8.6495406173225931E-2</v>
      </c>
      <c r="D27" s="10">
        <v>562</v>
      </c>
      <c r="E27" s="11" t="b">
        <v>1</v>
      </c>
      <c r="G27" s="10">
        <v>254</v>
      </c>
      <c r="H27" s="12">
        <v>0.55902462067949776</v>
      </c>
      <c r="J27" s="1"/>
      <c r="K27" s="34"/>
    </row>
    <row r="28" spans="1:14" x14ac:dyDescent="0.25">
      <c r="A28" s="30">
        <v>881</v>
      </c>
      <c r="B28" s="31">
        <v>8.8366775383337925E-2</v>
      </c>
      <c r="D28" s="10">
        <v>403</v>
      </c>
      <c r="E28" s="11" t="b">
        <v>1</v>
      </c>
      <c r="G28" s="10">
        <v>256</v>
      </c>
      <c r="H28" s="12">
        <v>0.40198063689848229</v>
      </c>
      <c r="J28" s="1"/>
      <c r="K28" s="34"/>
    </row>
    <row r="29" spans="1:14" x14ac:dyDescent="0.25">
      <c r="A29" s="30">
        <v>882</v>
      </c>
      <c r="B29" s="31">
        <v>8.9167510990484811E-2</v>
      </c>
      <c r="D29" s="10">
        <v>514</v>
      </c>
      <c r="E29" s="11" t="b">
        <v>1</v>
      </c>
      <c r="G29" s="10">
        <v>264</v>
      </c>
      <c r="H29" s="12">
        <v>0.4145765812290898</v>
      </c>
      <c r="J29" s="1"/>
      <c r="K29" s="34"/>
    </row>
    <row r="30" spans="1:14" x14ac:dyDescent="0.25">
      <c r="A30" s="30">
        <v>224</v>
      </c>
      <c r="B30" s="32">
        <v>8.9333067577471725E-2</v>
      </c>
      <c r="D30" s="10">
        <v>435</v>
      </c>
      <c r="E30" s="11" t="b">
        <v>1</v>
      </c>
      <c r="G30" s="10">
        <v>267</v>
      </c>
      <c r="H30" s="12">
        <v>0.43729955410343035</v>
      </c>
      <c r="J30" s="1"/>
      <c r="K30" s="34"/>
    </row>
    <row r="31" spans="1:14" x14ac:dyDescent="0.25">
      <c r="A31" s="30">
        <v>804</v>
      </c>
      <c r="B31" s="32">
        <v>9.7699507641990646E-2</v>
      </c>
      <c r="D31" s="10">
        <v>785</v>
      </c>
      <c r="E31" s="11" t="b">
        <v>1</v>
      </c>
      <c r="G31" s="10">
        <v>268</v>
      </c>
      <c r="H31" s="12">
        <v>0.68274827220323342</v>
      </c>
      <c r="J31" s="1"/>
      <c r="K31" s="34"/>
    </row>
    <row r="32" spans="1:14" x14ac:dyDescent="0.25">
      <c r="A32" s="30">
        <v>413</v>
      </c>
      <c r="B32" s="32">
        <v>0.10182571768757265</v>
      </c>
      <c r="D32" s="10">
        <v>352</v>
      </c>
      <c r="E32" s="11" t="b">
        <v>1</v>
      </c>
      <c r="G32" s="10">
        <v>270</v>
      </c>
      <c r="H32" s="12">
        <v>0.22362865884055705</v>
      </c>
      <c r="J32" s="1"/>
      <c r="K32" s="34"/>
    </row>
    <row r="33" spans="1:11" x14ac:dyDescent="0.25">
      <c r="A33" s="30">
        <v>956</v>
      </c>
      <c r="B33" s="31">
        <v>0.11000167226359436</v>
      </c>
      <c r="D33" s="10">
        <v>306</v>
      </c>
      <c r="E33" s="11" t="b">
        <v>1</v>
      </c>
      <c r="G33" s="10">
        <v>281</v>
      </c>
      <c r="H33" s="12">
        <v>6.9409556008832474E-2</v>
      </c>
      <c r="J33" s="1"/>
      <c r="K33" s="34"/>
    </row>
    <row r="34" spans="1:11" x14ac:dyDescent="0.25">
      <c r="A34" s="30">
        <v>706</v>
      </c>
      <c r="B34" s="31">
        <v>0.11176555764594309</v>
      </c>
      <c r="D34" s="10">
        <v>301</v>
      </c>
      <c r="E34" s="11" t="b">
        <v>1</v>
      </c>
      <c r="G34" s="10">
        <v>284</v>
      </c>
      <c r="H34" s="12">
        <v>0.87455002476839849</v>
      </c>
      <c r="J34" s="1"/>
      <c r="K34" s="34"/>
    </row>
    <row r="35" spans="1:11" x14ac:dyDescent="0.25">
      <c r="A35" s="30">
        <v>812</v>
      </c>
      <c r="B35" s="31">
        <v>0.11389558533574173</v>
      </c>
      <c r="D35" s="10">
        <v>440</v>
      </c>
      <c r="E35" s="11" t="b">
        <v>1</v>
      </c>
      <c r="G35" s="10">
        <v>301</v>
      </c>
      <c r="H35" s="12">
        <v>0.93582205248240768</v>
      </c>
      <c r="J35" s="1"/>
      <c r="K35" s="34"/>
    </row>
    <row r="36" spans="1:11" x14ac:dyDescent="0.25">
      <c r="A36" s="30">
        <v>917</v>
      </c>
      <c r="B36" s="32">
        <v>0.11460904715123876</v>
      </c>
      <c r="D36" s="10">
        <v>505</v>
      </c>
      <c r="E36" s="11" t="b">
        <v>1</v>
      </c>
      <c r="G36" s="10">
        <v>302</v>
      </c>
      <c r="H36" s="12">
        <v>3.9316751745190004E-2</v>
      </c>
      <c r="J36" s="1"/>
      <c r="K36" s="34"/>
    </row>
    <row r="37" spans="1:11" x14ac:dyDescent="0.25">
      <c r="A37" s="30">
        <v>800</v>
      </c>
      <c r="B37" s="31">
        <v>0.1225003986858807</v>
      </c>
      <c r="D37" s="10">
        <v>619</v>
      </c>
      <c r="E37" s="11" t="b">
        <v>1</v>
      </c>
      <c r="G37" s="10">
        <v>303</v>
      </c>
      <c r="H37" s="12">
        <v>0.95944107604345508</v>
      </c>
      <c r="J37" s="1"/>
      <c r="K37" s="34"/>
    </row>
    <row r="38" spans="1:11" x14ac:dyDescent="0.25">
      <c r="A38" s="30">
        <v>662</v>
      </c>
      <c r="B38" s="32">
        <v>0.12950573151291567</v>
      </c>
      <c r="D38" s="10">
        <v>727</v>
      </c>
      <c r="E38" s="11" t="b">
        <v>1</v>
      </c>
      <c r="G38" s="10">
        <v>304</v>
      </c>
      <c r="H38" s="12">
        <v>0.83448159562334456</v>
      </c>
      <c r="J38" s="1"/>
      <c r="K38" s="34"/>
    </row>
    <row r="39" spans="1:11" x14ac:dyDescent="0.25">
      <c r="A39" s="30">
        <v>718</v>
      </c>
      <c r="B39" s="31">
        <v>0.131579506992618</v>
      </c>
      <c r="D39" s="10">
        <v>808</v>
      </c>
      <c r="E39" s="11" t="b">
        <v>1</v>
      </c>
      <c r="G39" s="10">
        <v>305</v>
      </c>
      <c r="H39" s="12">
        <v>0.80910578686070089</v>
      </c>
      <c r="J39" s="1"/>
      <c r="K39" s="34"/>
    </row>
    <row r="40" spans="1:11" x14ac:dyDescent="0.25">
      <c r="A40" s="30">
        <v>417</v>
      </c>
      <c r="B40" s="32">
        <v>0.14013802268946662</v>
      </c>
      <c r="D40" s="10">
        <v>516</v>
      </c>
      <c r="E40" s="11" t="b">
        <v>1</v>
      </c>
      <c r="G40" s="10">
        <v>306</v>
      </c>
      <c r="H40" s="12">
        <v>0.49611104347062163</v>
      </c>
      <c r="J40" s="1"/>
      <c r="K40" s="34"/>
    </row>
    <row r="41" spans="1:11" x14ac:dyDescent="0.25">
      <c r="A41" s="30">
        <v>814</v>
      </c>
      <c r="B41" s="32">
        <v>0.14078470310853741</v>
      </c>
      <c r="D41" s="10">
        <v>807</v>
      </c>
      <c r="E41" s="11" t="b">
        <v>1</v>
      </c>
      <c r="G41" s="10">
        <v>307</v>
      </c>
      <c r="H41" s="12">
        <v>0.69484393654266463</v>
      </c>
      <c r="I41" s="30"/>
      <c r="J41" s="1"/>
      <c r="K41" s="34"/>
    </row>
    <row r="42" spans="1:11" x14ac:dyDescent="0.25">
      <c r="A42" s="30">
        <v>607</v>
      </c>
      <c r="B42" s="32">
        <v>0.14495269582906278</v>
      </c>
      <c r="D42" s="10">
        <v>881</v>
      </c>
      <c r="E42" s="11" t="b">
        <v>1</v>
      </c>
      <c r="G42" s="10">
        <v>308</v>
      </c>
      <c r="H42" s="12">
        <v>0.20843961678243661</v>
      </c>
      <c r="J42" s="1"/>
      <c r="K42" s="34"/>
    </row>
    <row r="43" spans="1:11" x14ac:dyDescent="0.25">
      <c r="A43" s="30">
        <v>901</v>
      </c>
      <c r="B43" s="31">
        <v>0.14846848415999436</v>
      </c>
      <c r="D43" s="10">
        <v>649</v>
      </c>
      <c r="E43" s="11" t="b">
        <v>1</v>
      </c>
      <c r="G43" s="10">
        <v>309</v>
      </c>
      <c r="H43" s="12">
        <v>0.65556209060609971</v>
      </c>
      <c r="J43" s="1"/>
      <c r="K43" s="34"/>
    </row>
    <row r="44" spans="1:11" x14ac:dyDescent="0.25">
      <c r="A44" s="30">
        <v>202</v>
      </c>
      <c r="B44" s="31">
        <v>0.14990160109245021</v>
      </c>
      <c r="D44" s="10">
        <v>828</v>
      </c>
      <c r="E44" s="11" t="b">
        <v>1</v>
      </c>
      <c r="G44" s="10">
        <v>310</v>
      </c>
      <c r="H44" s="12">
        <v>0.33167420522389501</v>
      </c>
      <c r="J44" s="1"/>
      <c r="K44" s="34"/>
    </row>
    <row r="45" spans="1:11" x14ac:dyDescent="0.25">
      <c r="A45" s="30">
        <v>330</v>
      </c>
      <c r="B45" s="31">
        <v>0.15005510717942083</v>
      </c>
      <c r="D45" s="10">
        <v>218</v>
      </c>
      <c r="E45" s="11" t="b">
        <v>1</v>
      </c>
      <c r="G45" s="10">
        <v>311</v>
      </c>
      <c r="H45" s="12">
        <v>0.7181507673139701</v>
      </c>
      <c r="J45" s="1"/>
      <c r="K45" s="34"/>
    </row>
    <row r="46" spans="1:11" x14ac:dyDescent="0.25">
      <c r="A46" s="30">
        <v>410</v>
      </c>
      <c r="B46" s="32">
        <v>0.15155292274167309</v>
      </c>
      <c r="D46" s="10">
        <v>419</v>
      </c>
      <c r="E46" s="11" t="b">
        <v>1</v>
      </c>
      <c r="G46" s="10">
        <v>312</v>
      </c>
      <c r="H46" s="12">
        <v>0.84488015383414761</v>
      </c>
      <c r="J46" s="1"/>
      <c r="K46" s="34"/>
    </row>
    <row r="47" spans="1:11" x14ac:dyDescent="0.25">
      <c r="A47" s="30">
        <v>831</v>
      </c>
      <c r="B47" s="32">
        <v>0.15953583861956955</v>
      </c>
      <c r="D47" s="10">
        <v>603</v>
      </c>
      <c r="E47" s="11" t="b">
        <v>1</v>
      </c>
      <c r="G47" s="10">
        <v>313</v>
      </c>
      <c r="H47" s="12">
        <v>0.85766205724569056</v>
      </c>
      <c r="J47" s="1"/>
      <c r="K47" s="34"/>
    </row>
    <row r="48" spans="1:11" x14ac:dyDescent="0.25">
      <c r="A48" s="30">
        <v>411</v>
      </c>
      <c r="B48" s="31">
        <v>0.16081140278460149</v>
      </c>
      <c r="D48" s="10">
        <v>205</v>
      </c>
      <c r="E48" s="11" t="b">
        <v>1</v>
      </c>
      <c r="G48" s="10">
        <v>314</v>
      </c>
      <c r="H48" s="12">
        <v>7.5469888585109945E-2</v>
      </c>
      <c r="J48" s="1"/>
      <c r="K48" s="34"/>
    </row>
    <row r="49" spans="1:11" x14ac:dyDescent="0.25">
      <c r="A49" s="30">
        <v>313</v>
      </c>
      <c r="B49" s="32">
        <v>0.16116785758444485</v>
      </c>
      <c r="D49" s="10">
        <v>415</v>
      </c>
      <c r="E49" s="11" t="b">
        <v>1</v>
      </c>
      <c r="G49" s="10">
        <v>315</v>
      </c>
      <c r="H49" s="12">
        <v>8.6077978121736232E-2</v>
      </c>
      <c r="J49" s="1"/>
      <c r="K49" s="34"/>
    </row>
    <row r="50" spans="1:11" x14ac:dyDescent="0.25">
      <c r="A50" s="30">
        <v>734</v>
      </c>
      <c r="B50" s="31">
        <v>0.16418140392965697</v>
      </c>
      <c r="D50" s="10">
        <v>518</v>
      </c>
      <c r="E50" s="11" t="b">
        <v>1</v>
      </c>
      <c r="G50" s="10">
        <v>316</v>
      </c>
      <c r="H50" s="12">
        <v>8.1893110714748696E-2</v>
      </c>
      <c r="J50" s="1"/>
      <c r="K50" s="34"/>
    </row>
    <row r="51" spans="1:11" x14ac:dyDescent="0.25">
      <c r="A51" s="30">
        <v>713</v>
      </c>
      <c r="B51" s="32">
        <v>0.16607396167907473</v>
      </c>
      <c r="D51" s="10">
        <v>561</v>
      </c>
      <c r="E51" s="11" t="b">
        <v>1</v>
      </c>
      <c r="G51" s="10">
        <v>317</v>
      </c>
      <c r="H51" s="12">
        <v>0.39690343650595095</v>
      </c>
      <c r="J51" s="1"/>
      <c r="K51" s="34"/>
    </row>
    <row r="52" spans="1:11" x14ac:dyDescent="0.25">
      <c r="A52" s="30">
        <v>714</v>
      </c>
      <c r="B52" s="32">
        <v>0.17027448158355474</v>
      </c>
      <c r="D52" s="10">
        <v>607</v>
      </c>
      <c r="E52" s="11" t="b">
        <v>1</v>
      </c>
      <c r="G52" s="10">
        <v>318</v>
      </c>
      <c r="H52" s="12">
        <v>0.23507126072989215</v>
      </c>
      <c r="J52" s="1"/>
      <c r="K52" s="34"/>
    </row>
    <row r="53" spans="1:11" x14ac:dyDescent="0.25">
      <c r="A53" s="30">
        <v>925</v>
      </c>
      <c r="B53" s="32">
        <v>0.17317967941935175</v>
      </c>
      <c r="D53" s="10">
        <v>612</v>
      </c>
      <c r="E53" s="11" t="b">
        <v>1</v>
      </c>
      <c r="G53" s="10">
        <v>319</v>
      </c>
      <c r="H53" s="12">
        <v>0.24177943092373377</v>
      </c>
      <c r="J53" s="1"/>
      <c r="K53" s="34"/>
    </row>
    <row r="54" spans="1:11" x14ac:dyDescent="0.25">
      <c r="A54" s="30">
        <v>600</v>
      </c>
      <c r="B54" s="31">
        <v>0.18052281785535529</v>
      </c>
      <c r="D54" s="10">
        <v>869</v>
      </c>
      <c r="E54" s="11" t="b">
        <v>1</v>
      </c>
      <c r="G54" s="10">
        <v>320</v>
      </c>
      <c r="H54" s="12">
        <v>0.12144498577662766</v>
      </c>
      <c r="J54" s="1"/>
      <c r="K54" s="34"/>
    </row>
    <row r="55" spans="1:11" x14ac:dyDescent="0.25">
      <c r="A55" s="30">
        <v>650</v>
      </c>
      <c r="B55" s="31">
        <v>0.18106782195535454</v>
      </c>
      <c r="D55" s="10">
        <v>920</v>
      </c>
      <c r="E55" s="11" t="b">
        <v>1</v>
      </c>
      <c r="G55" s="10">
        <v>323</v>
      </c>
      <c r="H55" s="12">
        <v>0.37618780892816239</v>
      </c>
      <c r="J55" s="1"/>
      <c r="K55" s="34"/>
    </row>
    <row r="56" spans="1:11" x14ac:dyDescent="0.25">
      <c r="A56" s="30">
        <v>520</v>
      </c>
      <c r="B56" s="32">
        <v>0.18248746107492597</v>
      </c>
      <c r="D56" s="10">
        <v>268</v>
      </c>
      <c r="E56" s="11" t="b">
        <v>1</v>
      </c>
      <c r="G56" s="10">
        <v>330</v>
      </c>
      <c r="H56" s="12">
        <v>9.1290391981972863E-2</v>
      </c>
      <c r="J56" s="1"/>
      <c r="K56" s="34"/>
    </row>
    <row r="57" spans="1:11" x14ac:dyDescent="0.25">
      <c r="A57" s="30">
        <v>880</v>
      </c>
      <c r="B57" s="31">
        <v>0.19263928252069762</v>
      </c>
      <c r="D57" s="10">
        <v>647</v>
      </c>
      <c r="E57" s="11" t="b">
        <v>1</v>
      </c>
      <c r="G57" s="10">
        <v>334</v>
      </c>
      <c r="H57" s="12">
        <v>0.97033614581743399</v>
      </c>
      <c r="J57" s="1"/>
      <c r="K57" s="34"/>
    </row>
    <row r="58" spans="1:11" x14ac:dyDescent="0.25">
      <c r="A58" s="30">
        <v>701</v>
      </c>
      <c r="B58" s="32">
        <v>0.20040569581174483</v>
      </c>
      <c r="D58" s="10">
        <v>503</v>
      </c>
      <c r="E58" s="11" t="b">
        <v>1</v>
      </c>
      <c r="G58" s="10">
        <v>336</v>
      </c>
      <c r="H58" s="12">
        <v>0.26148121303535121</v>
      </c>
      <c r="J58" s="1"/>
      <c r="K58" s="34"/>
    </row>
    <row r="59" spans="1:11" x14ac:dyDescent="0.25">
      <c r="A59" s="30">
        <v>815</v>
      </c>
      <c r="B59" s="32">
        <v>0.2008039242594728</v>
      </c>
      <c r="D59" s="10">
        <v>717</v>
      </c>
      <c r="E59" s="11" t="b">
        <v>1</v>
      </c>
      <c r="G59" s="10">
        <v>340</v>
      </c>
      <c r="H59" s="12">
        <v>8.4995187144845108E-3</v>
      </c>
      <c r="J59" s="1"/>
      <c r="K59" s="34"/>
    </row>
    <row r="60" spans="1:11" x14ac:dyDescent="0.25">
      <c r="A60" s="30">
        <v>441</v>
      </c>
      <c r="B60" s="31">
        <v>0.2020948091930288</v>
      </c>
      <c r="D60" s="10">
        <v>760</v>
      </c>
      <c r="E60" s="11" t="b">
        <v>1</v>
      </c>
      <c r="G60" s="10">
        <v>345</v>
      </c>
      <c r="H60" s="12">
        <v>0.15161864377428591</v>
      </c>
      <c r="J60" s="1"/>
      <c r="K60" s="34"/>
    </row>
    <row r="61" spans="1:11" x14ac:dyDescent="0.25">
      <c r="A61" s="30">
        <v>208</v>
      </c>
      <c r="B61" s="31">
        <v>0.20391152959290659</v>
      </c>
      <c r="D61" s="10">
        <v>767</v>
      </c>
      <c r="E61" s="11" t="b">
        <v>1</v>
      </c>
      <c r="G61" s="10">
        <v>352</v>
      </c>
      <c r="H61" s="12">
        <v>2.8377447583881832E-2</v>
      </c>
      <c r="J61" s="1"/>
      <c r="K61" s="34"/>
    </row>
    <row r="62" spans="1:11" x14ac:dyDescent="0.25">
      <c r="A62" s="30">
        <v>606</v>
      </c>
      <c r="B62" s="31">
        <v>0.21013595850767175</v>
      </c>
      <c r="D62" s="10">
        <v>870</v>
      </c>
      <c r="E62" s="11" t="b">
        <v>1</v>
      </c>
      <c r="G62" s="10">
        <v>360</v>
      </c>
      <c r="H62" s="12">
        <v>0.27842419850236899</v>
      </c>
      <c r="J62" s="1"/>
      <c r="K62" s="34"/>
    </row>
    <row r="63" spans="1:11" x14ac:dyDescent="0.25">
      <c r="A63" s="30">
        <v>707</v>
      </c>
      <c r="B63" s="32">
        <v>0.21056444140562502</v>
      </c>
      <c r="D63" s="10">
        <v>312</v>
      </c>
      <c r="E63" s="11" t="b">
        <v>1</v>
      </c>
      <c r="G63" s="10">
        <v>401</v>
      </c>
      <c r="H63" s="12">
        <v>6.8870254866294722E-2</v>
      </c>
      <c r="J63" s="1"/>
      <c r="K63" s="34"/>
    </row>
    <row r="64" spans="1:11" x14ac:dyDescent="0.25">
      <c r="A64" s="30">
        <v>609</v>
      </c>
      <c r="B64" s="32">
        <v>0.22208307455856158</v>
      </c>
      <c r="D64" s="10">
        <v>734</v>
      </c>
      <c r="E64" s="11" t="b">
        <v>1</v>
      </c>
      <c r="G64" s="10">
        <v>402</v>
      </c>
      <c r="H64" s="12">
        <v>0.35601809978180121</v>
      </c>
      <c r="J64" s="1"/>
      <c r="K64" s="34"/>
    </row>
    <row r="65" spans="1:11" x14ac:dyDescent="0.25">
      <c r="A65" s="30">
        <v>403</v>
      </c>
      <c r="B65" s="32">
        <v>0.22256672276827205</v>
      </c>
      <c r="D65" s="10">
        <v>248</v>
      </c>
      <c r="E65" s="11" t="b">
        <v>1</v>
      </c>
      <c r="G65" s="10">
        <v>403</v>
      </c>
      <c r="H65" s="12">
        <v>0.67925321822745099</v>
      </c>
      <c r="J65" s="1"/>
      <c r="K65" s="34"/>
    </row>
    <row r="66" spans="1:11" x14ac:dyDescent="0.25">
      <c r="A66" s="30">
        <v>810</v>
      </c>
      <c r="B66" s="32">
        <v>0.22531766229250927</v>
      </c>
      <c r="D66" s="10">
        <v>602</v>
      </c>
      <c r="E66" s="11" t="b">
        <v>1</v>
      </c>
      <c r="G66" s="10">
        <v>404</v>
      </c>
      <c r="H66" s="12">
        <v>0.4310862220271926</v>
      </c>
      <c r="J66" s="1"/>
      <c r="K66" s="34"/>
    </row>
    <row r="67" spans="1:11" x14ac:dyDescent="0.25">
      <c r="A67" s="30">
        <v>319</v>
      </c>
      <c r="B67" s="31">
        <v>0.22556805312733919</v>
      </c>
      <c r="D67" s="10">
        <v>664</v>
      </c>
      <c r="E67" s="11" t="b">
        <v>1</v>
      </c>
      <c r="G67" s="10">
        <v>405</v>
      </c>
      <c r="H67" s="12">
        <v>0.66712630387476346</v>
      </c>
      <c r="J67" s="1"/>
      <c r="K67" s="34"/>
    </row>
    <row r="68" spans="1:11" x14ac:dyDescent="0.25">
      <c r="A68" s="30">
        <v>314</v>
      </c>
      <c r="B68" s="31">
        <v>0.22971016586099946</v>
      </c>
      <c r="D68" s="10">
        <v>880</v>
      </c>
      <c r="E68" s="11" t="b">
        <v>1</v>
      </c>
      <c r="G68" s="10">
        <v>406</v>
      </c>
      <c r="H68" s="12">
        <v>0.89752949993575681</v>
      </c>
      <c r="J68" s="1"/>
      <c r="K68" s="34"/>
    </row>
    <row r="69" spans="1:11" x14ac:dyDescent="0.25">
      <c r="A69" s="30">
        <v>503</v>
      </c>
      <c r="B69" s="32">
        <v>0.23843412555646137</v>
      </c>
      <c r="D69" s="10">
        <v>360</v>
      </c>
      <c r="E69" s="11" t="b">
        <v>1</v>
      </c>
      <c r="G69" s="10">
        <v>407</v>
      </c>
      <c r="H69" s="12">
        <v>0.27837628821926907</v>
      </c>
      <c r="J69" s="1"/>
      <c r="K69" s="34"/>
    </row>
    <row r="70" spans="1:11" x14ac:dyDescent="0.25">
      <c r="A70" s="30">
        <v>212</v>
      </c>
      <c r="B70" s="31">
        <v>0.24311793528279402</v>
      </c>
      <c r="D70" s="10">
        <v>302</v>
      </c>
      <c r="E70" s="11" t="b">
        <v>1</v>
      </c>
      <c r="G70" s="10">
        <v>408</v>
      </c>
      <c r="H70" s="12">
        <v>0.27130584363057819</v>
      </c>
      <c r="J70" s="1"/>
      <c r="K70" s="34"/>
    </row>
    <row r="71" spans="1:11" x14ac:dyDescent="0.25">
      <c r="A71" s="30">
        <v>210</v>
      </c>
      <c r="B71" s="31">
        <v>0.24941706030579858</v>
      </c>
      <c r="D71" s="10">
        <v>423</v>
      </c>
      <c r="E71" s="11" t="b">
        <v>1</v>
      </c>
      <c r="G71" s="10">
        <v>409</v>
      </c>
      <c r="H71" s="12">
        <v>7.2178348288332916E-2</v>
      </c>
      <c r="J71" s="1"/>
      <c r="K71" s="34"/>
    </row>
    <row r="72" spans="1:11" x14ac:dyDescent="0.25">
      <c r="A72" s="30">
        <v>473</v>
      </c>
      <c r="B72" s="32">
        <v>0.25119879228517195</v>
      </c>
      <c r="D72" s="10">
        <v>418</v>
      </c>
      <c r="E72" s="11" t="b">
        <v>1</v>
      </c>
      <c r="G72" s="10">
        <v>410</v>
      </c>
      <c r="H72" s="12">
        <v>0.36990570069938866</v>
      </c>
      <c r="J72" s="1"/>
      <c r="K72" s="34"/>
    </row>
    <row r="73" spans="1:11" x14ac:dyDescent="0.25">
      <c r="A73" s="30">
        <v>256</v>
      </c>
      <c r="B73" s="32">
        <v>0.25806309630836699</v>
      </c>
      <c r="D73" s="10">
        <v>513</v>
      </c>
      <c r="E73" s="11" t="b">
        <v>1</v>
      </c>
      <c r="G73" s="10">
        <v>411</v>
      </c>
      <c r="H73" s="12">
        <v>0.2176470491342849</v>
      </c>
      <c r="I73" s="30"/>
      <c r="J73" s="1"/>
      <c r="K73" s="34"/>
    </row>
    <row r="74" spans="1:11" x14ac:dyDescent="0.25">
      <c r="A74" s="30">
        <v>469</v>
      </c>
      <c r="B74" s="32">
        <v>0.2620545273294258</v>
      </c>
      <c r="D74" s="10">
        <v>519</v>
      </c>
      <c r="E74" s="11" t="b">
        <v>1</v>
      </c>
      <c r="G74" s="10">
        <v>412</v>
      </c>
      <c r="H74" s="12">
        <v>0.8809170143096503</v>
      </c>
      <c r="J74" s="1"/>
      <c r="K74" s="34"/>
    </row>
    <row r="75" spans="1:11" x14ac:dyDescent="0.25">
      <c r="A75" s="30">
        <v>727</v>
      </c>
      <c r="B75" s="31">
        <v>0.26253506646965841</v>
      </c>
      <c r="D75" s="10">
        <v>212</v>
      </c>
      <c r="E75" s="11" t="b">
        <v>1</v>
      </c>
      <c r="G75" s="10">
        <v>413</v>
      </c>
      <c r="H75" s="12">
        <v>0.39316256577786801</v>
      </c>
      <c r="J75" s="1"/>
      <c r="K75" s="34"/>
    </row>
    <row r="76" spans="1:11" x14ac:dyDescent="0.25">
      <c r="A76" s="30">
        <v>508</v>
      </c>
      <c r="B76" s="32">
        <v>0.26391048410236406</v>
      </c>
      <c r="D76" s="10">
        <v>317</v>
      </c>
      <c r="E76" s="11" t="b">
        <v>1</v>
      </c>
      <c r="G76" s="10">
        <v>414</v>
      </c>
      <c r="H76" s="12">
        <v>0.17882349662501085</v>
      </c>
      <c r="J76" s="1"/>
      <c r="K76" s="34"/>
    </row>
    <row r="77" spans="1:11" x14ac:dyDescent="0.25">
      <c r="A77" s="30">
        <v>630</v>
      </c>
      <c r="B77" s="32">
        <v>0.26718710306386084</v>
      </c>
      <c r="D77" s="10">
        <v>484</v>
      </c>
      <c r="E77" s="11" t="b">
        <v>1</v>
      </c>
      <c r="G77" s="10">
        <v>415</v>
      </c>
      <c r="H77" s="12">
        <v>6.3463187260516252E-2</v>
      </c>
      <c r="J77" s="1"/>
      <c r="K77" s="34"/>
    </row>
    <row r="78" spans="1:11" x14ac:dyDescent="0.25">
      <c r="A78" s="30">
        <v>312</v>
      </c>
      <c r="B78" s="31">
        <v>0.28077429292778133</v>
      </c>
      <c r="D78" s="10">
        <v>671</v>
      </c>
      <c r="E78" s="11" t="b">
        <v>1</v>
      </c>
      <c r="G78" s="10">
        <v>416</v>
      </c>
      <c r="H78" s="12">
        <v>0.29516000965297196</v>
      </c>
      <c r="J78" s="1"/>
      <c r="K78" s="34"/>
    </row>
    <row r="79" spans="1:11" x14ac:dyDescent="0.25">
      <c r="A79" s="30">
        <v>509</v>
      </c>
      <c r="B79" s="32">
        <v>0.28363042229946567</v>
      </c>
      <c r="D79" s="10">
        <v>780</v>
      </c>
      <c r="E79" s="11" t="b">
        <v>1</v>
      </c>
      <c r="G79" s="10">
        <v>417</v>
      </c>
      <c r="H79" s="12">
        <v>0.55273794608739824</v>
      </c>
      <c r="J79" s="1"/>
      <c r="K79" s="34"/>
    </row>
    <row r="80" spans="1:11" x14ac:dyDescent="0.25">
      <c r="A80" s="30">
        <v>703</v>
      </c>
      <c r="B80" s="32">
        <v>0.28375060434151522</v>
      </c>
      <c r="D80" s="10">
        <v>408</v>
      </c>
      <c r="E80" s="11" t="b">
        <v>1</v>
      </c>
      <c r="G80" s="10">
        <v>418</v>
      </c>
      <c r="H80" s="12">
        <v>0.5625230957736489</v>
      </c>
      <c r="J80" s="1"/>
      <c r="K80" s="34"/>
    </row>
    <row r="81" spans="1:11" x14ac:dyDescent="0.25">
      <c r="A81" s="30">
        <v>775</v>
      </c>
      <c r="B81" s="32">
        <v>0.29048834050439931</v>
      </c>
      <c r="D81" s="10">
        <v>424</v>
      </c>
      <c r="E81" s="11" t="b">
        <v>1</v>
      </c>
      <c r="G81" s="10">
        <v>419</v>
      </c>
      <c r="H81" s="12">
        <v>0.6924770684839483</v>
      </c>
      <c r="J81" s="1"/>
      <c r="K81" s="34"/>
    </row>
    <row r="82" spans="1:11" x14ac:dyDescent="0.25">
      <c r="A82" s="30">
        <v>512</v>
      </c>
      <c r="B82" s="32">
        <v>0.29988276083800991</v>
      </c>
      <c r="D82" s="10">
        <v>450</v>
      </c>
      <c r="E82" s="11" t="b">
        <v>1</v>
      </c>
      <c r="G82" s="10">
        <v>423</v>
      </c>
      <c r="H82" s="12">
        <v>0.97444557947350097</v>
      </c>
      <c r="J82" s="1"/>
      <c r="K82" s="34"/>
    </row>
    <row r="83" spans="1:11" x14ac:dyDescent="0.25">
      <c r="A83" s="30">
        <v>786</v>
      </c>
      <c r="B83" s="31">
        <v>0.31117740061835386</v>
      </c>
      <c r="D83" s="10">
        <v>843</v>
      </c>
      <c r="E83" s="11" t="b">
        <v>1</v>
      </c>
      <c r="G83" s="10">
        <v>424</v>
      </c>
      <c r="H83" s="12">
        <v>0.10423731238902934</v>
      </c>
      <c r="J83" s="1"/>
      <c r="K83" s="34"/>
    </row>
    <row r="84" spans="1:11" x14ac:dyDescent="0.25">
      <c r="A84" s="30">
        <v>502</v>
      </c>
      <c r="B84" s="32">
        <v>0.31589929984097165</v>
      </c>
      <c r="D84" s="10">
        <v>940</v>
      </c>
      <c r="E84" s="11" t="b">
        <v>1</v>
      </c>
      <c r="G84" s="10">
        <v>425</v>
      </c>
      <c r="H84" s="12">
        <v>0.72081966079113691</v>
      </c>
      <c r="J84" s="1"/>
      <c r="K84" s="34"/>
    </row>
    <row r="85" spans="1:11" x14ac:dyDescent="0.25">
      <c r="A85" s="30">
        <v>440</v>
      </c>
      <c r="B85" s="32">
        <v>0.31642687510608802</v>
      </c>
      <c r="D85" s="10">
        <v>508</v>
      </c>
      <c r="E85" s="11" t="b">
        <v>0</v>
      </c>
      <c r="G85" s="10">
        <v>435</v>
      </c>
      <c r="H85" s="12">
        <v>0.87882194063350205</v>
      </c>
      <c r="J85" s="1"/>
      <c r="K85" s="34"/>
    </row>
    <row r="86" spans="1:11" x14ac:dyDescent="0.25">
      <c r="A86" s="30">
        <v>847</v>
      </c>
      <c r="B86" s="32">
        <v>0.31944027204149072</v>
      </c>
      <c r="D86" s="10">
        <v>580</v>
      </c>
      <c r="E86" s="11" t="b">
        <v>0</v>
      </c>
      <c r="G86" s="10">
        <v>440</v>
      </c>
      <c r="H86" s="12">
        <v>0.7118737132747931</v>
      </c>
      <c r="J86" s="1"/>
      <c r="K86" s="34"/>
    </row>
    <row r="87" spans="1:11" x14ac:dyDescent="0.25">
      <c r="A87" s="30">
        <v>870</v>
      </c>
      <c r="B87" s="32">
        <v>0.32331708906227075</v>
      </c>
      <c r="D87" s="10">
        <v>925</v>
      </c>
      <c r="E87" s="11" t="b">
        <v>0</v>
      </c>
      <c r="G87" s="10">
        <v>441</v>
      </c>
      <c r="H87" s="12">
        <v>0.69810431995551181</v>
      </c>
      <c r="J87" s="1"/>
      <c r="K87" s="34"/>
    </row>
    <row r="88" spans="1:11" x14ac:dyDescent="0.25">
      <c r="A88" s="30">
        <v>978</v>
      </c>
      <c r="B88" s="32">
        <v>0.32676855985372832</v>
      </c>
      <c r="D88" s="10">
        <v>910</v>
      </c>
      <c r="E88" s="11" t="b">
        <v>0</v>
      </c>
      <c r="G88" s="10">
        <v>443</v>
      </c>
      <c r="H88" s="12">
        <v>0.76751899777442634</v>
      </c>
      <c r="J88" s="1"/>
      <c r="K88" s="34"/>
    </row>
    <row r="89" spans="1:11" x14ac:dyDescent="0.25">
      <c r="A89" s="30">
        <v>514</v>
      </c>
      <c r="B89" s="32">
        <v>0.32851616807758777</v>
      </c>
      <c r="D89" s="10">
        <v>412</v>
      </c>
      <c r="E89" s="11" t="b">
        <v>0</v>
      </c>
      <c r="G89" s="10">
        <v>450</v>
      </c>
      <c r="H89" s="12">
        <v>0.64076383181721153</v>
      </c>
      <c r="J89" s="1"/>
      <c r="K89" s="34"/>
    </row>
    <row r="90" spans="1:11" x14ac:dyDescent="0.25">
      <c r="A90" s="30">
        <v>407</v>
      </c>
      <c r="B90" s="31">
        <v>0.32988085013133306</v>
      </c>
      <c r="D90" s="10">
        <v>662</v>
      </c>
      <c r="E90" s="11" t="b">
        <v>0</v>
      </c>
      <c r="G90" s="10">
        <v>456</v>
      </c>
      <c r="H90" s="12">
        <v>0.76248043225789197</v>
      </c>
      <c r="J90" s="1"/>
      <c r="K90" s="34"/>
    </row>
    <row r="91" spans="1:11" x14ac:dyDescent="0.25">
      <c r="A91" s="30">
        <v>869</v>
      </c>
      <c r="B91" s="31">
        <v>0.33532172102128543</v>
      </c>
      <c r="D91" s="10">
        <v>217</v>
      </c>
      <c r="E91" s="11" t="b">
        <v>0</v>
      </c>
      <c r="G91" s="10">
        <v>469</v>
      </c>
      <c r="H91" s="12">
        <v>0.42136860509249774</v>
      </c>
      <c r="J91" s="1"/>
      <c r="K91" s="34"/>
    </row>
    <row r="92" spans="1:11" x14ac:dyDescent="0.25">
      <c r="A92" s="30">
        <v>760</v>
      </c>
      <c r="B92" s="32">
        <v>0.33559473328877132</v>
      </c>
      <c r="D92" s="10">
        <v>706</v>
      </c>
      <c r="E92" s="11" t="b">
        <v>0</v>
      </c>
      <c r="G92" s="10">
        <v>473</v>
      </c>
      <c r="H92" s="12">
        <v>0.11260577338375088</v>
      </c>
      <c r="J92" s="1"/>
      <c r="K92" s="34"/>
    </row>
    <row r="93" spans="1:11" x14ac:dyDescent="0.25">
      <c r="A93" s="30">
        <v>876</v>
      </c>
      <c r="B93" s="32">
        <v>0.34038771767029341</v>
      </c>
      <c r="D93" s="10">
        <v>810</v>
      </c>
      <c r="E93" s="11" t="b">
        <v>0</v>
      </c>
      <c r="G93" s="10">
        <v>480</v>
      </c>
      <c r="H93" s="12">
        <v>0.90036629421371728</v>
      </c>
      <c r="J93" s="1"/>
      <c r="K93" s="34"/>
    </row>
    <row r="94" spans="1:11" x14ac:dyDescent="0.25">
      <c r="A94" s="30">
        <v>708</v>
      </c>
      <c r="B94" s="32">
        <v>0.34311287808801239</v>
      </c>
      <c r="D94" s="10">
        <v>850</v>
      </c>
      <c r="E94" s="11" t="b">
        <v>0</v>
      </c>
      <c r="G94" s="10">
        <v>484</v>
      </c>
      <c r="H94" s="12">
        <v>0.83643995975119645</v>
      </c>
      <c r="J94" s="1"/>
      <c r="K94" s="34"/>
    </row>
    <row r="95" spans="1:11" x14ac:dyDescent="0.25">
      <c r="A95" s="30">
        <v>501</v>
      </c>
      <c r="B95" s="32">
        <v>0.34622519722734446</v>
      </c>
      <c r="D95" s="10">
        <v>407</v>
      </c>
      <c r="E95" s="11" t="b">
        <v>0</v>
      </c>
      <c r="G95" s="10">
        <v>500</v>
      </c>
      <c r="H95" s="12">
        <v>0.37347469526368693</v>
      </c>
      <c r="J95" s="1"/>
      <c r="K95" s="34"/>
    </row>
    <row r="96" spans="1:11" x14ac:dyDescent="0.25">
      <c r="A96" s="30">
        <v>406</v>
      </c>
      <c r="B96" s="32">
        <v>0.34690740503727846</v>
      </c>
      <c r="D96" s="10">
        <v>900</v>
      </c>
      <c r="E96" s="11" t="b">
        <v>0</v>
      </c>
      <c r="G96" s="10">
        <v>501</v>
      </c>
      <c r="H96" s="12">
        <v>0.69637597540174934</v>
      </c>
      <c r="J96" s="1"/>
      <c r="K96" s="34"/>
    </row>
    <row r="97" spans="1:11" x14ac:dyDescent="0.25">
      <c r="A97" s="30">
        <v>758</v>
      </c>
      <c r="B97" s="32">
        <v>0.34742325271606822</v>
      </c>
      <c r="D97" s="10">
        <v>313</v>
      </c>
      <c r="E97" s="11" t="b">
        <v>0</v>
      </c>
      <c r="G97" s="10">
        <v>502</v>
      </c>
      <c r="H97" s="12">
        <v>0.37188122485771791</v>
      </c>
      <c r="J97" s="1"/>
      <c r="K97" s="34"/>
    </row>
    <row r="98" spans="1:11" x14ac:dyDescent="0.25">
      <c r="A98" s="30">
        <v>860</v>
      </c>
      <c r="B98" s="31">
        <v>0.34776431224271631</v>
      </c>
      <c r="D98" s="10">
        <v>715</v>
      </c>
      <c r="E98" s="11" t="b">
        <v>0</v>
      </c>
      <c r="G98" s="10">
        <v>503</v>
      </c>
      <c r="H98" s="12">
        <v>0.780061729119227</v>
      </c>
      <c r="J98" s="1"/>
      <c r="K98" s="34"/>
    </row>
    <row r="99" spans="1:11" x14ac:dyDescent="0.25">
      <c r="A99" s="30">
        <v>414</v>
      </c>
      <c r="B99" s="31">
        <v>0.34861115568874257</v>
      </c>
      <c r="D99" s="10">
        <v>441</v>
      </c>
      <c r="E99" s="11" t="b">
        <v>0</v>
      </c>
      <c r="G99" s="10">
        <v>504</v>
      </c>
      <c r="H99" s="12">
        <v>0.46190212346018444</v>
      </c>
      <c r="J99" s="1"/>
      <c r="K99" s="34"/>
    </row>
    <row r="100" spans="1:11" x14ac:dyDescent="0.25">
      <c r="A100" s="30">
        <v>203</v>
      </c>
      <c r="B100" s="31">
        <v>0.35333448855988558</v>
      </c>
      <c r="D100" s="10">
        <v>816</v>
      </c>
      <c r="E100" s="11" t="b">
        <v>0</v>
      </c>
      <c r="G100" s="10">
        <v>505</v>
      </c>
      <c r="H100" s="12">
        <v>0.20494975031094231</v>
      </c>
      <c r="J100" s="1"/>
      <c r="K100" s="34"/>
    </row>
    <row r="101" spans="1:11" x14ac:dyDescent="0.25">
      <c r="A101" s="30">
        <v>811</v>
      </c>
      <c r="B101" s="32">
        <v>0.35513540273355748</v>
      </c>
      <c r="D101" s="10">
        <v>917</v>
      </c>
      <c r="E101" s="11" t="b">
        <v>0</v>
      </c>
      <c r="G101" s="10">
        <v>506</v>
      </c>
      <c r="H101" s="12">
        <v>0.31889584769806134</v>
      </c>
      <c r="J101" s="1"/>
      <c r="K101" s="34"/>
    </row>
    <row r="102" spans="1:11" x14ac:dyDescent="0.25">
      <c r="A102" s="30">
        <v>918</v>
      </c>
      <c r="B102" s="31">
        <v>0.36429724325245372</v>
      </c>
      <c r="D102" s="10">
        <v>510</v>
      </c>
      <c r="E102" s="11" t="b">
        <v>0</v>
      </c>
      <c r="G102" s="10">
        <v>507</v>
      </c>
      <c r="H102" s="12">
        <v>0.35097025987118302</v>
      </c>
      <c r="J102" s="1"/>
      <c r="K102" s="34"/>
    </row>
    <row r="103" spans="1:11" x14ac:dyDescent="0.25">
      <c r="A103" s="30">
        <v>225</v>
      </c>
      <c r="B103" s="32">
        <v>0.36620828582955356</v>
      </c>
      <c r="D103" s="10">
        <v>334</v>
      </c>
      <c r="E103" s="11" t="b">
        <v>0</v>
      </c>
      <c r="G103" s="10">
        <v>508</v>
      </c>
      <c r="H103" s="12">
        <v>0.72718743045202849</v>
      </c>
      <c r="J103" s="1"/>
      <c r="K103" s="34"/>
    </row>
    <row r="104" spans="1:11" x14ac:dyDescent="0.25">
      <c r="A104" s="30">
        <v>912</v>
      </c>
      <c r="B104" s="32">
        <v>0.36712240979994526</v>
      </c>
      <c r="D104" s="10">
        <v>318</v>
      </c>
      <c r="E104" s="11" t="b">
        <v>0</v>
      </c>
      <c r="G104" s="10">
        <v>509</v>
      </c>
      <c r="H104" s="12">
        <v>0.72154356705903355</v>
      </c>
      <c r="J104" s="1"/>
      <c r="K104" s="34"/>
    </row>
    <row r="105" spans="1:11" x14ac:dyDescent="0.25">
      <c r="A105" s="30">
        <v>719</v>
      </c>
      <c r="B105" s="32">
        <v>0.36802666750944046</v>
      </c>
      <c r="D105" s="10">
        <v>618</v>
      </c>
      <c r="E105" s="11" t="b">
        <v>0</v>
      </c>
      <c r="G105" s="10">
        <v>510</v>
      </c>
      <c r="H105" s="12">
        <v>0.66723448782049799</v>
      </c>
      <c r="J105" s="1"/>
      <c r="K105" s="34"/>
    </row>
    <row r="106" spans="1:11" x14ac:dyDescent="0.25">
      <c r="A106" s="30">
        <v>915</v>
      </c>
      <c r="B106" s="31">
        <v>0.36892003154965447</v>
      </c>
      <c r="D106" s="10">
        <v>613</v>
      </c>
      <c r="E106" s="11" t="b">
        <v>0</v>
      </c>
      <c r="G106" s="10">
        <v>512</v>
      </c>
      <c r="H106" s="12">
        <v>0.48852848093523282</v>
      </c>
      <c r="J106" s="1"/>
      <c r="K106" s="34"/>
    </row>
    <row r="107" spans="1:11" x14ac:dyDescent="0.25">
      <c r="A107" s="30">
        <v>613</v>
      </c>
      <c r="B107" s="32">
        <v>0.37291398854519664</v>
      </c>
      <c r="D107" s="10">
        <v>877</v>
      </c>
      <c r="E107" s="11" t="b">
        <v>0</v>
      </c>
      <c r="G107" s="10">
        <v>513</v>
      </c>
      <c r="H107" s="12">
        <v>9.8610890995992406E-2</v>
      </c>
      <c r="J107" s="1"/>
      <c r="K107" s="34"/>
    </row>
    <row r="108" spans="1:11" x14ac:dyDescent="0.25">
      <c r="A108" s="30">
        <v>818</v>
      </c>
      <c r="B108" s="32">
        <v>0.37353773262147194</v>
      </c>
      <c r="D108" s="10">
        <v>651</v>
      </c>
      <c r="E108" s="11" t="b">
        <v>0</v>
      </c>
      <c r="G108" s="10">
        <v>514</v>
      </c>
      <c r="H108" s="12">
        <v>0.74055406312485872</v>
      </c>
      <c r="J108" s="1"/>
      <c r="K108" s="34"/>
    </row>
    <row r="109" spans="1:11" x14ac:dyDescent="0.25">
      <c r="A109" s="30">
        <v>303</v>
      </c>
      <c r="B109" s="31">
        <v>0.3742805314920441</v>
      </c>
      <c r="D109" s="10">
        <v>784</v>
      </c>
      <c r="E109" s="11" t="b">
        <v>0</v>
      </c>
      <c r="G109" s="10">
        <v>515</v>
      </c>
      <c r="H109" s="12">
        <v>6.9568605688789198E-2</v>
      </c>
      <c r="J109" s="1"/>
      <c r="K109" s="34"/>
    </row>
    <row r="110" spans="1:11" x14ac:dyDescent="0.25">
      <c r="A110" s="30">
        <v>705</v>
      </c>
      <c r="B110" s="32">
        <v>0.37876454613732169</v>
      </c>
      <c r="D110" s="10">
        <v>830</v>
      </c>
      <c r="E110" s="11" t="b">
        <v>0</v>
      </c>
      <c r="G110" s="10">
        <v>516</v>
      </c>
      <c r="H110" s="12">
        <v>0.99347647838260733</v>
      </c>
      <c r="J110" s="1"/>
      <c r="K110" s="34"/>
    </row>
    <row r="111" spans="1:11" x14ac:dyDescent="0.25">
      <c r="A111" s="30">
        <v>900</v>
      </c>
      <c r="B111" s="32">
        <v>0.38707709431640558</v>
      </c>
      <c r="D111" s="10">
        <v>847</v>
      </c>
      <c r="E111" s="11" t="b">
        <v>0</v>
      </c>
      <c r="G111" s="10">
        <v>517</v>
      </c>
      <c r="H111" s="12">
        <v>0.40561131604182121</v>
      </c>
      <c r="J111" s="1"/>
      <c r="K111" s="34"/>
    </row>
    <row r="112" spans="1:11" x14ac:dyDescent="0.25">
      <c r="A112" s="30">
        <v>264</v>
      </c>
      <c r="B112" s="32">
        <v>0.38729979223005051</v>
      </c>
      <c r="D112" s="10">
        <v>626</v>
      </c>
      <c r="E112" s="11" t="b">
        <v>0</v>
      </c>
      <c r="G112" s="10">
        <v>518</v>
      </c>
      <c r="H112" s="12">
        <v>0.54575191666667533</v>
      </c>
      <c r="J112" s="1"/>
      <c r="K112" s="34"/>
    </row>
    <row r="113" spans="1:11" x14ac:dyDescent="0.25">
      <c r="A113" s="30">
        <v>207</v>
      </c>
      <c r="B113" s="31">
        <v>0.39122649736782389</v>
      </c>
      <c r="D113" s="10">
        <v>402</v>
      </c>
      <c r="E113" s="11" t="b">
        <v>0</v>
      </c>
      <c r="G113" s="10">
        <v>519</v>
      </c>
      <c r="H113" s="12">
        <v>0.67856851524940009</v>
      </c>
      <c r="J113" s="1"/>
      <c r="K113" s="34"/>
    </row>
    <row r="114" spans="1:11" x14ac:dyDescent="0.25">
      <c r="A114" s="30">
        <v>317</v>
      </c>
      <c r="B114" s="32">
        <v>0.39149763550817596</v>
      </c>
      <c r="D114" s="10">
        <v>809</v>
      </c>
      <c r="E114" s="11" t="b">
        <v>0</v>
      </c>
      <c r="G114" s="10">
        <v>520</v>
      </c>
      <c r="H114" s="12">
        <v>0.5132397038211427</v>
      </c>
      <c r="J114" s="1"/>
      <c r="K114" s="34"/>
    </row>
    <row r="115" spans="1:11" x14ac:dyDescent="0.25">
      <c r="A115" s="30">
        <v>619</v>
      </c>
      <c r="B115" s="32">
        <v>0.40457496739082621</v>
      </c>
      <c r="D115" s="10">
        <v>240</v>
      </c>
      <c r="E115" s="11" t="b">
        <v>0</v>
      </c>
      <c r="G115" s="10">
        <v>530</v>
      </c>
      <c r="H115" s="12">
        <v>0.77296975749722852</v>
      </c>
      <c r="J115" s="1"/>
      <c r="K115" s="34"/>
    </row>
    <row r="116" spans="1:11" x14ac:dyDescent="0.25">
      <c r="A116" s="30">
        <v>905</v>
      </c>
      <c r="B116" s="31">
        <v>0.40685541374712308</v>
      </c>
      <c r="D116" s="10">
        <v>605</v>
      </c>
      <c r="E116" s="11" t="b">
        <v>0</v>
      </c>
      <c r="G116" s="10">
        <v>540</v>
      </c>
      <c r="H116" s="12">
        <v>0.1491833208989588</v>
      </c>
      <c r="J116" s="1"/>
      <c r="K116" s="34"/>
    </row>
    <row r="117" spans="1:11" x14ac:dyDescent="0.25">
      <c r="A117" s="30">
        <v>732</v>
      </c>
      <c r="B117" s="32">
        <v>0.40861700523139877</v>
      </c>
      <c r="D117" s="10">
        <v>901</v>
      </c>
      <c r="E117" s="11" t="b">
        <v>0</v>
      </c>
      <c r="G117" s="10">
        <v>541</v>
      </c>
      <c r="H117" s="12">
        <v>0.12455066133587078</v>
      </c>
      <c r="J117" s="1"/>
      <c r="K117" s="34"/>
    </row>
    <row r="118" spans="1:11" x14ac:dyDescent="0.25">
      <c r="A118" s="30">
        <v>345</v>
      </c>
      <c r="B118" s="32">
        <v>0.412226001313447</v>
      </c>
      <c r="D118" s="10">
        <v>617</v>
      </c>
      <c r="E118" s="11" t="b">
        <v>0</v>
      </c>
      <c r="G118" s="10">
        <v>559</v>
      </c>
      <c r="H118" s="12">
        <v>0.39160440151155562</v>
      </c>
      <c r="J118" s="1"/>
      <c r="K118" s="34"/>
    </row>
    <row r="119" spans="1:11" x14ac:dyDescent="0.25">
      <c r="A119" s="30">
        <v>301</v>
      </c>
      <c r="B119" s="32">
        <v>0.41344375185821858</v>
      </c>
      <c r="D119" s="10">
        <v>714</v>
      </c>
      <c r="E119" s="11" t="b">
        <v>0</v>
      </c>
      <c r="G119" s="10">
        <v>561</v>
      </c>
      <c r="H119" s="12">
        <v>0.66948094756015875</v>
      </c>
      <c r="J119" s="1"/>
      <c r="K119" s="34"/>
    </row>
    <row r="120" spans="1:11" x14ac:dyDescent="0.25">
      <c r="A120" s="30">
        <v>720</v>
      </c>
      <c r="B120" s="31">
        <v>0.41828859012323549</v>
      </c>
      <c r="D120" s="10">
        <v>800</v>
      </c>
      <c r="E120" s="11" t="b">
        <v>0</v>
      </c>
      <c r="G120" s="10">
        <v>562</v>
      </c>
      <c r="H120" s="12">
        <v>0.86251018591959738</v>
      </c>
      <c r="J120" s="1"/>
      <c r="K120" s="34"/>
    </row>
    <row r="121" spans="1:11" x14ac:dyDescent="0.25">
      <c r="A121" s="30">
        <v>204</v>
      </c>
      <c r="B121" s="31">
        <v>0.42194159697529288</v>
      </c>
      <c r="D121" s="10">
        <v>972</v>
      </c>
      <c r="E121" s="11" t="b">
        <v>0</v>
      </c>
      <c r="G121" s="10">
        <v>570</v>
      </c>
      <c r="H121" s="12">
        <v>0.73566843888414035</v>
      </c>
      <c r="J121" s="1"/>
      <c r="K121" s="34"/>
    </row>
    <row r="122" spans="1:11" x14ac:dyDescent="0.25">
      <c r="A122" s="30">
        <v>334</v>
      </c>
      <c r="B122" s="31">
        <v>0.42598527611118731</v>
      </c>
      <c r="D122" s="10">
        <v>311</v>
      </c>
      <c r="E122" s="11" t="b">
        <v>0</v>
      </c>
      <c r="G122" s="10">
        <v>573</v>
      </c>
      <c r="H122" s="12">
        <v>0.81135983610619655</v>
      </c>
      <c r="J122" s="1"/>
      <c r="K122" s="34"/>
    </row>
    <row r="123" spans="1:11" x14ac:dyDescent="0.25">
      <c r="A123" s="30">
        <v>809</v>
      </c>
      <c r="B123" s="31">
        <v>0.42705961397753489</v>
      </c>
      <c r="D123" s="10">
        <v>509</v>
      </c>
      <c r="E123" s="11" t="b">
        <v>0</v>
      </c>
      <c r="G123" s="10">
        <v>580</v>
      </c>
      <c r="H123" s="12">
        <v>0.30692385677404244</v>
      </c>
      <c r="J123" s="1"/>
      <c r="K123" s="34"/>
    </row>
    <row r="124" spans="1:11" x14ac:dyDescent="0.25">
      <c r="A124" s="30">
        <v>443</v>
      </c>
      <c r="B124" s="31">
        <v>0.43049794796279117</v>
      </c>
      <c r="D124" s="10">
        <v>601</v>
      </c>
      <c r="E124" s="11" t="b">
        <v>0</v>
      </c>
      <c r="G124" s="10">
        <v>600</v>
      </c>
      <c r="H124" s="12">
        <v>0.34835978137860613</v>
      </c>
      <c r="J124" s="1"/>
      <c r="K124" s="34"/>
    </row>
    <row r="125" spans="1:11" x14ac:dyDescent="0.25">
      <c r="A125" s="30">
        <v>710</v>
      </c>
      <c r="B125" s="32">
        <v>0.4336960141930476</v>
      </c>
      <c r="D125" s="10">
        <v>804</v>
      </c>
      <c r="E125" s="11" t="b">
        <v>0</v>
      </c>
      <c r="G125" s="10">
        <v>601</v>
      </c>
      <c r="H125" s="12">
        <v>2.0566347253482609E-2</v>
      </c>
      <c r="J125" s="1"/>
      <c r="K125" s="34"/>
    </row>
    <row r="126" spans="1:11" x14ac:dyDescent="0.25">
      <c r="A126" s="30">
        <v>316</v>
      </c>
      <c r="B126" s="32">
        <v>0.43557640798997999</v>
      </c>
      <c r="D126" s="10">
        <v>806</v>
      </c>
      <c r="E126" s="11" t="b">
        <v>0</v>
      </c>
      <c r="G126" s="10">
        <v>602</v>
      </c>
      <c r="H126" s="12">
        <v>0.18401077271266997</v>
      </c>
      <c r="J126" s="1"/>
      <c r="K126" s="34"/>
    </row>
    <row r="127" spans="1:11" x14ac:dyDescent="0.25">
      <c r="A127" s="30">
        <v>830</v>
      </c>
      <c r="B127" s="32">
        <v>0.44142500880520708</v>
      </c>
      <c r="D127" s="10">
        <v>935</v>
      </c>
      <c r="E127" s="11" t="b">
        <v>0</v>
      </c>
      <c r="G127" s="10">
        <v>603</v>
      </c>
      <c r="H127" s="12">
        <v>0.78011783584348204</v>
      </c>
      <c r="J127" s="1"/>
      <c r="K127" s="34"/>
    </row>
    <row r="128" spans="1:11" x14ac:dyDescent="0.25">
      <c r="A128" s="30">
        <v>248</v>
      </c>
      <c r="B128" s="32">
        <v>0.44181254853506424</v>
      </c>
      <c r="D128" s="10">
        <v>410</v>
      </c>
      <c r="E128" s="11" t="b">
        <v>0</v>
      </c>
      <c r="G128" s="10">
        <v>604</v>
      </c>
      <c r="H128" s="12">
        <v>0.68808931533206663</v>
      </c>
      <c r="J128" s="1"/>
      <c r="K128" s="34"/>
    </row>
    <row r="129" spans="1:11" x14ac:dyDescent="0.25">
      <c r="A129" s="30">
        <v>867</v>
      </c>
      <c r="B129" s="31">
        <v>0.44644849326668001</v>
      </c>
      <c r="D129" s="10">
        <v>711</v>
      </c>
      <c r="E129" s="11" t="b">
        <v>0</v>
      </c>
      <c r="G129" s="10">
        <v>605</v>
      </c>
      <c r="H129" s="12">
        <v>9.7988629061129817E-2</v>
      </c>
      <c r="J129" s="1"/>
      <c r="K129" s="34"/>
    </row>
    <row r="130" spans="1:11" x14ac:dyDescent="0.25">
      <c r="A130" s="30">
        <v>843</v>
      </c>
      <c r="B130" s="31">
        <v>0.44690614263484696</v>
      </c>
      <c r="D130" s="10">
        <v>678</v>
      </c>
      <c r="E130" s="11" t="b">
        <v>0</v>
      </c>
      <c r="G130" s="10">
        <v>606</v>
      </c>
      <c r="H130" s="12">
        <v>0.95190588145984212</v>
      </c>
      <c r="I130" s="30"/>
      <c r="J130" s="1"/>
      <c r="K130" s="34"/>
    </row>
    <row r="131" spans="1:11" x14ac:dyDescent="0.25">
      <c r="A131" s="30">
        <v>806</v>
      </c>
      <c r="B131" s="32">
        <v>0.45092542643826494</v>
      </c>
      <c r="D131" s="10">
        <v>904</v>
      </c>
      <c r="E131" s="11" t="b">
        <v>0</v>
      </c>
      <c r="G131" s="10">
        <v>607</v>
      </c>
      <c r="H131" s="12">
        <v>0.260924112115277</v>
      </c>
      <c r="J131" s="1"/>
      <c r="K131" s="34"/>
    </row>
    <row r="132" spans="1:11" x14ac:dyDescent="0.25">
      <c r="A132" s="30">
        <v>480</v>
      </c>
      <c r="B132" s="32">
        <v>0.45134753160447527</v>
      </c>
      <c r="D132" s="10">
        <v>815</v>
      </c>
      <c r="E132" s="11" t="b">
        <v>0</v>
      </c>
      <c r="G132" s="10">
        <v>608</v>
      </c>
      <c r="H132" s="12">
        <v>0.66587490342195432</v>
      </c>
      <c r="J132" s="1"/>
      <c r="K132" s="34"/>
    </row>
    <row r="133" spans="1:11" x14ac:dyDescent="0.25">
      <c r="A133" s="30">
        <v>360</v>
      </c>
      <c r="B133" s="31">
        <v>0.45869637787275797</v>
      </c>
      <c r="D133" s="10">
        <v>405</v>
      </c>
      <c r="E133" s="11" t="b">
        <v>0</v>
      </c>
      <c r="G133" s="10">
        <v>609</v>
      </c>
      <c r="H133" s="12">
        <v>0.73548053414896086</v>
      </c>
      <c r="J133" s="1"/>
      <c r="K133" s="34"/>
    </row>
    <row r="134" spans="1:11" x14ac:dyDescent="0.25">
      <c r="A134" s="30">
        <v>419</v>
      </c>
      <c r="B134" s="31">
        <v>0.45928892385670939</v>
      </c>
      <c r="D134" s="10">
        <v>305</v>
      </c>
      <c r="E134" s="11" t="b">
        <v>0</v>
      </c>
      <c r="G134" s="10">
        <v>610</v>
      </c>
      <c r="H134" s="12">
        <v>0.8192325982263714</v>
      </c>
      <c r="J134" s="1"/>
      <c r="K134" s="34"/>
    </row>
    <row r="135" spans="1:11" x14ac:dyDescent="0.25">
      <c r="A135" s="30">
        <v>911</v>
      </c>
      <c r="B135" s="32">
        <v>0.46477829915886304</v>
      </c>
      <c r="D135" s="10">
        <v>858</v>
      </c>
      <c r="E135" s="11" t="b">
        <v>0</v>
      </c>
      <c r="G135" s="10">
        <v>611</v>
      </c>
      <c r="H135" s="12">
        <v>0.555067837296501</v>
      </c>
      <c r="I135" s="30"/>
      <c r="J135" s="1"/>
      <c r="K135" s="34"/>
    </row>
    <row r="136" spans="1:11" x14ac:dyDescent="0.25">
      <c r="A136" s="30">
        <v>423</v>
      </c>
      <c r="B136" s="32">
        <v>0.46791045816050558</v>
      </c>
      <c r="D136" s="10">
        <v>501</v>
      </c>
      <c r="E136" s="11" t="b">
        <v>0</v>
      </c>
      <c r="G136" s="10">
        <v>612</v>
      </c>
      <c r="H136" s="12">
        <v>0.47346252331381045</v>
      </c>
      <c r="J136" s="1"/>
      <c r="K136" s="34"/>
    </row>
    <row r="137" spans="1:11" x14ac:dyDescent="0.25">
      <c r="A137" s="30">
        <v>336</v>
      </c>
      <c r="B137" s="32">
        <v>0.46830434273488497</v>
      </c>
      <c r="D137" s="10">
        <v>500</v>
      </c>
      <c r="E137" s="11" t="b">
        <v>0</v>
      </c>
      <c r="G137" s="10">
        <v>613</v>
      </c>
      <c r="H137" s="12">
        <v>1.2893216313565437E-2</v>
      </c>
      <c r="J137" s="1"/>
      <c r="K137" s="34"/>
    </row>
    <row r="138" spans="1:11" x14ac:dyDescent="0.25">
      <c r="A138" s="30">
        <v>781</v>
      </c>
      <c r="B138" s="32">
        <v>0.47320872808207382</v>
      </c>
      <c r="D138" s="10">
        <v>502</v>
      </c>
      <c r="E138" s="11" t="b">
        <v>0</v>
      </c>
      <c r="G138" s="10">
        <v>614</v>
      </c>
      <c r="H138" s="12">
        <v>0.63143493479884683</v>
      </c>
      <c r="J138" s="1"/>
      <c r="K138" s="34"/>
    </row>
    <row r="139" spans="1:11" x14ac:dyDescent="0.25">
      <c r="A139" s="30">
        <v>765</v>
      </c>
      <c r="B139" s="32">
        <v>0.4743784807529472</v>
      </c>
      <c r="D139" s="10">
        <v>204</v>
      </c>
      <c r="E139" s="11" t="b">
        <v>0</v>
      </c>
      <c r="G139" s="10">
        <v>615</v>
      </c>
      <c r="H139" s="12">
        <v>0.57489508280956902</v>
      </c>
      <c r="J139" s="1"/>
      <c r="K139" s="34"/>
    </row>
    <row r="140" spans="1:11" x14ac:dyDescent="0.25">
      <c r="A140" s="30">
        <v>757</v>
      </c>
      <c r="B140" s="31">
        <v>0.4776696810240495</v>
      </c>
      <c r="D140" s="10">
        <v>970</v>
      </c>
      <c r="E140" s="11" t="b">
        <v>0</v>
      </c>
      <c r="G140" s="10">
        <v>616</v>
      </c>
      <c r="H140" s="12">
        <v>0.84202892358541825</v>
      </c>
      <c r="J140" s="1"/>
      <c r="K140" s="34"/>
    </row>
    <row r="141" spans="1:11" x14ac:dyDescent="0.25">
      <c r="A141" s="30">
        <v>530</v>
      </c>
      <c r="B141" s="31">
        <v>0.47812191036897378</v>
      </c>
      <c r="D141" s="10">
        <v>868</v>
      </c>
      <c r="E141" s="11" t="b">
        <v>0</v>
      </c>
      <c r="G141" s="10">
        <v>617</v>
      </c>
      <c r="H141" s="12">
        <v>0.93873939582344368</v>
      </c>
      <c r="J141" s="1"/>
      <c r="K141" s="34"/>
    </row>
    <row r="142" spans="1:11" x14ac:dyDescent="0.25">
      <c r="A142" s="30">
        <v>973</v>
      </c>
      <c r="B142" s="32">
        <v>0.48126197159682416</v>
      </c>
      <c r="D142" s="10">
        <v>443</v>
      </c>
      <c r="E142" s="11" t="b">
        <v>0</v>
      </c>
      <c r="G142" s="10">
        <v>618</v>
      </c>
      <c r="H142" s="12">
        <v>0.40056626041299515</v>
      </c>
      <c r="J142" s="1"/>
      <c r="K142" s="34"/>
    </row>
    <row r="143" spans="1:11" x14ac:dyDescent="0.25">
      <c r="A143" s="30">
        <v>218</v>
      </c>
      <c r="B143" s="31">
        <v>0.48199964552238284</v>
      </c>
      <c r="D143" s="10">
        <v>909</v>
      </c>
      <c r="E143" s="11" t="b">
        <v>0</v>
      </c>
      <c r="G143" s="10">
        <v>619</v>
      </c>
      <c r="H143" s="12">
        <v>0.56836125565040718</v>
      </c>
      <c r="J143" s="1"/>
      <c r="K143" s="34"/>
    </row>
    <row r="144" spans="1:11" x14ac:dyDescent="0.25">
      <c r="A144" s="30">
        <v>716</v>
      </c>
      <c r="B144" s="32">
        <v>0.48344877919574469</v>
      </c>
      <c r="D144" s="10">
        <v>954</v>
      </c>
      <c r="E144" s="11" t="b">
        <v>0</v>
      </c>
      <c r="G144" s="10">
        <v>626</v>
      </c>
      <c r="H144" s="12">
        <v>0.87511456794723685</v>
      </c>
      <c r="J144" s="1"/>
      <c r="K144" s="34"/>
    </row>
    <row r="145" spans="1:11" x14ac:dyDescent="0.25">
      <c r="A145" s="30">
        <v>817</v>
      </c>
      <c r="B145" s="31">
        <v>0.48507729268460764</v>
      </c>
      <c r="D145" s="10">
        <v>913</v>
      </c>
      <c r="E145" s="11" t="b">
        <v>0</v>
      </c>
      <c r="G145" s="10">
        <v>630</v>
      </c>
      <c r="H145" s="12">
        <v>0.29365896331665786</v>
      </c>
      <c r="J145" s="1"/>
      <c r="K145" s="34"/>
    </row>
    <row r="146" spans="1:11" x14ac:dyDescent="0.25">
      <c r="A146" s="30">
        <v>205</v>
      </c>
      <c r="B146" s="31">
        <v>0.49363061906666506</v>
      </c>
      <c r="D146" s="10">
        <v>912</v>
      </c>
      <c r="E146" s="11" t="b">
        <v>0</v>
      </c>
      <c r="G146" s="10">
        <v>647</v>
      </c>
      <c r="H146" s="12">
        <v>0.81368158775669963</v>
      </c>
      <c r="J146" s="1"/>
      <c r="K146" s="34"/>
    </row>
    <row r="147" spans="1:11" x14ac:dyDescent="0.25">
      <c r="A147" s="30">
        <v>715</v>
      </c>
      <c r="B147" s="32">
        <v>0.50240499023497265</v>
      </c>
      <c r="D147" s="10">
        <v>914</v>
      </c>
      <c r="E147" s="11" t="b">
        <v>0</v>
      </c>
      <c r="G147" s="10">
        <v>649</v>
      </c>
      <c r="H147" s="12">
        <v>0.58788731399642757</v>
      </c>
      <c r="J147" s="1"/>
      <c r="K147" s="34"/>
    </row>
    <row r="148" spans="1:11" x14ac:dyDescent="0.25">
      <c r="A148" s="30">
        <v>808</v>
      </c>
      <c r="B148" s="31">
        <v>0.50575347862039399</v>
      </c>
      <c r="D148" s="10">
        <v>417</v>
      </c>
      <c r="E148" s="11" t="b">
        <v>0</v>
      </c>
      <c r="G148" s="10">
        <v>650</v>
      </c>
      <c r="H148" s="12">
        <v>0.47062272091534973</v>
      </c>
      <c r="J148" s="1"/>
      <c r="K148" s="34"/>
    </row>
    <row r="149" spans="1:11" x14ac:dyDescent="0.25">
      <c r="A149" s="30">
        <v>215</v>
      </c>
      <c r="B149" s="31">
        <v>0.50726510872640584</v>
      </c>
      <c r="D149" s="10">
        <v>506</v>
      </c>
      <c r="E149" s="11" t="b">
        <v>0</v>
      </c>
      <c r="G149" s="10">
        <v>651</v>
      </c>
      <c r="H149" s="12">
        <v>0.80176068568640124</v>
      </c>
      <c r="J149" s="1"/>
      <c r="K149" s="34"/>
    </row>
    <row r="150" spans="1:11" x14ac:dyDescent="0.25">
      <c r="A150" s="30">
        <v>601</v>
      </c>
      <c r="B150" s="32">
        <v>0.51403878217390853</v>
      </c>
      <c r="D150" s="10">
        <v>201</v>
      </c>
      <c r="E150" s="11" t="b">
        <v>0</v>
      </c>
      <c r="G150" s="10">
        <v>660</v>
      </c>
      <c r="H150" s="12">
        <v>0.69456833653257677</v>
      </c>
      <c r="J150" s="1"/>
      <c r="K150" s="34"/>
    </row>
    <row r="151" spans="1:11" x14ac:dyDescent="0.25">
      <c r="A151" s="30">
        <v>819</v>
      </c>
      <c r="B151" s="31">
        <v>0.51589345919787266</v>
      </c>
      <c r="D151" s="10">
        <v>805</v>
      </c>
      <c r="E151" s="11" t="b">
        <v>0</v>
      </c>
      <c r="G151" s="10">
        <v>661</v>
      </c>
      <c r="H151" s="12">
        <v>0.24621273376374819</v>
      </c>
      <c r="J151" s="1"/>
      <c r="K151" s="34"/>
    </row>
    <row r="152" spans="1:11" x14ac:dyDescent="0.25">
      <c r="A152" s="30">
        <v>409</v>
      </c>
      <c r="B152" s="31">
        <v>0.52036267871536768</v>
      </c>
      <c r="D152" s="10">
        <v>611</v>
      </c>
      <c r="E152" s="11" t="b">
        <v>0</v>
      </c>
      <c r="G152" s="10">
        <v>662</v>
      </c>
      <c r="H152" s="12">
        <v>0.55370449449802428</v>
      </c>
      <c r="J152" s="1"/>
      <c r="K152" s="34"/>
    </row>
    <row r="153" spans="1:11" x14ac:dyDescent="0.25">
      <c r="A153" s="30">
        <v>802</v>
      </c>
      <c r="B153" s="32">
        <v>0.52677456097003961</v>
      </c>
      <c r="D153" s="10">
        <v>803</v>
      </c>
      <c r="E153" s="11" t="b">
        <v>0</v>
      </c>
      <c r="G153" s="10">
        <v>664</v>
      </c>
      <c r="H153" s="12">
        <v>0.42800586307400235</v>
      </c>
      <c r="J153" s="1"/>
      <c r="K153" s="34"/>
    </row>
    <row r="154" spans="1:11" x14ac:dyDescent="0.25">
      <c r="A154" s="30">
        <v>308</v>
      </c>
      <c r="B154" s="31">
        <v>0.54003691429287426</v>
      </c>
      <c r="D154" s="10">
        <v>949</v>
      </c>
      <c r="E154" s="11" t="b">
        <v>0</v>
      </c>
      <c r="G154" s="10">
        <v>670</v>
      </c>
      <c r="H154" s="12">
        <v>0.43354263652543545</v>
      </c>
      <c r="I154" s="30"/>
      <c r="J154" s="1"/>
      <c r="K154" s="34"/>
    </row>
    <row r="155" spans="1:11" x14ac:dyDescent="0.25">
      <c r="A155" s="30">
        <v>540</v>
      </c>
      <c r="B155" s="32">
        <v>0.5409658212247801</v>
      </c>
      <c r="D155" s="10">
        <v>207</v>
      </c>
      <c r="E155" s="11" t="b">
        <v>0</v>
      </c>
      <c r="G155" s="10">
        <v>671</v>
      </c>
      <c r="H155" s="12">
        <v>2.0971353170334828E-2</v>
      </c>
      <c r="J155" s="1"/>
      <c r="K155" s="34"/>
    </row>
    <row r="156" spans="1:11" x14ac:dyDescent="0.25">
      <c r="A156" s="30">
        <v>711</v>
      </c>
      <c r="B156" s="32">
        <v>0.55876420007760264</v>
      </c>
      <c r="D156" s="10">
        <v>801</v>
      </c>
      <c r="E156" s="11" t="b">
        <v>0</v>
      </c>
      <c r="G156" s="10">
        <v>678</v>
      </c>
      <c r="H156" s="12">
        <v>0.6176855387829131</v>
      </c>
      <c r="J156" s="1"/>
      <c r="K156" s="34"/>
    </row>
    <row r="157" spans="1:11" x14ac:dyDescent="0.25">
      <c r="A157" s="30">
        <v>425</v>
      </c>
      <c r="B157" s="32">
        <v>0.56651326527243706</v>
      </c>
      <c r="D157" s="10">
        <v>908</v>
      </c>
      <c r="E157" s="11" t="b">
        <v>0</v>
      </c>
      <c r="G157" s="10">
        <v>700</v>
      </c>
      <c r="H157" s="12">
        <v>7.0747943235038857E-4</v>
      </c>
      <c r="J157" s="1"/>
      <c r="K157" s="34"/>
    </row>
    <row r="158" spans="1:11" x14ac:dyDescent="0.25">
      <c r="A158" s="30">
        <v>270</v>
      </c>
      <c r="B158" s="32">
        <v>0.5704987752204177</v>
      </c>
      <c r="D158" s="10">
        <v>264</v>
      </c>
      <c r="E158" s="11" t="b">
        <v>0</v>
      </c>
      <c r="G158" s="10">
        <v>701</v>
      </c>
      <c r="H158" s="12">
        <v>0.37780842525128699</v>
      </c>
      <c r="J158" s="1"/>
      <c r="K158" s="34"/>
    </row>
    <row r="159" spans="1:11" x14ac:dyDescent="0.25">
      <c r="A159" s="30">
        <v>309</v>
      </c>
      <c r="B159" s="32">
        <v>0.57508111496128489</v>
      </c>
      <c r="D159" s="10">
        <v>540</v>
      </c>
      <c r="E159" s="11" t="b">
        <v>0</v>
      </c>
      <c r="G159" s="10">
        <v>702</v>
      </c>
      <c r="H159" s="12">
        <v>0.34491767603092571</v>
      </c>
      <c r="J159" s="1"/>
      <c r="K159" s="34"/>
    </row>
    <row r="160" spans="1:11" x14ac:dyDescent="0.25">
      <c r="A160" s="30">
        <v>671</v>
      </c>
      <c r="B160" s="32">
        <v>0.58305655227027542</v>
      </c>
      <c r="D160" s="10">
        <v>520</v>
      </c>
      <c r="E160" s="11" t="b">
        <v>0</v>
      </c>
      <c r="G160" s="10">
        <v>703</v>
      </c>
      <c r="H160" s="12">
        <v>0.93920481912529807</v>
      </c>
      <c r="J160" s="1"/>
      <c r="K160" s="34"/>
    </row>
    <row r="161" spans="1:11" x14ac:dyDescent="0.25">
      <c r="A161" s="30">
        <v>913</v>
      </c>
      <c r="B161" s="31">
        <v>0.58490987916461978</v>
      </c>
      <c r="D161" s="10">
        <v>559</v>
      </c>
      <c r="E161" s="11" t="b">
        <v>0</v>
      </c>
      <c r="G161" s="10">
        <v>704</v>
      </c>
      <c r="H161" s="12">
        <v>0.25972309439187313</v>
      </c>
      <c r="J161" s="1"/>
      <c r="K161" s="34"/>
    </row>
    <row r="162" spans="1:11" x14ac:dyDescent="0.25">
      <c r="A162" s="30">
        <v>617</v>
      </c>
      <c r="B162" s="31">
        <v>0.58518941114974732</v>
      </c>
      <c r="D162" s="10">
        <v>616</v>
      </c>
      <c r="E162" s="11" t="b">
        <v>0</v>
      </c>
      <c r="G162" s="10">
        <v>705</v>
      </c>
      <c r="H162" s="12">
        <v>0.35111470236811426</v>
      </c>
      <c r="J162" s="1"/>
      <c r="K162" s="34"/>
    </row>
    <row r="163" spans="1:11" x14ac:dyDescent="0.25">
      <c r="A163" s="30">
        <v>320</v>
      </c>
      <c r="B163" s="32">
        <v>0.59269500919395712</v>
      </c>
      <c r="D163" s="10">
        <v>670</v>
      </c>
      <c r="E163" s="11" t="b">
        <v>0</v>
      </c>
      <c r="G163" s="10">
        <v>706</v>
      </c>
      <c r="H163" s="12">
        <v>1.6875615493920471E-2</v>
      </c>
      <c r="J163" s="1"/>
      <c r="K163" s="34"/>
    </row>
    <row r="164" spans="1:11" x14ac:dyDescent="0.25">
      <c r="A164" s="30">
        <v>402</v>
      </c>
      <c r="B164" s="31">
        <v>0.59411239520619585</v>
      </c>
      <c r="D164" s="10">
        <v>813</v>
      </c>
      <c r="E164" s="11" t="b">
        <v>0</v>
      </c>
      <c r="G164" s="10">
        <v>707</v>
      </c>
      <c r="H164" s="12">
        <v>0.70663463040232144</v>
      </c>
      <c r="J164" s="1"/>
      <c r="K164" s="34"/>
    </row>
    <row r="165" spans="1:11" x14ac:dyDescent="0.25">
      <c r="A165" s="30">
        <v>937</v>
      </c>
      <c r="B165" s="32">
        <v>0.59631865476831702</v>
      </c>
      <c r="D165" s="10">
        <v>814</v>
      </c>
      <c r="E165" s="11" t="b">
        <v>0</v>
      </c>
      <c r="G165" s="10">
        <v>708</v>
      </c>
      <c r="H165" s="12">
        <v>0.38382715577445681</v>
      </c>
      <c r="J165" s="1"/>
      <c r="K165" s="34"/>
    </row>
    <row r="166" spans="1:11" x14ac:dyDescent="0.25">
      <c r="A166" s="30">
        <v>415</v>
      </c>
      <c r="B166" s="31">
        <v>0.60128692075411516</v>
      </c>
      <c r="D166" s="10">
        <v>882</v>
      </c>
      <c r="E166" s="11" t="b">
        <v>0</v>
      </c>
      <c r="G166" s="10">
        <v>709</v>
      </c>
      <c r="H166" s="12">
        <v>0.92539410665822275</v>
      </c>
      <c r="J166" s="1"/>
      <c r="K166" s="34"/>
    </row>
    <row r="167" spans="1:11" x14ac:dyDescent="0.25">
      <c r="A167" s="30">
        <v>510</v>
      </c>
      <c r="B167" s="32">
        <v>0.60243557407613424</v>
      </c>
      <c r="D167" s="10">
        <v>304</v>
      </c>
      <c r="E167" s="11" t="b">
        <v>0</v>
      </c>
      <c r="G167" s="10">
        <v>710</v>
      </c>
      <c r="H167" s="12">
        <v>0.1167413225479903</v>
      </c>
      <c r="J167" s="1"/>
      <c r="K167" s="34"/>
    </row>
    <row r="168" spans="1:11" x14ac:dyDescent="0.25">
      <c r="A168" s="30">
        <v>935</v>
      </c>
      <c r="B168" s="32">
        <v>0.60493082230964212</v>
      </c>
      <c r="D168" s="10">
        <v>409</v>
      </c>
      <c r="E168" s="11" t="b">
        <v>0</v>
      </c>
      <c r="G168" s="10">
        <v>711</v>
      </c>
      <c r="H168" s="12">
        <v>0.45466845670830813</v>
      </c>
      <c r="J168" s="1"/>
      <c r="K168" s="34"/>
    </row>
    <row r="169" spans="1:11" x14ac:dyDescent="0.25">
      <c r="A169" s="30">
        <v>702</v>
      </c>
      <c r="B169" s="32">
        <v>0.61027321192594364</v>
      </c>
      <c r="D169" s="10">
        <v>512</v>
      </c>
      <c r="E169" s="11" t="b">
        <v>0</v>
      </c>
      <c r="G169" s="10">
        <v>712</v>
      </c>
      <c r="H169" s="12">
        <v>0.23997305159098137</v>
      </c>
      <c r="J169" s="1"/>
      <c r="K169" s="34"/>
    </row>
    <row r="170" spans="1:11" x14ac:dyDescent="0.25">
      <c r="A170" s="30">
        <v>902</v>
      </c>
      <c r="B170" s="31">
        <v>0.62126586712679699</v>
      </c>
      <c r="D170" s="10">
        <v>786</v>
      </c>
      <c r="E170" s="11" t="b">
        <v>0</v>
      </c>
      <c r="G170" s="10">
        <v>713</v>
      </c>
      <c r="H170" s="12">
        <v>0.26886048863463252</v>
      </c>
      <c r="J170" s="1"/>
      <c r="K170" s="34"/>
    </row>
    <row r="171" spans="1:11" x14ac:dyDescent="0.25">
      <c r="A171" s="30">
        <v>515</v>
      </c>
      <c r="B171" s="31">
        <v>0.62177237843369748</v>
      </c>
      <c r="D171" s="10">
        <v>915</v>
      </c>
      <c r="E171" s="11" t="b">
        <v>0</v>
      </c>
      <c r="G171" s="10">
        <v>714</v>
      </c>
      <c r="H171" s="12">
        <v>0.91430449878732833</v>
      </c>
      <c r="J171" s="1"/>
      <c r="K171" s="34"/>
    </row>
    <row r="172" spans="1:11" x14ac:dyDescent="0.25">
      <c r="A172" s="30">
        <v>401</v>
      </c>
      <c r="B172" s="32">
        <v>0.62430142086318485</v>
      </c>
      <c r="D172" s="10">
        <v>705</v>
      </c>
      <c r="E172" s="11" t="b">
        <v>0</v>
      </c>
      <c r="G172" s="10">
        <v>715</v>
      </c>
      <c r="H172" s="12">
        <v>0.46835575707586852</v>
      </c>
      <c r="J172" s="1"/>
      <c r="K172" s="34"/>
    </row>
    <row r="173" spans="1:11" x14ac:dyDescent="0.25">
      <c r="A173" s="30">
        <v>450</v>
      </c>
      <c r="B173" s="32">
        <v>0.62921441129106248</v>
      </c>
      <c r="D173" s="10">
        <v>700</v>
      </c>
      <c r="E173" s="11" t="b">
        <v>0</v>
      </c>
      <c r="G173" s="10">
        <v>716</v>
      </c>
      <c r="H173" s="12">
        <v>0.32099827779811407</v>
      </c>
      <c r="J173" s="1"/>
      <c r="K173" s="34"/>
    </row>
    <row r="174" spans="1:11" x14ac:dyDescent="0.25">
      <c r="A174" s="30">
        <v>970</v>
      </c>
      <c r="B174" s="31">
        <v>0.63008575766894281</v>
      </c>
      <c r="D174" s="10">
        <v>819</v>
      </c>
      <c r="E174" s="11" t="b">
        <v>0</v>
      </c>
      <c r="G174" s="10">
        <v>717</v>
      </c>
      <c r="H174" s="12">
        <v>0.660593978811016</v>
      </c>
      <c r="J174" s="1"/>
      <c r="K174" s="34"/>
    </row>
    <row r="175" spans="1:11" x14ac:dyDescent="0.25">
      <c r="A175" s="30">
        <v>740</v>
      </c>
      <c r="B175" s="31">
        <v>0.63302530268224277</v>
      </c>
      <c r="D175" s="10">
        <v>888</v>
      </c>
      <c r="E175" s="11" t="b">
        <v>0</v>
      </c>
      <c r="G175" s="10">
        <v>718</v>
      </c>
      <c r="H175" s="12">
        <v>0.96568836271527225</v>
      </c>
      <c r="J175" s="1"/>
      <c r="K175" s="34"/>
    </row>
    <row r="176" spans="1:11" x14ac:dyDescent="0.25">
      <c r="A176" s="30">
        <v>603</v>
      </c>
      <c r="B176" s="32">
        <v>0.63344780575688109</v>
      </c>
      <c r="D176" s="10">
        <v>905</v>
      </c>
      <c r="E176" s="11" t="b">
        <v>0</v>
      </c>
      <c r="G176" s="10">
        <v>719</v>
      </c>
      <c r="H176" s="12">
        <v>0.52889048214132739</v>
      </c>
      <c r="J176" s="1"/>
      <c r="K176" s="34"/>
    </row>
    <row r="177" spans="1:11" x14ac:dyDescent="0.25">
      <c r="A177" s="30">
        <v>311</v>
      </c>
      <c r="B177" s="32">
        <v>0.64182718777512715</v>
      </c>
      <c r="D177" s="10">
        <v>254</v>
      </c>
      <c r="E177" s="11" t="b">
        <v>0</v>
      </c>
      <c r="G177" s="10">
        <v>720</v>
      </c>
      <c r="H177" s="12">
        <v>0.2397686133254584</v>
      </c>
      <c r="J177" s="1"/>
      <c r="K177" s="34"/>
    </row>
    <row r="178" spans="1:11" x14ac:dyDescent="0.25">
      <c r="A178" s="30">
        <v>302</v>
      </c>
      <c r="B178" s="32">
        <v>0.65728536038525298</v>
      </c>
      <c r="D178" s="10">
        <v>615</v>
      </c>
      <c r="E178" s="11" t="b">
        <v>0</v>
      </c>
      <c r="G178" s="10">
        <v>724</v>
      </c>
      <c r="H178" s="12">
        <v>0.20127767310964406</v>
      </c>
      <c r="J178" s="1"/>
      <c r="K178" s="34"/>
    </row>
    <row r="179" spans="1:11" x14ac:dyDescent="0.25">
      <c r="A179" s="30">
        <v>505</v>
      </c>
      <c r="B179" s="32">
        <v>0.66505889251181649</v>
      </c>
      <c r="D179" s="10">
        <v>209</v>
      </c>
      <c r="E179" s="11" t="b">
        <v>0</v>
      </c>
      <c r="G179" s="10">
        <v>727</v>
      </c>
      <c r="H179" s="12">
        <v>0.39907257844863808</v>
      </c>
      <c r="J179" s="1"/>
      <c r="K179" s="34"/>
    </row>
    <row r="180" spans="1:11" x14ac:dyDescent="0.25">
      <c r="A180" s="30">
        <v>954</v>
      </c>
      <c r="B180" s="32">
        <v>0.66955755548777229</v>
      </c>
      <c r="D180" s="10">
        <v>316</v>
      </c>
      <c r="E180" s="11" t="b">
        <v>0</v>
      </c>
      <c r="G180" s="10">
        <v>732</v>
      </c>
      <c r="H180" s="12">
        <v>0.64417619665809223</v>
      </c>
      <c r="J180" s="1"/>
      <c r="K180" s="34"/>
    </row>
    <row r="181" spans="1:11" x14ac:dyDescent="0.25">
      <c r="A181" s="30">
        <v>310</v>
      </c>
      <c r="B181" s="32">
        <v>0.67005635040486333</v>
      </c>
      <c r="D181" s="10">
        <v>941</v>
      </c>
      <c r="E181" s="11" t="b">
        <v>0</v>
      </c>
      <c r="G181" s="10">
        <v>734</v>
      </c>
      <c r="H181" s="12">
        <v>0.28884573076137843</v>
      </c>
      <c r="J181" s="1"/>
      <c r="K181" s="34"/>
    </row>
    <row r="182" spans="1:11" x14ac:dyDescent="0.25">
      <c r="A182" s="30">
        <v>780</v>
      </c>
      <c r="B182" s="32">
        <v>0.67459200068893588</v>
      </c>
      <c r="D182" s="10">
        <v>413</v>
      </c>
      <c r="E182" s="11" t="b">
        <v>0</v>
      </c>
      <c r="G182" s="10">
        <v>740</v>
      </c>
      <c r="H182" s="12">
        <v>7.9851379184143756E-3</v>
      </c>
      <c r="J182" s="1"/>
      <c r="K182" s="34"/>
    </row>
    <row r="183" spans="1:11" x14ac:dyDescent="0.25">
      <c r="A183" s="30">
        <v>784</v>
      </c>
      <c r="B183" s="31">
        <v>0.67649776311174992</v>
      </c>
      <c r="D183" s="10">
        <v>345</v>
      </c>
      <c r="E183" s="11" t="b">
        <v>0</v>
      </c>
      <c r="G183" s="10">
        <v>757</v>
      </c>
      <c r="H183" s="12">
        <v>0.32140739182390887</v>
      </c>
      <c r="I183" s="30"/>
      <c r="J183" s="1"/>
      <c r="K183" s="34"/>
    </row>
    <row r="184" spans="1:11" x14ac:dyDescent="0.25">
      <c r="A184" s="30">
        <v>209</v>
      </c>
      <c r="B184" s="31">
        <v>0.68020264917514894</v>
      </c>
      <c r="D184" s="10">
        <v>404</v>
      </c>
      <c r="E184" s="11" t="b">
        <v>0</v>
      </c>
      <c r="G184" s="10">
        <v>758</v>
      </c>
      <c r="H184" s="12">
        <v>0.660661047159121</v>
      </c>
      <c r="J184" s="1"/>
      <c r="K184" s="34"/>
    </row>
    <row r="185" spans="1:11" x14ac:dyDescent="0.25">
      <c r="A185" s="30">
        <v>340</v>
      </c>
      <c r="B185" s="32">
        <v>0.68446323826399968</v>
      </c>
      <c r="D185" s="10">
        <v>614</v>
      </c>
      <c r="E185" s="11" t="b">
        <v>0</v>
      </c>
      <c r="G185" s="10">
        <v>760</v>
      </c>
      <c r="H185" s="12">
        <v>0.52115525912118221</v>
      </c>
      <c r="J185" s="1"/>
      <c r="K185" s="34"/>
    </row>
    <row r="186" spans="1:11" x14ac:dyDescent="0.25">
      <c r="A186" s="30">
        <v>219</v>
      </c>
      <c r="B186" s="32">
        <v>0.68599672496966346</v>
      </c>
      <c r="D186" s="10">
        <v>703</v>
      </c>
      <c r="E186" s="11" t="b">
        <v>0</v>
      </c>
      <c r="G186" s="10">
        <v>765</v>
      </c>
      <c r="H186" s="12">
        <v>0.3343641637538427</v>
      </c>
      <c r="J186" s="1"/>
      <c r="K186" s="34"/>
    </row>
    <row r="187" spans="1:11" x14ac:dyDescent="0.25">
      <c r="A187" s="30">
        <v>513</v>
      </c>
      <c r="B187" s="31">
        <v>0.68621931646143186</v>
      </c>
      <c r="D187" s="10">
        <v>973</v>
      </c>
      <c r="E187" s="11" t="b">
        <v>0</v>
      </c>
      <c r="G187" s="10">
        <v>767</v>
      </c>
      <c r="H187" s="12">
        <v>0.99471720743951986</v>
      </c>
      <c r="J187" s="1"/>
      <c r="K187" s="34"/>
    </row>
    <row r="188" spans="1:11" x14ac:dyDescent="0.25">
      <c r="A188" s="30">
        <v>941</v>
      </c>
      <c r="B188" s="32">
        <v>0.68836030446368091</v>
      </c>
      <c r="D188" s="10">
        <v>203</v>
      </c>
      <c r="E188" s="11" t="b">
        <v>0</v>
      </c>
      <c r="G188" s="10">
        <v>770</v>
      </c>
      <c r="H188" s="12">
        <v>0.55452232666813628</v>
      </c>
      <c r="J188" s="1"/>
      <c r="K188" s="34"/>
    </row>
    <row r="189" spans="1:11" x14ac:dyDescent="0.25">
      <c r="A189" s="30">
        <v>903</v>
      </c>
      <c r="B189" s="32">
        <v>0.69114392696862992</v>
      </c>
      <c r="D189" s="10">
        <v>541</v>
      </c>
      <c r="E189" s="11" t="b">
        <v>0</v>
      </c>
      <c r="G189" s="10">
        <v>773</v>
      </c>
      <c r="H189" s="12">
        <v>0.68350740727154025</v>
      </c>
      <c r="J189" s="1"/>
      <c r="K189" s="34"/>
    </row>
    <row r="190" spans="1:11" x14ac:dyDescent="0.25">
      <c r="A190" s="30">
        <v>832</v>
      </c>
      <c r="B190" s="32">
        <v>0.69270937058091786</v>
      </c>
      <c r="D190" s="10">
        <v>267</v>
      </c>
      <c r="E190" s="11" t="b">
        <v>0</v>
      </c>
      <c r="G190" s="10">
        <v>775</v>
      </c>
      <c r="H190" s="12">
        <v>7.8797597185307877E-2</v>
      </c>
      <c r="J190" s="1"/>
      <c r="K190" s="34"/>
    </row>
    <row r="191" spans="1:11" x14ac:dyDescent="0.25">
      <c r="A191" s="30">
        <v>201</v>
      </c>
      <c r="B191" s="31">
        <v>0.69286291390516586</v>
      </c>
      <c r="D191" s="10">
        <v>812</v>
      </c>
      <c r="E191" s="11" t="b">
        <v>0</v>
      </c>
      <c r="G191" s="10">
        <v>780</v>
      </c>
      <c r="H191" s="12">
        <v>7.8581087412278094E-2</v>
      </c>
      <c r="J191" s="1"/>
      <c r="K191" s="34"/>
    </row>
    <row r="192" spans="1:11" x14ac:dyDescent="0.25">
      <c r="A192" s="30">
        <v>306</v>
      </c>
      <c r="B192" s="32">
        <v>0.70676795183318586</v>
      </c>
      <c r="D192" s="10">
        <v>918</v>
      </c>
      <c r="E192" s="11" t="b">
        <v>0</v>
      </c>
      <c r="G192" s="10">
        <v>781</v>
      </c>
      <c r="H192" s="12">
        <v>5.6221359471119503E-2</v>
      </c>
      <c r="J192" s="1"/>
      <c r="K192" s="34"/>
    </row>
    <row r="193" spans="1:11" x14ac:dyDescent="0.25">
      <c r="A193" s="30">
        <v>352</v>
      </c>
      <c r="B193" s="32">
        <v>0.71710251852606322</v>
      </c>
      <c r="D193" s="10">
        <v>309</v>
      </c>
      <c r="E193" s="11" t="b">
        <v>0</v>
      </c>
      <c r="G193" s="10">
        <v>784</v>
      </c>
      <c r="H193" s="12">
        <v>0.93367246860778541</v>
      </c>
      <c r="J193" s="1"/>
      <c r="K193" s="34"/>
    </row>
    <row r="194" spans="1:11" x14ac:dyDescent="0.25">
      <c r="A194" s="30">
        <v>240</v>
      </c>
      <c r="B194" s="31">
        <v>0.729357412226737</v>
      </c>
      <c r="D194" s="10">
        <v>661</v>
      </c>
      <c r="E194" s="11" t="b">
        <v>0</v>
      </c>
      <c r="G194" s="10">
        <v>785</v>
      </c>
      <c r="H194" s="12">
        <v>0.26309312351065028</v>
      </c>
      <c r="J194" s="1"/>
      <c r="K194" s="34"/>
    </row>
    <row r="195" spans="1:11" x14ac:dyDescent="0.25">
      <c r="A195" s="30">
        <v>618</v>
      </c>
      <c r="B195" s="32">
        <v>0.73661174099629967</v>
      </c>
      <c r="D195" s="10">
        <v>702</v>
      </c>
      <c r="E195" s="11" t="b">
        <v>0</v>
      </c>
      <c r="G195" s="10">
        <v>786</v>
      </c>
      <c r="H195" s="12">
        <v>0.14961492546916644</v>
      </c>
      <c r="J195" s="1"/>
      <c r="K195" s="34"/>
    </row>
    <row r="196" spans="1:11" x14ac:dyDescent="0.25">
      <c r="A196" s="30">
        <v>267</v>
      </c>
      <c r="B196" s="32">
        <v>0.73718450737294239</v>
      </c>
      <c r="D196" s="10">
        <v>720</v>
      </c>
      <c r="E196" s="11" t="b">
        <v>0</v>
      </c>
      <c r="G196" s="10">
        <v>787</v>
      </c>
      <c r="H196" s="12">
        <v>0.28249988932483761</v>
      </c>
      <c r="J196" s="1"/>
      <c r="K196" s="34"/>
    </row>
    <row r="197" spans="1:11" x14ac:dyDescent="0.25">
      <c r="A197" s="30">
        <v>608</v>
      </c>
      <c r="B197" s="32">
        <v>0.73798259454618687</v>
      </c>
      <c r="D197" s="10">
        <v>315</v>
      </c>
      <c r="E197" s="11" t="b">
        <v>0</v>
      </c>
      <c r="G197" s="10">
        <v>800</v>
      </c>
      <c r="H197" s="12">
        <v>0.20615970728662336</v>
      </c>
      <c r="J197" s="1"/>
      <c r="K197" s="34"/>
    </row>
    <row r="198" spans="1:11" x14ac:dyDescent="0.25">
      <c r="A198" s="30">
        <v>773</v>
      </c>
      <c r="B198" s="32">
        <v>0.74526277456160639</v>
      </c>
      <c r="D198" s="10">
        <v>469</v>
      </c>
      <c r="E198" s="11" t="b">
        <v>0</v>
      </c>
      <c r="G198" s="10">
        <v>801</v>
      </c>
      <c r="H198" s="12">
        <v>0.45641020300243462</v>
      </c>
      <c r="J198" s="1"/>
      <c r="K198" s="34"/>
    </row>
    <row r="199" spans="1:11" x14ac:dyDescent="0.25">
      <c r="A199" s="30">
        <v>435</v>
      </c>
      <c r="B199" s="32">
        <v>0.74610131458543005</v>
      </c>
      <c r="D199" s="10">
        <v>573</v>
      </c>
      <c r="E199" s="11" t="b">
        <v>0</v>
      </c>
      <c r="G199" s="10">
        <v>802</v>
      </c>
      <c r="H199" s="12">
        <v>7.6926037073392961E-2</v>
      </c>
      <c r="J199" s="1"/>
      <c r="K199" s="34"/>
    </row>
    <row r="200" spans="1:11" x14ac:dyDescent="0.25">
      <c r="A200" s="30">
        <v>787</v>
      </c>
      <c r="B200" s="32">
        <v>0.75194340801343429</v>
      </c>
      <c r="D200" s="10">
        <v>818</v>
      </c>
      <c r="E200" s="11" t="b">
        <v>0</v>
      </c>
      <c r="G200" s="10">
        <v>803</v>
      </c>
      <c r="H200" s="12">
        <v>0.71696879099259747</v>
      </c>
      <c r="I200" s="30"/>
      <c r="J200" s="1"/>
      <c r="K200" s="34"/>
    </row>
    <row r="201" spans="1:11" x14ac:dyDescent="0.25">
      <c r="A201" s="30">
        <v>602</v>
      </c>
      <c r="B201" s="32">
        <v>0.7538850473062283</v>
      </c>
      <c r="D201" s="10">
        <v>811</v>
      </c>
      <c r="E201" s="11" t="b">
        <v>0</v>
      </c>
      <c r="G201" s="10">
        <v>804</v>
      </c>
      <c r="H201" s="12">
        <v>0.21176672224663273</v>
      </c>
      <c r="J201" s="1"/>
      <c r="K201" s="34"/>
    </row>
    <row r="202" spans="1:11" x14ac:dyDescent="0.25">
      <c r="A202" s="30">
        <v>949</v>
      </c>
      <c r="B202" s="32">
        <v>0.75681268090370957</v>
      </c>
      <c r="D202" s="10">
        <v>224</v>
      </c>
      <c r="E202" s="11" t="b">
        <v>0</v>
      </c>
      <c r="G202" s="10">
        <v>805</v>
      </c>
      <c r="H202" s="12">
        <v>0.53366552719076177</v>
      </c>
      <c r="I202" s="30"/>
      <c r="J202" s="1"/>
      <c r="K202" s="34"/>
    </row>
    <row r="203" spans="1:11" x14ac:dyDescent="0.25">
      <c r="A203" s="30">
        <v>405</v>
      </c>
      <c r="B203" s="32">
        <v>0.75701261636330019</v>
      </c>
      <c r="D203" s="10">
        <v>416</v>
      </c>
      <c r="E203" s="11" t="b">
        <v>0</v>
      </c>
      <c r="G203" s="10">
        <v>806</v>
      </c>
      <c r="H203" s="12">
        <v>0.70132775281153181</v>
      </c>
      <c r="J203" s="1"/>
      <c r="K203" s="34"/>
    </row>
    <row r="204" spans="1:11" x14ac:dyDescent="0.25">
      <c r="A204" s="30">
        <v>678</v>
      </c>
      <c r="B204" s="32">
        <v>0.75871511498791921</v>
      </c>
      <c r="D204" s="10">
        <v>473</v>
      </c>
      <c r="E204" s="11" t="b">
        <v>0</v>
      </c>
      <c r="G204" s="10">
        <v>807</v>
      </c>
      <c r="H204" s="12">
        <v>0.70900866819569031</v>
      </c>
      <c r="J204" s="1"/>
      <c r="K204" s="34"/>
    </row>
    <row r="205" spans="1:11" x14ac:dyDescent="0.25">
      <c r="A205" s="30">
        <v>807</v>
      </c>
      <c r="B205" s="32">
        <v>0.76142395642019722</v>
      </c>
      <c r="D205" s="10">
        <v>757</v>
      </c>
      <c r="E205" s="11" t="b">
        <v>0</v>
      </c>
      <c r="G205" s="10">
        <v>808</v>
      </c>
      <c r="H205" s="12">
        <v>0.55842437218606744</v>
      </c>
      <c r="J205" s="1"/>
      <c r="K205" s="34"/>
    </row>
    <row r="206" spans="1:11" x14ac:dyDescent="0.25">
      <c r="A206" s="30">
        <v>868</v>
      </c>
      <c r="B206" s="32">
        <v>0.76174897760793236</v>
      </c>
      <c r="D206" s="10">
        <v>765</v>
      </c>
      <c r="E206" s="11" t="b">
        <v>0</v>
      </c>
      <c r="G206" s="10">
        <v>809</v>
      </c>
      <c r="H206" s="12">
        <v>0.1872526053007163</v>
      </c>
      <c r="J206" s="1"/>
      <c r="K206" s="34"/>
    </row>
    <row r="207" spans="1:11" x14ac:dyDescent="0.25">
      <c r="A207" s="30">
        <v>906</v>
      </c>
      <c r="B207" s="32">
        <v>0.76204801592309956</v>
      </c>
      <c r="D207" s="10">
        <v>310</v>
      </c>
      <c r="E207" s="11" t="b">
        <v>0</v>
      </c>
      <c r="G207" s="10">
        <v>810</v>
      </c>
      <c r="H207" s="12">
        <v>0.74822335537223827</v>
      </c>
      <c r="J207" s="1"/>
      <c r="K207" s="34"/>
    </row>
    <row r="208" spans="1:11" x14ac:dyDescent="0.25">
      <c r="A208" s="30">
        <v>615</v>
      </c>
      <c r="B208" s="32">
        <v>0.76563406392739208</v>
      </c>
      <c r="D208" s="10">
        <v>330</v>
      </c>
      <c r="E208" s="11" t="b">
        <v>0</v>
      </c>
      <c r="G208" s="10">
        <v>811</v>
      </c>
      <c r="H208" s="12">
        <v>0.49977497287798145</v>
      </c>
      <c r="J208" s="1"/>
      <c r="K208" s="34"/>
    </row>
    <row r="209" spans="1:11" x14ac:dyDescent="0.25">
      <c r="A209" s="30">
        <v>610</v>
      </c>
      <c r="B209" s="32">
        <v>0.77335591825777794</v>
      </c>
      <c r="D209" s="10">
        <v>604</v>
      </c>
      <c r="E209" s="11" t="b">
        <v>0</v>
      </c>
      <c r="G209" s="10">
        <v>812</v>
      </c>
      <c r="H209" s="12">
        <v>0.73315602498871246</v>
      </c>
      <c r="J209" s="1"/>
      <c r="K209" s="34"/>
    </row>
    <row r="210" spans="1:11" x14ac:dyDescent="0.25">
      <c r="A210" s="30">
        <v>909</v>
      </c>
      <c r="B210" s="31">
        <v>0.78296856096070044</v>
      </c>
      <c r="D210" s="10">
        <v>650</v>
      </c>
      <c r="E210" s="11" t="b">
        <v>0</v>
      </c>
      <c r="G210" s="10">
        <v>813</v>
      </c>
      <c r="H210" s="12">
        <v>1.3348733257747991E-2</v>
      </c>
      <c r="J210" s="1"/>
      <c r="K210" s="34"/>
    </row>
    <row r="211" spans="1:11" x14ac:dyDescent="0.25">
      <c r="A211" s="30">
        <v>700</v>
      </c>
      <c r="B211" s="32">
        <v>0.78338171882040231</v>
      </c>
      <c r="D211" s="10">
        <v>713</v>
      </c>
      <c r="E211" s="11" t="b">
        <v>0</v>
      </c>
      <c r="G211" s="10">
        <v>814</v>
      </c>
      <c r="H211" s="12">
        <v>0.98356623622587691</v>
      </c>
      <c r="J211" s="1"/>
      <c r="K211" s="34"/>
    </row>
    <row r="212" spans="1:11" x14ac:dyDescent="0.25">
      <c r="A212" s="30">
        <v>562</v>
      </c>
      <c r="B212" s="31">
        <v>0.78959183742941697</v>
      </c>
      <c r="D212" s="10">
        <v>732</v>
      </c>
      <c r="E212" s="11" t="b">
        <v>0</v>
      </c>
      <c r="G212" s="10">
        <v>815</v>
      </c>
      <c r="H212" s="12">
        <v>0.65415275596858891</v>
      </c>
      <c r="J212" s="1"/>
      <c r="K212" s="34"/>
    </row>
    <row r="213" spans="1:11" x14ac:dyDescent="0.25">
      <c r="A213" s="30">
        <v>828</v>
      </c>
      <c r="B213" s="32">
        <v>0.78985629144894554</v>
      </c>
      <c r="D213" s="10">
        <v>758</v>
      </c>
      <c r="E213" s="11" t="b">
        <v>0</v>
      </c>
      <c r="G213" s="10">
        <v>816</v>
      </c>
      <c r="H213" s="12">
        <v>0.85273469157297332</v>
      </c>
      <c r="J213" s="1"/>
      <c r="K213" s="34"/>
    </row>
    <row r="214" spans="1:11" x14ac:dyDescent="0.25">
      <c r="A214" s="30">
        <v>456</v>
      </c>
      <c r="B214" s="31">
        <v>0.79030314007525793</v>
      </c>
      <c r="D214" s="10">
        <v>208</v>
      </c>
      <c r="E214" s="11" t="b">
        <v>0</v>
      </c>
      <c r="G214" s="10">
        <v>817</v>
      </c>
      <c r="H214" s="12">
        <v>0.31673387300778733</v>
      </c>
      <c r="J214" s="1"/>
      <c r="K214" s="34"/>
    </row>
    <row r="215" spans="1:11" x14ac:dyDescent="0.25">
      <c r="A215" s="30">
        <v>541</v>
      </c>
      <c r="B215" s="32">
        <v>0.79219433380198545</v>
      </c>
      <c r="D215" s="10">
        <v>216</v>
      </c>
      <c r="E215" s="11" t="b">
        <v>0</v>
      </c>
      <c r="G215" s="10">
        <v>818</v>
      </c>
      <c r="H215" s="12">
        <v>0.84643768636548433</v>
      </c>
      <c r="J215" s="1"/>
      <c r="K215" s="34"/>
    </row>
    <row r="216" spans="1:11" x14ac:dyDescent="0.25">
      <c r="A216" s="30">
        <v>307</v>
      </c>
      <c r="B216" s="31">
        <v>0.79645825941050175</v>
      </c>
      <c r="D216" s="10">
        <v>724</v>
      </c>
      <c r="E216" s="11" t="b">
        <v>0</v>
      </c>
      <c r="G216" s="10">
        <v>819</v>
      </c>
      <c r="H216" s="12">
        <v>0.30963022372420745</v>
      </c>
      <c r="J216" s="1"/>
      <c r="K216" s="34"/>
    </row>
    <row r="217" spans="1:11" x14ac:dyDescent="0.25">
      <c r="A217" s="30">
        <v>516</v>
      </c>
      <c r="B217" s="32">
        <v>0.80078962739313464</v>
      </c>
      <c r="D217" s="10">
        <v>213</v>
      </c>
      <c r="E217" s="11" t="b">
        <v>0</v>
      </c>
      <c r="G217" s="10">
        <v>828</v>
      </c>
      <c r="H217" s="12">
        <v>0.26943427951219634</v>
      </c>
      <c r="J217" s="1"/>
      <c r="K217" s="34"/>
    </row>
    <row r="218" spans="1:11" x14ac:dyDescent="0.25">
      <c r="A218" s="30">
        <v>507</v>
      </c>
      <c r="B218" s="32">
        <v>0.80162421691577956</v>
      </c>
      <c r="D218" s="10">
        <v>314</v>
      </c>
      <c r="E218" s="11" t="b">
        <v>0</v>
      </c>
      <c r="G218" s="10">
        <v>830</v>
      </c>
      <c r="H218" s="12">
        <v>0.34468414324368879</v>
      </c>
      <c r="J218" s="1"/>
      <c r="K218" s="34"/>
    </row>
    <row r="219" spans="1:11" x14ac:dyDescent="0.25">
      <c r="A219" s="30">
        <v>904</v>
      </c>
      <c r="B219" s="31">
        <v>0.80737840355184121</v>
      </c>
      <c r="D219" s="10">
        <v>864</v>
      </c>
      <c r="E219" s="11" t="b">
        <v>0</v>
      </c>
      <c r="G219" s="10">
        <v>831</v>
      </c>
      <c r="H219" s="12">
        <v>0.78992598851024687</v>
      </c>
      <c r="J219" s="1"/>
      <c r="K219" s="34"/>
    </row>
    <row r="220" spans="1:11" x14ac:dyDescent="0.25">
      <c r="A220" s="30">
        <v>217</v>
      </c>
      <c r="B220" s="32">
        <v>0.81001149896764357</v>
      </c>
      <c r="D220" s="10">
        <v>281</v>
      </c>
      <c r="E220" s="11" t="b">
        <v>0</v>
      </c>
      <c r="G220" s="10">
        <v>832</v>
      </c>
      <c r="H220" s="12">
        <v>0.89230375925875149</v>
      </c>
      <c r="J220" s="1"/>
      <c r="K220" s="34"/>
    </row>
    <row r="221" spans="1:11" x14ac:dyDescent="0.25">
      <c r="A221" s="30">
        <v>770</v>
      </c>
      <c r="B221" s="31">
        <v>0.81063341898218422</v>
      </c>
      <c r="D221" s="10">
        <v>303</v>
      </c>
      <c r="E221" s="11" t="b">
        <v>0</v>
      </c>
      <c r="G221" s="10">
        <v>843</v>
      </c>
      <c r="H221" s="12">
        <v>0.17150602880629195</v>
      </c>
      <c r="J221" s="1"/>
      <c r="K221" s="34"/>
    </row>
    <row r="222" spans="1:11" x14ac:dyDescent="0.25">
      <c r="A222" s="30">
        <v>424</v>
      </c>
      <c r="B222" s="32">
        <v>0.81480136301190342</v>
      </c>
      <c r="D222" s="10">
        <v>704</v>
      </c>
      <c r="E222" s="11" t="b">
        <v>0</v>
      </c>
      <c r="G222" s="10">
        <v>847</v>
      </c>
      <c r="H222" s="12">
        <v>0.6048240829133319</v>
      </c>
      <c r="J222" s="1"/>
      <c r="K222" s="34"/>
    </row>
    <row r="223" spans="1:11" x14ac:dyDescent="0.25">
      <c r="A223" s="30">
        <v>908</v>
      </c>
      <c r="B223" s="32">
        <v>0.81590101735614062</v>
      </c>
      <c r="D223" s="10">
        <v>716</v>
      </c>
      <c r="E223" s="11" t="b">
        <v>0</v>
      </c>
      <c r="G223" s="10">
        <v>850</v>
      </c>
      <c r="H223" s="12">
        <v>0.34483966747832062</v>
      </c>
      <c r="J223" s="1"/>
      <c r="K223" s="34"/>
    </row>
    <row r="224" spans="1:11" x14ac:dyDescent="0.25">
      <c r="A224" s="30">
        <v>888</v>
      </c>
      <c r="B224" s="32">
        <v>0.8257711346359633</v>
      </c>
      <c r="D224" s="10">
        <v>817</v>
      </c>
      <c r="E224" s="11" t="b">
        <v>0</v>
      </c>
      <c r="G224" s="10">
        <v>858</v>
      </c>
      <c r="H224" s="12">
        <v>0.294201061945775</v>
      </c>
      <c r="J224" s="1"/>
      <c r="K224" s="34"/>
    </row>
    <row r="225" spans="1:11" x14ac:dyDescent="0.25">
      <c r="A225" s="30">
        <v>813</v>
      </c>
      <c r="B225" s="31">
        <v>0.82606430720490809</v>
      </c>
      <c r="D225" s="10">
        <v>307</v>
      </c>
      <c r="E225" s="11" t="b">
        <v>0</v>
      </c>
      <c r="G225" s="10">
        <v>860</v>
      </c>
      <c r="H225" s="12">
        <v>0.17076295966072663</v>
      </c>
      <c r="J225" s="1"/>
      <c r="K225" s="34"/>
    </row>
    <row r="226" spans="1:11" x14ac:dyDescent="0.25">
      <c r="A226" s="30">
        <v>704</v>
      </c>
      <c r="B226" s="32">
        <v>0.83119218096822778</v>
      </c>
      <c r="D226" s="10">
        <v>228</v>
      </c>
      <c r="E226" s="11" t="b">
        <v>0</v>
      </c>
      <c r="G226" s="10">
        <v>864</v>
      </c>
      <c r="H226" s="12">
        <v>0.72590439274192464</v>
      </c>
      <c r="J226" s="1"/>
      <c r="K226" s="34"/>
    </row>
    <row r="227" spans="1:11" x14ac:dyDescent="0.25">
      <c r="A227" s="30">
        <v>864</v>
      </c>
      <c r="B227" s="32">
        <v>0.83209483366480175</v>
      </c>
      <c r="D227" s="10">
        <v>630</v>
      </c>
      <c r="E227" s="11" t="b">
        <v>0</v>
      </c>
      <c r="G227" s="10">
        <v>867</v>
      </c>
      <c r="H227" s="12">
        <v>0.65437012192568078</v>
      </c>
      <c r="J227" s="1"/>
      <c r="K227" s="34"/>
    </row>
    <row r="228" spans="1:11" x14ac:dyDescent="0.25">
      <c r="A228" s="30">
        <v>611</v>
      </c>
      <c r="B228" s="31">
        <v>0.83218916610536187</v>
      </c>
      <c r="D228" s="10">
        <v>707</v>
      </c>
      <c r="E228" s="11" t="b">
        <v>0</v>
      </c>
      <c r="G228" s="10">
        <v>868</v>
      </c>
      <c r="H228" s="12">
        <v>0.92923056555236061</v>
      </c>
      <c r="J228" s="1"/>
      <c r="K228" s="34"/>
    </row>
    <row r="229" spans="1:11" x14ac:dyDescent="0.25">
      <c r="A229" s="30">
        <v>931</v>
      </c>
      <c r="B229" s="32">
        <v>0.83505643181217504</v>
      </c>
      <c r="D229" s="10">
        <v>770</v>
      </c>
      <c r="E229" s="11" t="b">
        <v>0</v>
      </c>
      <c r="G229" s="10">
        <v>869</v>
      </c>
      <c r="H229" s="12">
        <v>0.40557602333368337</v>
      </c>
      <c r="J229" s="1"/>
      <c r="K229" s="34"/>
    </row>
    <row r="230" spans="1:11" x14ac:dyDescent="0.25">
      <c r="A230" s="30">
        <v>323</v>
      </c>
      <c r="B230" s="32">
        <v>0.84352952727527264</v>
      </c>
      <c r="D230" s="10">
        <v>911</v>
      </c>
      <c r="E230" s="11" t="b">
        <v>0</v>
      </c>
      <c r="G230" s="10">
        <v>870</v>
      </c>
      <c r="H230" s="12">
        <v>0.14662200698628336</v>
      </c>
      <c r="J230" s="1"/>
      <c r="K230" s="34"/>
    </row>
    <row r="231" spans="1:11" x14ac:dyDescent="0.25">
      <c r="A231" s="30">
        <v>616</v>
      </c>
      <c r="B231" s="32">
        <v>0.84406912676335399</v>
      </c>
      <c r="D231" s="10">
        <v>270</v>
      </c>
      <c r="E231" s="11" t="b">
        <v>0</v>
      </c>
      <c r="G231" s="10">
        <v>876</v>
      </c>
      <c r="H231" s="12">
        <v>3.892517413092822E-2</v>
      </c>
      <c r="J231" s="1"/>
      <c r="K231" s="34"/>
    </row>
    <row r="232" spans="1:11" x14ac:dyDescent="0.25">
      <c r="A232" s="30">
        <v>580</v>
      </c>
      <c r="B232" s="31">
        <v>0.84722523830318242</v>
      </c>
      <c r="D232" s="10">
        <v>219</v>
      </c>
      <c r="E232" s="11" t="b">
        <v>0</v>
      </c>
      <c r="G232" s="10">
        <v>877</v>
      </c>
      <c r="H232" s="12">
        <v>0.92164932098385044</v>
      </c>
      <c r="J232" s="1"/>
      <c r="K232" s="34"/>
    </row>
    <row r="233" spans="1:11" x14ac:dyDescent="0.25">
      <c r="A233" s="30">
        <v>605</v>
      </c>
      <c r="B233" s="31">
        <v>0.84774288036117817</v>
      </c>
      <c r="D233" s="10">
        <v>916</v>
      </c>
      <c r="E233" s="11" t="b">
        <v>0</v>
      </c>
      <c r="G233" s="10">
        <v>880</v>
      </c>
      <c r="H233" s="12">
        <v>7.5824234343432106E-2</v>
      </c>
      <c r="J233" s="1"/>
      <c r="K233" s="34"/>
    </row>
    <row r="234" spans="1:11" x14ac:dyDescent="0.25">
      <c r="A234" s="30">
        <v>670</v>
      </c>
      <c r="B234" s="31">
        <v>0.85769983191605303</v>
      </c>
      <c r="D234" s="10">
        <v>919</v>
      </c>
      <c r="E234" s="11" t="b">
        <v>0</v>
      </c>
      <c r="G234" s="10">
        <v>881</v>
      </c>
      <c r="H234" s="12">
        <v>0.73154648426491808</v>
      </c>
      <c r="J234" s="1"/>
      <c r="K234" s="34"/>
    </row>
    <row r="235" spans="1:11" x14ac:dyDescent="0.25">
      <c r="A235" s="30">
        <v>504</v>
      </c>
      <c r="B235" s="31">
        <v>0.86074737228820541</v>
      </c>
      <c r="D235" s="10">
        <v>411</v>
      </c>
      <c r="E235" s="11" t="b">
        <v>0</v>
      </c>
      <c r="G235" s="10">
        <v>882</v>
      </c>
      <c r="H235" s="12">
        <v>0.27810525769563177</v>
      </c>
      <c r="J235" s="1"/>
      <c r="K235" s="34"/>
    </row>
    <row r="236" spans="1:11" x14ac:dyDescent="0.25">
      <c r="A236" s="30">
        <v>940</v>
      </c>
      <c r="B236" s="32">
        <v>0.86729119170495672</v>
      </c>
      <c r="D236" s="10">
        <v>867</v>
      </c>
      <c r="E236" s="11" t="b">
        <v>0</v>
      </c>
      <c r="G236" s="10">
        <v>888</v>
      </c>
      <c r="H236" s="12">
        <v>0.45666284432294701</v>
      </c>
      <c r="J236" s="1"/>
      <c r="K236" s="34"/>
    </row>
    <row r="237" spans="1:11" x14ac:dyDescent="0.25">
      <c r="A237" s="30">
        <v>559</v>
      </c>
      <c r="B237" s="31">
        <v>0.87778182961136886</v>
      </c>
      <c r="D237" s="10">
        <v>256</v>
      </c>
      <c r="E237" s="11" t="b">
        <v>0</v>
      </c>
      <c r="G237" s="10">
        <v>900</v>
      </c>
      <c r="H237" s="12">
        <v>0.31015729560336314</v>
      </c>
      <c r="J237" s="1"/>
      <c r="K237" s="34"/>
    </row>
    <row r="238" spans="1:11" x14ac:dyDescent="0.25">
      <c r="A238" s="30">
        <v>914</v>
      </c>
      <c r="B238" s="31">
        <v>0.88199750682695521</v>
      </c>
      <c r="D238" s="10">
        <v>323</v>
      </c>
      <c r="E238" s="11" t="b">
        <v>0</v>
      </c>
      <c r="G238" s="10">
        <v>901</v>
      </c>
      <c r="H238" s="12">
        <v>0.52727310720605614</v>
      </c>
      <c r="J238" s="1"/>
      <c r="K238" s="34"/>
    </row>
    <row r="239" spans="1:11" x14ac:dyDescent="0.25">
      <c r="A239" s="30">
        <v>305</v>
      </c>
      <c r="B239" s="32">
        <v>0.88439274674865609</v>
      </c>
      <c r="D239" s="10">
        <v>701</v>
      </c>
      <c r="E239" s="11" t="b">
        <v>0</v>
      </c>
      <c r="G239" s="10">
        <v>902</v>
      </c>
      <c r="H239" s="12">
        <v>0.14303722732996749</v>
      </c>
      <c r="J239" s="1"/>
      <c r="K239" s="34"/>
    </row>
    <row r="240" spans="1:11" x14ac:dyDescent="0.25">
      <c r="A240" s="30">
        <v>315</v>
      </c>
      <c r="B240" s="31">
        <v>0.88546167247053031</v>
      </c>
      <c r="D240" s="10">
        <v>284</v>
      </c>
      <c r="E240" s="11" t="b">
        <v>0</v>
      </c>
      <c r="G240" s="10">
        <v>903</v>
      </c>
      <c r="H240" s="12">
        <v>0.76147898329598518</v>
      </c>
      <c r="J240" s="1"/>
      <c r="K240" s="34"/>
    </row>
    <row r="241" spans="1:11" x14ac:dyDescent="0.25">
      <c r="A241" s="30">
        <v>304</v>
      </c>
      <c r="B241" s="31">
        <v>0.88761154762116834</v>
      </c>
      <c r="D241" s="10">
        <v>570</v>
      </c>
      <c r="E241" s="11" t="b">
        <v>0</v>
      </c>
      <c r="G241" s="10">
        <v>904</v>
      </c>
      <c r="H241" s="12">
        <v>0.61146988783275602</v>
      </c>
      <c r="J241" s="1"/>
      <c r="K241" s="34"/>
    </row>
    <row r="242" spans="1:11" x14ac:dyDescent="0.25">
      <c r="A242" s="30">
        <v>805</v>
      </c>
      <c r="B242" s="31">
        <v>0.8879838013555057</v>
      </c>
      <c r="D242" s="10">
        <v>608</v>
      </c>
      <c r="E242" s="11" t="b">
        <v>0</v>
      </c>
      <c r="G242" s="10">
        <v>905</v>
      </c>
      <c r="H242" s="12">
        <v>6.2654064773129736E-2</v>
      </c>
      <c r="I242" s="30"/>
      <c r="J242" s="1"/>
      <c r="K242" s="34"/>
    </row>
    <row r="243" spans="1:11" x14ac:dyDescent="0.25">
      <c r="A243" s="30">
        <v>858</v>
      </c>
      <c r="B243" s="31">
        <v>0.89213620008765837</v>
      </c>
      <c r="D243" s="10">
        <v>719</v>
      </c>
      <c r="E243" s="11" t="b">
        <v>0</v>
      </c>
      <c r="G243" s="10">
        <v>906</v>
      </c>
      <c r="H243" s="12">
        <v>0.39260821433685267</v>
      </c>
      <c r="J243" s="1"/>
      <c r="K243" s="34"/>
    </row>
    <row r="244" spans="1:11" x14ac:dyDescent="0.25">
      <c r="A244" s="30">
        <v>213</v>
      </c>
      <c r="B244" s="32">
        <v>0.89652184309034211</v>
      </c>
      <c r="D244" s="10">
        <v>903</v>
      </c>
      <c r="E244" s="11" t="b">
        <v>0</v>
      </c>
      <c r="G244" s="10">
        <v>907</v>
      </c>
      <c r="H244" s="12">
        <v>0.49643031818336136</v>
      </c>
      <c r="J244" s="1"/>
      <c r="K244" s="34"/>
    </row>
    <row r="245" spans="1:11" x14ac:dyDescent="0.25">
      <c r="A245" s="30">
        <v>651</v>
      </c>
      <c r="B245" s="31">
        <v>0.9088280959229309</v>
      </c>
      <c r="D245" s="10">
        <v>712</v>
      </c>
      <c r="E245" s="11" t="b">
        <v>0</v>
      </c>
      <c r="G245" s="10">
        <v>908</v>
      </c>
      <c r="H245" s="12">
        <v>0.92516391752383742</v>
      </c>
      <c r="J245" s="1"/>
      <c r="K245" s="34"/>
    </row>
    <row r="246" spans="1:11" x14ac:dyDescent="0.25">
      <c r="A246" s="30">
        <v>649</v>
      </c>
      <c r="B246" s="32">
        <v>0.91471856453200306</v>
      </c>
      <c r="D246" s="10">
        <v>406</v>
      </c>
      <c r="E246" s="11" t="b">
        <v>0</v>
      </c>
      <c r="G246" s="10">
        <v>909</v>
      </c>
      <c r="H246" s="12">
        <v>0.26458588525719651</v>
      </c>
      <c r="J246" s="1"/>
      <c r="K246" s="34"/>
    </row>
    <row r="247" spans="1:11" x14ac:dyDescent="0.25">
      <c r="A247" s="30">
        <v>724</v>
      </c>
      <c r="B247" s="31">
        <v>0.92203741431822883</v>
      </c>
      <c r="D247" s="10">
        <v>414</v>
      </c>
      <c r="E247" s="11" t="b">
        <v>0</v>
      </c>
      <c r="G247" s="10">
        <v>910</v>
      </c>
      <c r="H247" s="12">
        <v>0.83961155428383971</v>
      </c>
      <c r="J247" s="1"/>
      <c r="K247" s="34"/>
    </row>
    <row r="248" spans="1:11" x14ac:dyDescent="0.25">
      <c r="A248" s="30">
        <v>573</v>
      </c>
      <c r="B248" s="31">
        <v>0.92753960707125549</v>
      </c>
      <c r="D248" s="10">
        <v>480</v>
      </c>
      <c r="E248" s="11" t="b">
        <v>0</v>
      </c>
      <c r="G248" s="10">
        <v>911</v>
      </c>
      <c r="H248" s="12">
        <v>0.43248614667791629</v>
      </c>
      <c r="J248" s="1"/>
      <c r="K248" s="34"/>
    </row>
    <row r="249" spans="1:11" x14ac:dyDescent="0.25">
      <c r="A249" s="30">
        <v>661</v>
      </c>
      <c r="B249" s="31">
        <v>0.92788880759253334</v>
      </c>
      <c r="D249" s="10">
        <v>530</v>
      </c>
      <c r="E249" s="11" t="b">
        <v>0</v>
      </c>
      <c r="G249" s="10">
        <v>912</v>
      </c>
      <c r="H249" s="12">
        <v>0.68344743808084907</v>
      </c>
      <c r="J249" s="1"/>
      <c r="K249" s="34"/>
    </row>
    <row r="250" spans="1:11" x14ac:dyDescent="0.25">
      <c r="A250" s="30">
        <v>660</v>
      </c>
      <c r="B250" s="32">
        <v>0.93972037855140378</v>
      </c>
      <c r="D250" s="10">
        <v>708</v>
      </c>
      <c r="E250" s="11" t="b">
        <v>0</v>
      </c>
      <c r="G250" s="10">
        <v>913</v>
      </c>
      <c r="H250" s="12">
        <v>0.47321206923448578</v>
      </c>
      <c r="J250" s="1"/>
      <c r="K250" s="34"/>
    </row>
    <row r="251" spans="1:11" x14ac:dyDescent="0.25">
      <c r="A251" s="30">
        <v>612</v>
      </c>
      <c r="B251" s="32">
        <v>0.94003265654542434</v>
      </c>
      <c r="D251" s="10">
        <v>907</v>
      </c>
      <c r="E251" s="11" t="b">
        <v>0</v>
      </c>
      <c r="G251" s="10">
        <v>914</v>
      </c>
      <c r="H251" s="12">
        <v>0.27483201063416396</v>
      </c>
      <c r="J251" s="1"/>
      <c r="K251" s="34"/>
    </row>
    <row r="252" spans="1:11" x14ac:dyDescent="0.25">
      <c r="A252" s="30">
        <v>214</v>
      </c>
      <c r="B252" s="31">
        <v>0.94373720658558502</v>
      </c>
      <c r="D252" s="10">
        <v>931</v>
      </c>
      <c r="E252" s="11" t="b">
        <v>0</v>
      </c>
      <c r="G252" s="10">
        <v>915</v>
      </c>
      <c r="H252" s="12">
        <v>0.17634144160354415</v>
      </c>
      <c r="J252" s="1"/>
      <c r="K252" s="34"/>
    </row>
    <row r="253" spans="1:11" x14ac:dyDescent="0.25">
      <c r="A253" s="30">
        <v>907</v>
      </c>
      <c r="B253" s="32">
        <v>0.94380758229528372</v>
      </c>
      <c r="D253" s="10">
        <v>206</v>
      </c>
      <c r="E253" s="11" t="b">
        <v>0</v>
      </c>
      <c r="G253" s="10">
        <v>916</v>
      </c>
      <c r="H253" s="12">
        <v>0.62397487103866289</v>
      </c>
      <c r="J253" s="1"/>
      <c r="K253" s="34"/>
    </row>
    <row r="254" spans="1:11" x14ac:dyDescent="0.25">
      <c r="A254" s="30">
        <v>418</v>
      </c>
      <c r="B254" s="32">
        <v>0.94411875580227111</v>
      </c>
      <c r="D254" s="10">
        <v>308</v>
      </c>
      <c r="E254" s="11" t="b">
        <v>0</v>
      </c>
      <c r="G254" s="10">
        <v>917</v>
      </c>
      <c r="H254" s="12">
        <v>0.19059954312301453</v>
      </c>
      <c r="J254" s="1"/>
      <c r="K254" s="34"/>
    </row>
    <row r="255" spans="1:11" x14ac:dyDescent="0.25">
      <c r="A255" s="30">
        <v>416</v>
      </c>
      <c r="B255" s="32">
        <v>0.94933297413664586</v>
      </c>
      <c r="D255" s="10">
        <v>517</v>
      </c>
      <c r="E255" s="11" t="b">
        <v>0</v>
      </c>
      <c r="G255" s="10">
        <v>918</v>
      </c>
      <c r="H255" s="12">
        <v>0.20064028178933624</v>
      </c>
      <c r="J255" s="1"/>
      <c r="K255" s="34"/>
    </row>
    <row r="256" spans="1:11" x14ac:dyDescent="0.25">
      <c r="A256" s="30">
        <v>484</v>
      </c>
      <c r="B256" s="32">
        <v>0.9527468798610258</v>
      </c>
      <c r="D256" s="10">
        <v>937</v>
      </c>
      <c r="E256" s="11" t="b">
        <v>0</v>
      </c>
      <c r="G256" s="10">
        <v>919</v>
      </c>
      <c r="H256" s="12">
        <v>9.0360017567424511E-2</v>
      </c>
      <c r="J256" s="1"/>
      <c r="K256" s="34"/>
    </row>
    <row r="257" spans="1:11" x14ac:dyDescent="0.25">
      <c r="A257" s="30">
        <v>318</v>
      </c>
      <c r="B257" s="31">
        <v>0.95763729139618647</v>
      </c>
      <c r="D257" s="10">
        <v>210</v>
      </c>
      <c r="E257" s="11" t="b">
        <v>0</v>
      </c>
      <c r="G257" s="10">
        <v>920</v>
      </c>
      <c r="H257" s="12">
        <v>0.54049616734203454</v>
      </c>
      <c r="J257" s="1"/>
      <c r="K257" s="34"/>
    </row>
    <row r="258" spans="1:11" x14ac:dyDescent="0.25">
      <c r="A258" s="30">
        <v>717</v>
      </c>
      <c r="B258" s="32">
        <v>0.96123759536749476</v>
      </c>
      <c r="D258" s="10">
        <v>214</v>
      </c>
      <c r="E258" s="11" t="b">
        <v>0</v>
      </c>
      <c r="G258" s="10">
        <v>925</v>
      </c>
      <c r="H258" s="12">
        <v>0.41083040034765039</v>
      </c>
      <c r="J258" s="1"/>
      <c r="K258" s="34"/>
    </row>
    <row r="259" spans="1:11" x14ac:dyDescent="0.25">
      <c r="A259" s="30">
        <v>408</v>
      </c>
      <c r="B259" s="32">
        <v>0.96299000389428457</v>
      </c>
      <c r="D259" s="10">
        <v>319</v>
      </c>
      <c r="E259" s="11" t="b">
        <v>0</v>
      </c>
      <c r="G259" s="10">
        <v>931</v>
      </c>
      <c r="H259" s="12">
        <v>0.92630206728074094</v>
      </c>
      <c r="J259" s="1"/>
      <c r="K259" s="34"/>
    </row>
    <row r="260" spans="1:11" x14ac:dyDescent="0.25">
      <c r="A260" s="30">
        <v>216</v>
      </c>
      <c r="B260" s="31">
        <v>0.96691566465212342</v>
      </c>
      <c r="D260" s="10">
        <v>320</v>
      </c>
      <c r="E260" s="11" t="b">
        <v>0</v>
      </c>
      <c r="G260" s="10">
        <v>935</v>
      </c>
      <c r="H260" s="12">
        <v>0.40391323553793523</v>
      </c>
      <c r="J260" s="1"/>
      <c r="K260" s="34"/>
    </row>
    <row r="261" spans="1:11" x14ac:dyDescent="0.25">
      <c r="A261" s="30">
        <v>647</v>
      </c>
      <c r="B261" s="32">
        <v>0.96694855049110651</v>
      </c>
      <c r="D261" s="10">
        <v>336</v>
      </c>
      <c r="E261" s="11" t="b">
        <v>0</v>
      </c>
      <c r="G261" s="10">
        <v>937</v>
      </c>
      <c r="H261" s="12">
        <v>0.80713929769484971</v>
      </c>
      <c r="J261" s="1"/>
      <c r="K261" s="34"/>
    </row>
    <row r="262" spans="1:11" x14ac:dyDescent="0.25">
      <c r="A262" s="30">
        <v>919</v>
      </c>
      <c r="B262" s="32">
        <v>0.96826928408108959</v>
      </c>
      <c r="D262" s="10">
        <v>507</v>
      </c>
      <c r="E262" s="11" t="b">
        <v>0</v>
      </c>
      <c r="G262" s="10">
        <v>940</v>
      </c>
      <c r="H262" s="12">
        <v>0.10181253420696523</v>
      </c>
      <c r="J262" s="1"/>
      <c r="K262" s="34"/>
    </row>
    <row r="263" spans="1:11" x14ac:dyDescent="0.25">
      <c r="A263" s="30">
        <v>254</v>
      </c>
      <c r="B263" s="32">
        <v>0.96831864685846991</v>
      </c>
      <c r="D263" s="10">
        <v>610</v>
      </c>
      <c r="E263" s="11" t="b">
        <v>0</v>
      </c>
      <c r="G263" s="10">
        <v>941</v>
      </c>
      <c r="H263" s="12">
        <v>0.48257163065364195</v>
      </c>
      <c r="J263" s="1"/>
      <c r="K263" s="34"/>
    </row>
    <row r="264" spans="1:11" x14ac:dyDescent="0.25">
      <c r="A264" s="30">
        <v>518</v>
      </c>
      <c r="B264" s="32">
        <v>0.97264149934963962</v>
      </c>
      <c r="D264" s="10">
        <v>710</v>
      </c>
      <c r="E264" s="11" t="b">
        <v>0</v>
      </c>
      <c r="G264" s="10">
        <v>949</v>
      </c>
      <c r="H264" s="12">
        <v>0.38888879536464327</v>
      </c>
      <c r="J264" s="1"/>
      <c r="K264" s="34"/>
    </row>
    <row r="265" spans="1:11" x14ac:dyDescent="0.25">
      <c r="A265" s="30">
        <v>604</v>
      </c>
      <c r="B265" s="32">
        <v>0.97863186732647889</v>
      </c>
      <c r="D265" s="10">
        <v>740</v>
      </c>
      <c r="E265" s="11" t="b">
        <v>0</v>
      </c>
      <c r="G265" s="10">
        <v>954</v>
      </c>
      <c r="H265" s="12">
        <v>0.84724151589956798</v>
      </c>
      <c r="J265" s="1"/>
      <c r="K265" s="34"/>
    </row>
    <row r="266" spans="1:11" x14ac:dyDescent="0.25">
      <c r="A266" s="30">
        <v>916</v>
      </c>
      <c r="B266" s="32">
        <v>0.98406269288388126</v>
      </c>
      <c r="D266" s="10">
        <v>781</v>
      </c>
      <c r="E266" s="11" t="b">
        <v>0</v>
      </c>
      <c r="G266" s="10">
        <v>956</v>
      </c>
      <c r="H266" s="12">
        <v>0.64561448846137448</v>
      </c>
      <c r="J266" s="1"/>
      <c r="K266" s="34"/>
    </row>
    <row r="267" spans="1:11" x14ac:dyDescent="0.25">
      <c r="A267" s="35" t="s">
        <v>0</v>
      </c>
      <c r="B267" s="1">
        <v>0.98725293296906302</v>
      </c>
      <c r="D267" s="10">
        <v>787</v>
      </c>
      <c r="E267" s="11" t="b">
        <v>0</v>
      </c>
      <c r="G267" s="10">
        <v>970</v>
      </c>
      <c r="H267" s="12">
        <v>1.978386879420424E-3</v>
      </c>
      <c r="J267" s="1"/>
      <c r="K267" s="34"/>
    </row>
    <row r="268" spans="1:11" x14ac:dyDescent="0.25">
      <c r="A268" s="30">
        <v>709</v>
      </c>
      <c r="B268" s="32">
        <v>0.99420042012649212</v>
      </c>
      <c r="D268" s="10">
        <v>802</v>
      </c>
      <c r="E268" s="11" t="b">
        <v>0</v>
      </c>
      <c r="G268" s="10">
        <v>972</v>
      </c>
      <c r="H268" s="12">
        <v>0.42122035329629404</v>
      </c>
      <c r="J268" s="1"/>
      <c r="K268" s="34"/>
    </row>
    <row r="269" spans="1:11" x14ac:dyDescent="0.25">
      <c r="A269" s="30">
        <v>561</v>
      </c>
      <c r="B269" s="31">
        <v>0.9992838185863081</v>
      </c>
      <c r="D269" s="10">
        <v>860</v>
      </c>
      <c r="E269" s="11" t="b">
        <v>0</v>
      </c>
      <c r="G269" s="10">
        <v>973</v>
      </c>
      <c r="H269" s="12">
        <v>0.67640204327198772</v>
      </c>
      <c r="J269" s="1"/>
      <c r="K269" s="34"/>
    </row>
    <row r="270" spans="1:11" x14ac:dyDescent="0.25">
      <c r="A270" s="30">
        <v>816</v>
      </c>
      <c r="B270" s="32">
        <v>0.99995542079019117</v>
      </c>
      <c r="D270" s="10">
        <v>978</v>
      </c>
      <c r="E270" s="11" t="b">
        <v>0</v>
      </c>
      <c r="G270" s="10">
        <v>978</v>
      </c>
      <c r="H270" s="12">
        <v>0.49881525634697588</v>
      </c>
      <c r="J270" s="1"/>
      <c r="K270" s="34"/>
    </row>
  </sheetData>
  <mergeCells count="4">
    <mergeCell ref="A1:B1"/>
    <mergeCell ref="D1:E1"/>
    <mergeCell ref="G1:H1"/>
    <mergeCell ref="K1:T1"/>
  </mergeCells>
  <dataValidations count="1">
    <dataValidation type="list" allowBlank="1" showInputMessage="1" showErrorMessage="1" sqref="WVI983044:WVI983061 WLM983044:WLM983061 WBQ983044:WBQ983061 VRU983044:VRU983061 VHY983044:VHY983061 UYC983044:UYC983061 UOG983044:UOG983061 UEK983044:UEK983061 TUO983044:TUO983061 TKS983044:TKS983061 TAW983044:TAW983061 SRA983044:SRA983061 SHE983044:SHE983061 RXI983044:RXI983061 RNM983044:RNM983061 RDQ983044:RDQ983061 QTU983044:QTU983061 QJY983044:QJY983061 QAC983044:QAC983061 PQG983044:PQG983061 PGK983044:PGK983061 OWO983044:OWO983061 OMS983044:OMS983061 OCW983044:OCW983061 NTA983044:NTA983061 NJE983044:NJE983061 MZI983044:MZI983061 MPM983044:MPM983061 MFQ983044:MFQ983061 LVU983044:LVU983061 LLY983044:LLY983061 LCC983044:LCC983061 KSG983044:KSG983061 KIK983044:KIK983061 JYO983044:JYO983061 JOS983044:JOS983061 JEW983044:JEW983061 IVA983044:IVA983061 ILE983044:ILE983061 IBI983044:IBI983061 HRM983044:HRM983061 HHQ983044:HHQ983061 GXU983044:GXU983061 GNY983044:GNY983061 GEC983044:GEC983061 FUG983044:FUG983061 FKK983044:FKK983061 FAO983044:FAO983061 EQS983044:EQS983061 EGW983044:EGW983061 DXA983044:DXA983061 DNE983044:DNE983061 DDI983044:DDI983061 CTM983044:CTM983061 CJQ983044:CJQ983061 BZU983044:BZU983061 BPY983044:BPY983061 BGC983044:BGC983061 AWG983044:AWG983061 AMK983044:AMK983061 ACO983044:ACO983061 SS983044:SS983061 IW983044:IW983061 WVI917508:WVI917525 WLM917508:WLM917525 WBQ917508:WBQ917525 VRU917508:VRU917525 VHY917508:VHY917525 UYC917508:UYC917525 UOG917508:UOG917525 UEK917508:UEK917525 TUO917508:TUO917525 TKS917508:TKS917525 TAW917508:TAW917525 SRA917508:SRA917525 SHE917508:SHE917525 RXI917508:RXI917525 RNM917508:RNM917525 RDQ917508:RDQ917525 QTU917508:QTU917525 QJY917508:QJY917525 QAC917508:QAC917525 PQG917508:PQG917525 PGK917508:PGK917525 OWO917508:OWO917525 OMS917508:OMS917525 OCW917508:OCW917525 NTA917508:NTA917525 NJE917508:NJE917525 MZI917508:MZI917525 MPM917508:MPM917525 MFQ917508:MFQ917525 LVU917508:LVU917525 LLY917508:LLY917525 LCC917508:LCC917525 KSG917508:KSG917525 KIK917508:KIK917525 JYO917508:JYO917525 JOS917508:JOS917525 JEW917508:JEW917525 IVA917508:IVA917525 ILE917508:ILE917525 IBI917508:IBI917525 HRM917508:HRM917525 HHQ917508:HHQ917525 GXU917508:GXU917525 GNY917508:GNY917525 GEC917508:GEC917525 FUG917508:FUG917525 FKK917508:FKK917525 FAO917508:FAO917525 EQS917508:EQS917525 EGW917508:EGW917525 DXA917508:DXA917525 DNE917508:DNE917525 DDI917508:DDI917525 CTM917508:CTM917525 CJQ917508:CJQ917525 BZU917508:BZU917525 BPY917508:BPY917525 BGC917508:BGC917525 AWG917508:AWG917525 AMK917508:AMK917525 ACO917508:ACO917525 SS917508:SS917525 IW917508:IW917525 WVI851972:WVI851989 WLM851972:WLM851989 WBQ851972:WBQ851989 VRU851972:VRU851989 VHY851972:VHY851989 UYC851972:UYC851989 UOG851972:UOG851989 UEK851972:UEK851989 TUO851972:TUO851989 TKS851972:TKS851989 TAW851972:TAW851989 SRA851972:SRA851989 SHE851972:SHE851989 RXI851972:RXI851989 RNM851972:RNM851989 RDQ851972:RDQ851989 QTU851972:QTU851989 QJY851972:QJY851989 QAC851972:QAC851989 PQG851972:PQG851989 PGK851972:PGK851989 OWO851972:OWO851989 OMS851972:OMS851989 OCW851972:OCW851989 NTA851972:NTA851989 NJE851972:NJE851989 MZI851972:MZI851989 MPM851972:MPM851989 MFQ851972:MFQ851989 LVU851972:LVU851989 LLY851972:LLY851989 LCC851972:LCC851989 KSG851972:KSG851989 KIK851972:KIK851989 JYO851972:JYO851989 JOS851972:JOS851989 JEW851972:JEW851989 IVA851972:IVA851989 ILE851972:ILE851989 IBI851972:IBI851989 HRM851972:HRM851989 HHQ851972:HHQ851989 GXU851972:GXU851989 GNY851972:GNY851989 GEC851972:GEC851989 FUG851972:FUG851989 FKK851972:FKK851989 FAO851972:FAO851989 EQS851972:EQS851989 EGW851972:EGW851989 DXA851972:DXA851989 DNE851972:DNE851989 DDI851972:DDI851989 CTM851972:CTM851989 CJQ851972:CJQ851989 BZU851972:BZU851989 BPY851972:BPY851989 BGC851972:BGC851989 AWG851972:AWG851989 AMK851972:AMK851989 ACO851972:ACO851989 SS851972:SS851989 IW851972:IW851989 WVI786436:WVI786453 WLM786436:WLM786453 WBQ786436:WBQ786453 VRU786436:VRU786453 VHY786436:VHY786453 UYC786436:UYC786453 UOG786436:UOG786453 UEK786436:UEK786453 TUO786436:TUO786453 TKS786436:TKS786453 TAW786436:TAW786453 SRA786436:SRA786453 SHE786436:SHE786453 RXI786436:RXI786453 RNM786436:RNM786453 RDQ786436:RDQ786453 QTU786436:QTU786453 QJY786436:QJY786453 QAC786436:QAC786453 PQG786436:PQG786453 PGK786436:PGK786453 OWO786436:OWO786453 OMS786436:OMS786453 OCW786436:OCW786453 NTA786436:NTA786453 NJE786436:NJE786453 MZI786436:MZI786453 MPM786436:MPM786453 MFQ786436:MFQ786453 LVU786436:LVU786453 LLY786436:LLY786453 LCC786436:LCC786453 KSG786436:KSG786453 KIK786436:KIK786453 JYO786436:JYO786453 JOS786436:JOS786453 JEW786436:JEW786453 IVA786436:IVA786453 ILE786436:ILE786453 IBI786436:IBI786453 HRM786436:HRM786453 HHQ786436:HHQ786453 GXU786436:GXU786453 GNY786436:GNY786453 GEC786436:GEC786453 FUG786436:FUG786453 FKK786436:FKK786453 FAO786436:FAO786453 EQS786436:EQS786453 EGW786436:EGW786453 DXA786436:DXA786453 DNE786436:DNE786453 DDI786436:DDI786453 CTM786436:CTM786453 CJQ786436:CJQ786453 BZU786436:BZU786453 BPY786436:BPY786453 BGC786436:BGC786453 AWG786436:AWG786453 AMK786436:AMK786453 ACO786436:ACO786453 SS786436:SS786453 IW786436:IW786453 WVI720900:WVI720917 WLM720900:WLM720917 WBQ720900:WBQ720917 VRU720900:VRU720917 VHY720900:VHY720917 UYC720900:UYC720917 UOG720900:UOG720917 UEK720900:UEK720917 TUO720900:TUO720917 TKS720900:TKS720917 TAW720900:TAW720917 SRA720900:SRA720917 SHE720900:SHE720917 RXI720900:RXI720917 RNM720900:RNM720917 RDQ720900:RDQ720917 QTU720900:QTU720917 QJY720900:QJY720917 QAC720900:QAC720917 PQG720900:PQG720917 PGK720900:PGK720917 OWO720900:OWO720917 OMS720900:OMS720917 OCW720900:OCW720917 NTA720900:NTA720917 NJE720900:NJE720917 MZI720900:MZI720917 MPM720900:MPM720917 MFQ720900:MFQ720917 LVU720900:LVU720917 LLY720900:LLY720917 LCC720900:LCC720917 KSG720900:KSG720917 KIK720900:KIK720917 JYO720900:JYO720917 JOS720900:JOS720917 JEW720900:JEW720917 IVA720900:IVA720917 ILE720900:ILE720917 IBI720900:IBI720917 HRM720900:HRM720917 HHQ720900:HHQ720917 GXU720900:GXU720917 GNY720900:GNY720917 GEC720900:GEC720917 FUG720900:FUG720917 FKK720900:FKK720917 FAO720900:FAO720917 EQS720900:EQS720917 EGW720900:EGW720917 DXA720900:DXA720917 DNE720900:DNE720917 DDI720900:DDI720917 CTM720900:CTM720917 CJQ720900:CJQ720917 BZU720900:BZU720917 BPY720900:BPY720917 BGC720900:BGC720917 AWG720900:AWG720917 AMK720900:AMK720917 ACO720900:ACO720917 SS720900:SS720917 IW720900:IW720917 WVI655364:WVI655381 WLM655364:WLM655381 WBQ655364:WBQ655381 VRU655364:VRU655381 VHY655364:VHY655381 UYC655364:UYC655381 UOG655364:UOG655381 UEK655364:UEK655381 TUO655364:TUO655381 TKS655364:TKS655381 TAW655364:TAW655381 SRA655364:SRA655381 SHE655364:SHE655381 RXI655364:RXI655381 RNM655364:RNM655381 RDQ655364:RDQ655381 QTU655364:QTU655381 QJY655364:QJY655381 QAC655364:QAC655381 PQG655364:PQG655381 PGK655364:PGK655381 OWO655364:OWO655381 OMS655364:OMS655381 OCW655364:OCW655381 NTA655364:NTA655381 NJE655364:NJE655381 MZI655364:MZI655381 MPM655364:MPM655381 MFQ655364:MFQ655381 LVU655364:LVU655381 LLY655364:LLY655381 LCC655364:LCC655381 KSG655364:KSG655381 KIK655364:KIK655381 JYO655364:JYO655381 JOS655364:JOS655381 JEW655364:JEW655381 IVA655364:IVA655381 ILE655364:ILE655381 IBI655364:IBI655381 HRM655364:HRM655381 HHQ655364:HHQ655381 GXU655364:GXU655381 GNY655364:GNY655381 GEC655364:GEC655381 FUG655364:FUG655381 FKK655364:FKK655381 FAO655364:FAO655381 EQS655364:EQS655381 EGW655364:EGW655381 DXA655364:DXA655381 DNE655364:DNE655381 DDI655364:DDI655381 CTM655364:CTM655381 CJQ655364:CJQ655381 BZU655364:BZU655381 BPY655364:BPY655381 BGC655364:BGC655381 AWG655364:AWG655381 AMK655364:AMK655381 ACO655364:ACO655381 SS655364:SS655381 IW655364:IW655381 WVI589828:WVI589845 WLM589828:WLM589845 WBQ589828:WBQ589845 VRU589828:VRU589845 VHY589828:VHY589845 UYC589828:UYC589845 UOG589828:UOG589845 UEK589828:UEK589845 TUO589828:TUO589845 TKS589828:TKS589845 TAW589828:TAW589845 SRA589828:SRA589845 SHE589828:SHE589845 RXI589828:RXI589845 RNM589828:RNM589845 RDQ589828:RDQ589845 QTU589828:QTU589845 QJY589828:QJY589845 QAC589828:QAC589845 PQG589828:PQG589845 PGK589828:PGK589845 OWO589828:OWO589845 OMS589828:OMS589845 OCW589828:OCW589845 NTA589828:NTA589845 NJE589828:NJE589845 MZI589828:MZI589845 MPM589828:MPM589845 MFQ589828:MFQ589845 LVU589828:LVU589845 LLY589828:LLY589845 LCC589828:LCC589845 KSG589828:KSG589845 KIK589828:KIK589845 JYO589828:JYO589845 JOS589828:JOS589845 JEW589828:JEW589845 IVA589828:IVA589845 ILE589828:ILE589845 IBI589828:IBI589845 HRM589828:HRM589845 HHQ589828:HHQ589845 GXU589828:GXU589845 GNY589828:GNY589845 GEC589828:GEC589845 FUG589828:FUG589845 FKK589828:FKK589845 FAO589828:FAO589845 EQS589828:EQS589845 EGW589828:EGW589845 DXA589828:DXA589845 DNE589828:DNE589845 DDI589828:DDI589845 CTM589828:CTM589845 CJQ589828:CJQ589845 BZU589828:BZU589845 BPY589828:BPY589845 BGC589828:BGC589845 AWG589828:AWG589845 AMK589828:AMK589845 ACO589828:ACO589845 SS589828:SS589845 IW589828:IW589845 WVI524292:WVI524309 WLM524292:WLM524309 WBQ524292:WBQ524309 VRU524292:VRU524309 VHY524292:VHY524309 UYC524292:UYC524309 UOG524292:UOG524309 UEK524292:UEK524309 TUO524292:TUO524309 TKS524292:TKS524309 TAW524292:TAW524309 SRA524292:SRA524309 SHE524292:SHE524309 RXI524292:RXI524309 RNM524292:RNM524309 RDQ524292:RDQ524309 QTU524292:QTU524309 QJY524292:QJY524309 QAC524292:QAC524309 PQG524292:PQG524309 PGK524292:PGK524309 OWO524292:OWO524309 OMS524292:OMS524309 OCW524292:OCW524309 NTA524292:NTA524309 NJE524292:NJE524309 MZI524292:MZI524309 MPM524292:MPM524309 MFQ524292:MFQ524309 LVU524292:LVU524309 LLY524292:LLY524309 LCC524292:LCC524309 KSG524292:KSG524309 KIK524292:KIK524309 JYO524292:JYO524309 JOS524292:JOS524309 JEW524292:JEW524309 IVA524292:IVA524309 ILE524292:ILE524309 IBI524292:IBI524309 HRM524292:HRM524309 HHQ524292:HHQ524309 GXU524292:GXU524309 GNY524292:GNY524309 GEC524292:GEC524309 FUG524292:FUG524309 FKK524292:FKK524309 FAO524292:FAO524309 EQS524292:EQS524309 EGW524292:EGW524309 DXA524292:DXA524309 DNE524292:DNE524309 DDI524292:DDI524309 CTM524292:CTM524309 CJQ524292:CJQ524309 BZU524292:BZU524309 BPY524292:BPY524309 BGC524292:BGC524309 AWG524292:AWG524309 AMK524292:AMK524309 ACO524292:ACO524309 SS524292:SS524309 IW524292:IW524309 WVI458756:WVI458773 WLM458756:WLM458773 WBQ458756:WBQ458773 VRU458756:VRU458773 VHY458756:VHY458773 UYC458756:UYC458773 UOG458756:UOG458773 UEK458756:UEK458773 TUO458756:TUO458773 TKS458756:TKS458773 TAW458756:TAW458773 SRA458756:SRA458773 SHE458756:SHE458773 RXI458756:RXI458773 RNM458756:RNM458773 RDQ458756:RDQ458773 QTU458756:QTU458773 QJY458756:QJY458773 QAC458756:QAC458773 PQG458756:PQG458773 PGK458756:PGK458773 OWO458756:OWO458773 OMS458756:OMS458773 OCW458756:OCW458773 NTA458756:NTA458773 NJE458756:NJE458773 MZI458756:MZI458773 MPM458756:MPM458773 MFQ458756:MFQ458773 LVU458756:LVU458773 LLY458756:LLY458773 LCC458756:LCC458773 KSG458756:KSG458773 KIK458756:KIK458773 JYO458756:JYO458773 JOS458756:JOS458773 JEW458756:JEW458773 IVA458756:IVA458773 ILE458756:ILE458773 IBI458756:IBI458773 HRM458756:HRM458773 HHQ458756:HHQ458773 GXU458756:GXU458773 GNY458756:GNY458773 GEC458756:GEC458773 FUG458756:FUG458773 FKK458756:FKK458773 FAO458756:FAO458773 EQS458756:EQS458773 EGW458756:EGW458773 DXA458756:DXA458773 DNE458756:DNE458773 DDI458756:DDI458773 CTM458756:CTM458773 CJQ458756:CJQ458773 BZU458756:BZU458773 BPY458756:BPY458773 BGC458756:BGC458773 AWG458756:AWG458773 AMK458756:AMK458773 ACO458756:ACO458773 SS458756:SS458773 IW458756:IW458773 WVI393220:WVI393237 WLM393220:WLM393237 WBQ393220:WBQ393237 VRU393220:VRU393237 VHY393220:VHY393237 UYC393220:UYC393237 UOG393220:UOG393237 UEK393220:UEK393237 TUO393220:TUO393237 TKS393220:TKS393237 TAW393220:TAW393237 SRA393220:SRA393237 SHE393220:SHE393237 RXI393220:RXI393237 RNM393220:RNM393237 RDQ393220:RDQ393237 QTU393220:QTU393237 QJY393220:QJY393237 QAC393220:QAC393237 PQG393220:PQG393237 PGK393220:PGK393237 OWO393220:OWO393237 OMS393220:OMS393237 OCW393220:OCW393237 NTA393220:NTA393237 NJE393220:NJE393237 MZI393220:MZI393237 MPM393220:MPM393237 MFQ393220:MFQ393237 LVU393220:LVU393237 LLY393220:LLY393237 LCC393220:LCC393237 KSG393220:KSG393237 KIK393220:KIK393237 JYO393220:JYO393237 JOS393220:JOS393237 JEW393220:JEW393237 IVA393220:IVA393237 ILE393220:ILE393237 IBI393220:IBI393237 HRM393220:HRM393237 HHQ393220:HHQ393237 GXU393220:GXU393237 GNY393220:GNY393237 GEC393220:GEC393237 FUG393220:FUG393237 FKK393220:FKK393237 FAO393220:FAO393237 EQS393220:EQS393237 EGW393220:EGW393237 DXA393220:DXA393237 DNE393220:DNE393237 DDI393220:DDI393237 CTM393220:CTM393237 CJQ393220:CJQ393237 BZU393220:BZU393237 BPY393220:BPY393237 BGC393220:BGC393237 AWG393220:AWG393237 AMK393220:AMK393237 ACO393220:ACO393237 SS393220:SS393237 IW393220:IW393237 WVI327684:WVI327701 WLM327684:WLM327701 WBQ327684:WBQ327701 VRU327684:VRU327701 VHY327684:VHY327701 UYC327684:UYC327701 UOG327684:UOG327701 UEK327684:UEK327701 TUO327684:TUO327701 TKS327684:TKS327701 TAW327684:TAW327701 SRA327684:SRA327701 SHE327684:SHE327701 RXI327684:RXI327701 RNM327684:RNM327701 RDQ327684:RDQ327701 QTU327684:QTU327701 QJY327684:QJY327701 QAC327684:QAC327701 PQG327684:PQG327701 PGK327684:PGK327701 OWO327684:OWO327701 OMS327684:OMS327701 OCW327684:OCW327701 NTA327684:NTA327701 NJE327684:NJE327701 MZI327684:MZI327701 MPM327684:MPM327701 MFQ327684:MFQ327701 LVU327684:LVU327701 LLY327684:LLY327701 LCC327684:LCC327701 KSG327684:KSG327701 KIK327684:KIK327701 JYO327684:JYO327701 JOS327684:JOS327701 JEW327684:JEW327701 IVA327684:IVA327701 ILE327684:ILE327701 IBI327684:IBI327701 HRM327684:HRM327701 HHQ327684:HHQ327701 GXU327684:GXU327701 GNY327684:GNY327701 GEC327684:GEC327701 FUG327684:FUG327701 FKK327684:FKK327701 FAO327684:FAO327701 EQS327684:EQS327701 EGW327684:EGW327701 DXA327684:DXA327701 DNE327684:DNE327701 DDI327684:DDI327701 CTM327684:CTM327701 CJQ327684:CJQ327701 BZU327684:BZU327701 BPY327684:BPY327701 BGC327684:BGC327701 AWG327684:AWG327701 AMK327684:AMK327701 ACO327684:ACO327701 SS327684:SS327701 IW327684:IW327701 WVI262148:WVI262165 WLM262148:WLM262165 WBQ262148:WBQ262165 VRU262148:VRU262165 VHY262148:VHY262165 UYC262148:UYC262165 UOG262148:UOG262165 UEK262148:UEK262165 TUO262148:TUO262165 TKS262148:TKS262165 TAW262148:TAW262165 SRA262148:SRA262165 SHE262148:SHE262165 RXI262148:RXI262165 RNM262148:RNM262165 RDQ262148:RDQ262165 QTU262148:QTU262165 QJY262148:QJY262165 QAC262148:QAC262165 PQG262148:PQG262165 PGK262148:PGK262165 OWO262148:OWO262165 OMS262148:OMS262165 OCW262148:OCW262165 NTA262148:NTA262165 NJE262148:NJE262165 MZI262148:MZI262165 MPM262148:MPM262165 MFQ262148:MFQ262165 LVU262148:LVU262165 LLY262148:LLY262165 LCC262148:LCC262165 KSG262148:KSG262165 KIK262148:KIK262165 JYO262148:JYO262165 JOS262148:JOS262165 JEW262148:JEW262165 IVA262148:IVA262165 ILE262148:ILE262165 IBI262148:IBI262165 HRM262148:HRM262165 HHQ262148:HHQ262165 GXU262148:GXU262165 GNY262148:GNY262165 GEC262148:GEC262165 FUG262148:FUG262165 FKK262148:FKK262165 FAO262148:FAO262165 EQS262148:EQS262165 EGW262148:EGW262165 DXA262148:DXA262165 DNE262148:DNE262165 DDI262148:DDI262165 CTM262148:CTM262165 CJQ262148:CJQ262165 BZU262148:BZU262165 BPY262148:BPY262165 BGC262148:BGC262165 AWG262148:AWG262165 AMK262148:AMK262165 ACO262148:ACO262165 SS262148:SS262165 IW262148:IW262165 WVI196612:WVI196629 WLM196612:WLM196629 WBQ196612:WBQ196629 VRU196612:VRU196629 VHY196612:VHY196629 UYC196612:UYC196629 UOG196612:UOG196629 UEK196612:UEK196629 TUO196612:TUO196629 TKS196612:TKS196629 TAW196612:TAW196629 SRA196612:SRA196629 SHE196612:SHE196629 RXI196612:RXI196629 RNM196612:RNM196629 RDQ196612:RDQ196629 QTU196612:QTU196629 QJY196612:QJY196629 QAC196612:QAC196629 PQG196612:PQG196629 PGK196612:PGK196629 OWO196612:OWO196629 OMS196612:OMS196629 OCW196612:OCW196629 NTA196612:NTA196629 NJE196612:NJE196629 MZI196612:MZI196629 MPM196612:MPM196629 MFQ196612:MFQ196629 LVU196612:LVU196629 LLY196612:LLY196629 LCC196612:LCC196629 KSG196612:KSG196629 KIK196612:KIK196629 JYO196612:JYO196629 JOS196612:JOS196629 JEW196612:JEW196629 IVA196612:IVA196629 ILE196612:ILE196629 IBI196612:IBI196629 HRM196612:HRM196629 HHQ196612:HHQ196629 GXU196612:GXU196629 GNY196612:GNY196629 GEC196612:GEC196629 FUG196612:FUG196629 FKK196612:FKK196629 FAO196612:FAO196629 EQS196612:EQS196629 EGW196612:EGW196629 DXA196612:DXA196629 DNE196612:DNE196629 DDI196612:DDI196629 CTM196612:CTM196629 CJQ196612:CJQ196629 BZU196612:BZU196629 BPY196612:BPY196629 BGC196612:BGC196629 AWG196612:AWG196629 AMK196612:AMK196629 ACO196612:ACO196629 SS196612:SS196629 IW196612:IW196629 WVI131076:WVI131093 WLM131076:WLM131093 WBQ131076:WBQ131093 VRU131076:VRU131093 VHY131076:VHY131093 UYC131076:UYC131093 UOG131076:UOG131093 UEK131076:UEK131093 TUO131076:TUO131093 TKS131076:TKS131093 TAW131076:TAW131093 SRA131076:SRA131093 SHE131076:SHE131093 RXI131076:RXI131093 RNM131076:RNM131093 RDQ131076:RDQ131093 QTU131076:QTU131093 QJY131076:QJY131093 QAC131076:QAC131093 PQG131076:PQG131093 PGK131076:PGK131093 OWO131076:OWO131093 OMS131076:OMS131093 OCW131076:OCW131093 NTA131076:NTA131093 NJE131076:NJE131093 MZI131076:MZI131093 MPM131076:MPM131093 MFQ131076:MFQ131093 LVU131076:LVU131093 LLY131076:LLY131093 LCC131076:LCC131093 KSG131076:KSG131093 KIK131076:KIK131093 JYO131076:JYO131093 JOS131076:JOS131093 JEW131076:JEW131093 IVA131076:IVA131093 ILE131076:ILE131093 IBI131076:IBI131093 HRM131076:HRM131093 HHQ131076:HHQ131093 GXU131076:GXU131093 GNY131076:GNY131093 GEC131076:GEC131093 FUG131076:FUG131093 FKK131076:FKK131093 FAO131076:FAO131093 EQS131076:EQS131093 EGW131076:EGW131093 DXA131076:DXA131093 DNE131076:DNE131093 DDI131076:DDI131093 CTM131076:CTM131093 CJQ131076:CJQ131093 BZU131076:BZU131093 BPY131076:BPY131093 BGC131076:BGC131093 AWG131076:AWG131093 AMK131076:AMK131093 ACO131076:ACO131093 SS131076:SS131093 IW131076:IW131093 WVI65540:WVI65557 WLM65540:WLM65557 WBQ65540:WBQ65557 VRU65540:VRU65557 VHY65540:VHY65557 UYC65540:UYC65557 UOG65540:UOG65557 UEK65540:UEK65557 TUO65540:TUO65557 TKS65540:TKS65557 TAW65540:TAW65557 SRA65540:SRA65557 SHE65540:SHE65557 RXI65540:RXI65557 RNM65540:RNM65557 RDQ65540:RDQ65557 QTU65540:QTU65557 QJY65540:QJY65557 QAC65540:QAC65557 PQG65540:PQG65557 PGK65540:PGK65557 OWO65540:OWO65557 OMS65540:OMS65557 OCW65540:OCW65557 NTA65540:NTA65557 NJE65540:NJE65557 MZI65540:MZI65557 MPM65540:MPM65557 MFQ65540:MFQ65557 LVU65540:LVU65557 LLY65540:LLY65557 LCC65540:LCC65557 KSG65540:KSG65557 KIK65540:KIK65557 JYO65540:JYO65557 JOS65540:JOS65557 JEW65540:JEW65557 IVA65540:IVA65557 ILE65540:ILE65557 IBI65540:IBI65557 HRM65540:HRM65557 HHQ65540:HHQ65557 GXU65540:GXU65557 GNY65540:GNY65557 GEC65540:GEC65557 FUG65540:FUG65557 FKK65540:FKK65557 FAO65540:FAO65557 EQS65540:EQS65557 EGW65540:EGW65557 DXA65540:DXA65557 DNE65540:DNE65557 DDI65540:DDI65557 CTM65540:CTM65557 CJQ65540:CJQ65557 BZU65540:BZU65557 BPY65540:BPY65557 BGC65540:BGC65557 AWG65540:AWG65557 AMK65540:AMK65557 ACO65540:ACO65557 SS65540:SS65557 IW65540:IW65557 ST4:ST15 ACP4:ACP15 AML4:AML15 AWH4:AWH15 BGD4:BGD15 BPZ4:BPZ15 BZV4:BZV15 CJR4:CJR15 CTN4:CTN15 DDJ4:DDJ15 DNF4:DNF15 DXB4:DXB15 EGX4:EGX15 EQT4:EQT15 FAP4:FAP15 FKL4:FKL15 FUH4:FUH15 GED4:GED15 GNZ4:GNZ15 GXV4:GXV15 HHR4:HHR15 HRN4:HRN15 IBJ4:IBJ15 ILF4:ILF15 IVB4:IVB15 JEX4:JEX15 JOT4:JOT15 JYP4:JYP15 KIL4:KIL15 KSH4:KSH15 LCD4:LCD15 LLZ4:LLZ15 LVV4:LVV15 MFR4:MFR15 MPN4:MPN15 MZJ4:MZJ15 NJF4:NJF15 NTB4:NTB15 OCX4:OCX15 OMT4:OMT15 OWP4:OWP15 PGL4:PGL15 PQH4:PQH15 QAD4:QAD15 QJZ4:QJZ15 QTV4:QTV15 RDR4:RDR15 RNN4:RNN15 RXJ4:RXJ15 SHF4:SHF15 SRB4:SRB15 TAX4:TAX15 TKT4:TKT15 TUP4:TUP15 UEL4:UEL15 UOH4:UOH15 UYD4:UYD15 VHZ4:VHZ15 VRV4:VRV15 WBR4:WBR15 WLN4:WLN15 WVJ4:WVJ15 IX4:IX15 IW17:IW21 IY16 WVI17:WVI21 WVK16 WLM17:WLM21 WLO16 WBQ17:WBQ21 WBS16 VRU17:VRU21 VRW16 VHY17:VHY21 VIA16 UYC17:UYC21 UYE16 UOG17:UOG21 UOI16 UEK17:UEK21 UEM16 TUO17:TUO21 TUQ16 TKS17:TKS21 TKU16 TAW17:TAW21 TAY16 SRA17:SRA21 SRC16 SHE17:SHE21 SHG16 RXI17:RXI21 RXK16 RNM17:RNM21 RNO16 RDQ17:RDQ21 RDS16 QTU17:QTU21 QTW16 QJY17:QJY21 QKA16 QAC17:QAC21 QAE16 PQG17:PQG21 PQI16 PGK17:PGK21 PGM16 OWO17:OWO21 OWQ16 OMS17:OMS21 OMU16 OCW17:OCW21 OCY16 NTA17:NTA21 NTC16 NJE17:NJE21 NJG16 MZI17:MZI21 MZK16 MPM17:MPM21 MPO16 MFQ17:MFQ21 MFS16 LVU17:LVU21 LVW16 LLY17:LLY21 LMA16 LCC17:LCC21 LCE16 KSG17:KSG21 KSI16 KIK17:KIK21 KIM16 JYO17:JYO21 JYQ16 JOS17:JOS21 JOU16 JEW17:JEW21 JEY16 IVA17:IVA21 IVC16 ILE17:ILE21 ILG16 IBI17:IBI21 IBK16 HRM17:HRM21 HRO16 HHQ17:HHQ21 HHS16 GXU17:GXU21 GXW16 GNY17:GNY21 GOA16 GEC17:GEC21 GEE16 FUG17:FUG21 FUI16 FKK17:FKK21 FKM16 FAO17:FAO21 FAQ16 EQS17:EQS21 EQU16 EGW17:EGW21 EGY16 DXA17:DXA21 DXC16 DNE17:DNE21 DNG16 DDI17:DDI21 DDK16 CTM17:CTM21 CTO16 CJQ17:CJQ21 CJS16 BZU17:BZU21 BZW16 BPY17:BPY21 BQA16 BGC17:BGC21 BGE16 AWG17:AWG21 AWI16 AMK17:AMK21 AMM16 ACO17:ACO21 ACQ16 SS17:SS21 SU16">
      <formula1>#REF!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SampleTechniques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2012-12-16T18:34:22Z</dcterms:created>
  <dcterms:modified xsi:type="dcterms:W3CDTF">2016-11-13T12:21:21Z</dcterms:modified>
</cp:coreProperties>
</file>