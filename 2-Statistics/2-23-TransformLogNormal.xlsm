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2-Statistics\"/>
    </mc:Choice>
  </mc:AlternateContent>
  <bookViews>
    <workbookView xWindow="120" yWindow="30" windowWidth="18915" windowHeight="7575"/>
  </bookViews>
  <sheets>
    <sheet name="LogNormal" sheetId="20" r:id="rId1"/>
  </sheets>
  <externalReferences>
    <externalReference r:id="rId2"/>
    <externalReference r:id="rId3"/>
    <externalReference r:id="rId4"/>
  </externalReferences>
  <definedNames>
    <definedName name="Hb">'[1]7-Oxygen'!$C$3:$C$15</definedName>
    <definedName name="IP" localSheetId="0">'[2]7-Absorption'!$C$1</definedName>
    <definedName name="IP">[3]Absorption!$C$1</definedName>
    <definedName name="Max" localSheetId="0">'[2]1-Sigmoid'!$B$19</definedName>
    <definedName name="Max">[3]Sigmoid!$B$19</definedName>
    <definedName name="Oxygen">'[1]7-Oxygen'!$B$3:$C$15</definedName>
    <definedName name="Pressures">'[1]7-Oxygen'!$B$3:$B$15</definedName>
    <definedName name="Rate" localSheetId="0">'[2]1-Sigmoid'!$C$21</definedName>
    <definedName name="Rate">[3]Sigmoid!$C$21</definedName>
    <definedName name="signif">0.05</definedName>
    <definedName name="Slope" localSheetId="0">'[2]7-Absorption'!$C$2</definedName>
    <definedName name="Slope">[3]Absorption!$C$2</definedName>
    <definedName name="SP" localSheetId="0">'[2]7-Absorption'!$C$21</definedName>
    <definedName name="SP">[3]Absorption!$C$21</definedName>
  </definedNames>
  <calcPr calcId="152511" iterate="1" iterateCount="1" calcOnSave="0"/>
</workbook>
</file>

<file path=xl/calcChain.xml><?xml version="1.0" encoding="utf-8"?>
<calcChain xmlns="http://schemas.openxmlformats.org/spreadsheetml/2006/main">
  <c r="A2" i="20" l="1"/>
  <c r="A3" i="20"/>
  <c r="G3" i="20" s="1"/>
  <c r="A4" i="20"/>
  <c r="G4" i="20" s="1"/>
  <c r="A5" i="20"/>
  <c r="G5" i="20" s="1"/>
  <c r="A6" i="20"/>
  <c r="G6" i="20" s="1"/>
  <c r="A7" i="20"/>
  <c r="G7" i="20" s="1"/>
  <c r="A8" i="20"/>
  <c r="G8" i="20" s="1"/>
  <c r="A9" i="20"/>
  <c r="G9" i="20" s="1"/>
  <c r="A10" i="20"/>
  <c r="G10" i="20" s="1"/>
  <c r="A11" i="20"/>
  <c r="G11" i="20" s="1"/>
  <c r="A12" i="20"/>
  <c r="G12" i="20" s="1"/>
  <c r="A13" i="20"/>
  <c r="G13" i="20" s="1"/>
  <c r="A14" i="20"/>
  <c r="G14" i="20" s="1"/>
  <c r="A15" i="20"/>
  <c r="G15" i="20" s="1"/>
  <c r="A16" i="20"/>
  <c r="G16" i="20" s="1"/>
  <c r="A17" i="20"/>
  <c r="G17" i="20" s="1"/>
  <c r="A18" i="20"/>
  <c r="G18" i="20" s="1"/>
  <c r="A19" i="20"/>
  <c r="G19" i="20" s="1"/>
  <c r="A20" i="20"/>
  <c r="G20" i="20" s="1"/>
  <c r="A21" i="20"/>
  <c r="G21" i="20" s="1"/>
  <c r="A22" i="20"/>
  <c r="G22" i="20" s="1"/>
  <c r="A23" i="20"/>
  <c r="G23" i="20" s="1"/>
  <c r="A24" i="20"/>
  <c r="G24" i="20" s="1"/>
  <c r="A25" i="20"/>
  <c r="G25" i="20" s="1"/>
  <c r="A26" i="20"/>
  <c r="G26" i="20" s="1"/>
  <c r="A27" i="20"/>
  <c r="G27" i="20" s="1"/>
  <c r="A28" i="20"/>
  <c r="G28" i="20" s="1"/>
  <c r="A29" i="20"/>
  <c r="G29" i="20" s="1"/>
  <c r="A30" i="20"/>
  <c r="G30" i="20" s="1"/>
  <c r="A31" i="20"/>
  <c r="G31" i="20" s="1"/>
  <c r="A32" i="20"/>
  <c r="G32" i="20" s="1"/>
  <c r="A33" i="20"/>
  <c r="G33" i="20" s="1"/>
  <c r="A34" i="20"/>
  <c r="G34" i="20" s="1"/>
  <c r="A35" i="20"/>
  <c r="G35" i="20" s="1"/>
  <c r="A36" i="20"/>
  <c r="G36" i="20" s="1"/>
  <c r="A37" i="20"/>
  <c r="G37" i="20" s="1"/>
  <c r="A38" i="20"/>
  <c r="G38" i="20" s="1"/>
  <c r="A39" i="20"/>
  <c r="G39" i="20" s="1"/>
  <c r="A40" i="20"/>
  <c r="G40" i="20" s="1"/>
  <c r="A41" i="20"/>
  <c r="G41" i="20" s="1"/>
  <c r="A42" i="20"/>
  <c r="G42" i="20" s="1"/>
  <c r="A43" i="20"/>
  <c r="G43" i="20" s="1"/>
  <c r="A44" i="20"/>
  <c r="G44" i="20" s="1"/>
  <c r="A45" i="20"/>
  <c r="G45" i="20" s="1"/>
  <c r="A46" i="20"/>
  <c r="G46" i="20" s="1"/>
  <c r="A47" i="20"/>
  <c r="G47" i="20" s="1"/>
  <c r="A48" i="20"/>
  <c r="G48" i="20" s="1"/>
  <c r="A49" i="20"/>
  <c r="G49" i="20" s="1"/>
  <c r="A50" i="20"/>
  <c r="G50" i="20" s="1"/>
  <c r="A51" i="20"/>
  <c r="G51" i="20" s="1"/>
  <c r="A52" i="20"/>
  <c r="G52" i="20" s="1"/>
  <c r="A53" i="20"/>
  <c r="G53" i="20" s="1"/>
  <c r="A54" i="20"/>
  <c r="G54" i="20" s="1"/>
  <c r="A55" i="20"/>
  <c r="G55" i="20" s="1"/>
  <c r="A56" i="20"/>
  <c r="G56" i="20" s="1"/>
  <c r="A57" i="20"/>
  <c r="G57" i="20" s="1"/>
  <c r="A58" i="20"/>
  <c r="G58" i="20" s="1"/>
  <c r="A59" i="20"/>
  <c r="G59" i="20" s="1"/>
  <c r="A60" i="20"/>
  <c r="G60" i="20" s="1"/>
  <c r="A61" i="20"/>
  <c r="G61" i="20" s="1"/>
  <c r="A62" i="20"/>
  <c r="G62" i="20" s="1"/>
  <c r="A63" i="20"/>
  <c r="G63" i="20" s="1"/>
  <c r="A64" i="20"/>
  <c r="G64" i="20" s="1"/>
  <c r="A65" i="20"/>
  <c r="G65" i="20" s="1"/>
  <c r="A66" i="20"/>
  <c r="G66" i="20" s="1"/>
  <c r="A67" i="20"/>
  <c r="G67" i="20" s="1"/>
  <c r="A68" i="20"/>
  <c r="G68" i="20" s="1"/>
  <c r="A69" i="20"/>
  <c r="G69" i="20" s="1"/>
  <c r="A70" i="20"/>
  <c r="G70" i="20" s="1"/>
  <c r="A71" i="20"/>
  <c r="G71" i="20" s="1"/>
  <c r="A72" i="20"/>
  <c r="G72" i="20" s="1"/>
  <c r="A73" i="20"/>
  <c r="G73" i="20" s="1"/>
  <c r="A74" i="20"/>
  <c r="G74" i="20" s="1"/>
  <c r="A75" i="20"/>
  <c r="G75" i="20" s="1"/>
  <c r="A76" i="20"/>
  <c r="G76" i="20" s="1"/>
  <c r="A77" i="20"/>
  <c r="G77" i="20" s="1"/>
  <c r="A78" i="20"/>
  <c r="G78" i="20" s="1"/>
  <c r="A79" i="20"/>
  <c r="G79" i="20" s="1"/>
  <c r="A80" i="20"/>
  <c r="G80" i="20" s="1"/>
  <c r="A81" i="20"/>
  <c r="G81" i="20" s="1"/>
  <c r="A82" i="20"/>
  <c r="G82" i="20" s="1"/>
  <c r="A83" i="20"/>
  <c r="G83" i="20" s="1"/>
  <c r="A84" i="20"/>
  <c r="G84" i="20" s="1"/>
  <c r="A85" i="20"/>
  <c r="G85" i="20" s="1"/>
  <c r="A86" i="20"/>
  <c r="G86" i="20" s="1"/>
  <c r="A87" i="20"/>
  <c r="G87" i="20" s="1"/>
  <c r="A88" i="20"/>
  <c r="G88" i="20" s="1"/>
  <c r="A89" i="20"/>
  <c r="G89" i="20" s="1"/>
  <c r="A90" i="20"/>
  <c r="G90" i="20" s="1"/>
  <c r="A91" i="20"/>
  <c r="G91" i="20" s="1"/>
  <c r="A92" i="20"/>
  <c r="G92" i="20" s="1"/>
  <c r="A93" i="20"/>
  <c r="G93" i="20" s="1"/>
  <c r="A94" i="20"/>
  <c r="G94" i="20" s="1"/>
  <c r="A95" i="20"/>
  <c r="G95" i="20" s="1"/>
  <c r="A96" i="20"/>
  <c r="G96" i="20" s="1"/>
  <c r="A97" i="20"/>
  <c r="G97" i="20" s="1"/>
  <c r="A98" i="20"/>
  <c r="G98" i="20" s="1"/>
  <c r="A99" i="20"/>
  <c r="G99" i="20" s="1"/>
  <c r="A100" i="20"/>
  <c r="G100" i="20" s="1"/>
  <c r="A101" i="20"/>
  <c r="G101" i="20" s="1"/>
  <c r="E3" i="20" l="1"/>
  <c r="E4" i="20" s="1"/>
  <c r="G2" i="20"/>
  <c r="E34" i="20" s="1"/>
  <c r="E1" i="20"/>
  <c r="E2" i="20"/>
  <c r="E6" i="20" a="1"/>
  <c r="E35" i="20" l="1"/>
  <c r="B93" i="20"/>
  <c r="B7" i="20"/>
  <c r="B23" i="20"/>
  <c r="B39" i="20"/>
  <c r="B55" i="20"/>
  <c r="B71" i="20"/>
  <c r="B87" i="20"/>
  <c r="B4" i="20"/>
  <c r="B20" i="20"/>
  <c r="B36" i="20"/>
  <c r="B52" i="20"/>
  <c r="B68" i="20"/>
  <c r="B84" i="20"/>
  <c r="B100" i="20"/>
  <c r="B17" i="20"/>
  <c r="B33" i="20"/>
  <c r="B6" i="20"/>
  <c r="B22" i="20"/>
  <c r="B38" i="20"/>
  <c r="B54" i="20"/>
  <c r="B70" i="20"/>
  <c r="B86" i="20"/>
  <c r="B45" i="20"/>
  <c r="B65" i="20"/>
  <c r="B85" i="20"/>
  <c r="B11" i="20"/>
  <c r="B27" i="20"/>
  <c r="B43" i="20"/>
  <c r="B59" i="20"/>
  <c r="B75" i="20"/>
  <c r="B91" i="20"/>
  <c r="B8" i="20"/>
  <c r="B24" i="20"/>
  <c r="B40" i="20"/>
  <c r="B56" i="20"/>
  <c r="B72" i="20"/>
  <c r="B88" i="20"/>
  <c r="B5" i="20"/>
  <c r="B21" i="20"/>
  <c r="B37" i="20"/>
  <c r="B10" i="20"/>
  <c r="B26" i="20"/>
  <c r="B42" i="20"/>
  <c r="B58" i="20"/>
  <c r="B74" i="20"/>
  <c r="B90" i="20"/>
  <c r="B49" i="20"/>
  <c r="B69" i="20"/>
  <c r="B57" i="20"/>
  <c r="B73" i="20"/>
  <c r="B89" i="20"/>
  <c r="B15" i="20"/>
  <c r="B31" i="20"/>
  <c r="B47" i="20"/>
  <c r="B63" i="20"/>
  <c r="B79" i="20"/>
  <c r="B95" i="20"/>
  <c r="B12" i="20"/>
  <c r="B28" i="20"/>
  <c r="B44" i="20"/>
  <c r="B60" i="20"/>
  <c r="B76" i="20"/>
  <c r="B92" i="20"/>
  <c r="B9" i="20"/>
  <c r="B25" i="20"/>
  <c r="B41" i="20"/>
  <c r="B14" i="20"/>
  <c r="B30" i="20"/>
  <c r="B46" i="20"/>
  <c r="B62" i="20"/>
  <c r="B78" i="20"/>
  <c r="B94" i="20"/>
  <c r="B53" i="20"/>
  <c r="B77" i="20"/>
  <c r="B97" i="20"/>
  <c r="B3" i="20"/>
  <c r="B19" i="20"/>
  <c r="B35" i="20"/>
  <c r="B51" i="20"/>
  <c r="B67" i="20"/>
  <c r="B83" i="20"/>
  <c r="B99" i="20"/>
  <c r="B16" i="20"/>
  <c r="B32" i="20"/>
  <c r="B48" i="20"/>
  <c r="B64" i="20"/>
  <c r="B80" i="20"/>
  <c r="B96" i="20"/>
  <c r="B13" i="20"/>
  <c r="B29" i="20"/>
  <c r="B2" i="20"/>
  <c r="B18" i="20"/>
  <c r="B34" i="20"/>
  <c r="B50" i="20"/>
  <c r="B66" i="20"/>
  <c r="B82" i="20"/>
  <c r="B98" i="20"/>
  <c r="B61" i="20"/>
  <c r="B81" i="20"/>
  <c r="B101" i="20"/>
  <c r="E18" i="20"/>
  <c r="E14" i="20"/>
  <c r="E10" i="20"/>
  <c r="E6" i="20"/>
  <c r="E17" i="20"/>
  <c r="E12" i="20"/>
  <c r="E7" i="20"/>
  <c r="E16" i="20"/>
  <c r="E11" i="20"/>
  <c r="E15" i="20"/>
  <c r="E13" i="20"/>
  <c r="E20" i="20"/>
  <c r="E9" i="20"/>
  <c r="E19" i="20"/>
  <c r="E8" i="20"/>
  <c r="E33" i="20"/>
  <c r="E32" i="20"/>
  <c r="E23" i="20" a="1"/>
  <c r="E28" i="20" l="1"/>
  <c r="E24" i="20"/>
  <c r="E30" i="20"/>
  <c r="E25" i="20"/>
  <c r="E29" i="20"/>
  <c r="E23" i="20"/>
  <c r="E27" i="20"/>
  <c r="E26" i="20"/>
</calcChain>
</file>

<file path=xl/sharedStrings.xml><?xml version="1.0" encoding="utf-8"?>
<sst xmlns="http://schemas.openxmlformats.org/spreadsheetml/2006/main" count="11" uniqueCount="7">
  <si>
    <t>skew</t>
  </si>
  <si>
    <t>mean</t>
  </si>
  <si>
    <t>transformed</t>
  </si>
  <si>
    <t>formula</t>
  </si>
  <si>
    <t>probability</t>
  </si>
  <si>
    <t>SD</t>
  </si>
  <si>
    <t>sign.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</si>
</sst>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0" fontId="4" fillId="0" borderId="0"/>
    <xf numFmtId="9" fontId="4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1" fillId="0" borderId="0" xfId="5"/>
    <xf numFmtId="0" fontId="1" fillId="0" borderId="1" xfId="5" applyBorder="1"/>
    <xf numFmtId="0" fontId="1" fillId="0" borderId="2" xfId="5" applyBorder="1"/>
    <xf numFmtId="0" fontId="1" fillId="0" borderId="4" xfId="5" applyBorder="1"/>
    <xf numFmtId="0" fontId="1" fillId="0" borderId="6" xfId="5" applyBorder="1"/>
    <xf numFmtId="0" fontId="1" fillId="0" borderId="3" xfId="5" applyBorder="1"/>
    <xf numFmtId="0" fontId="1" fillId="0" borderId="5" xfId="5" applyBorder="1"/>
    <xf numFmtId="164" fontId="1" fillId="0" borderId="7" xfId="5" applyNumberFormat="1" applyBorder="1"/>
    <xf numFmtId="164" fontId="1" fillId="0" borderId="8" xfId="5" applyNumberFormat="1" applyBorder="1"/>
    <xf numFmtId="0" fontId="1" fillId="0" borderId="6" xfId="5" applyBorder="1" applyAlignment="1">
      <alignment horizontal="center" vertical="center"/>
    </xf>
    <xf numFmtId="0" fontId="1" fillId="0" borderId="9" xfId="5" applyBorder="1"/>
    <xf numFmtId="0" fontId="1" fillId="0" borderId="10" xfId="5" applyBorder="1"/>
    <xf numFmtId="0" fontId="1" fillId="0" borderId="6" xfId="5" applyBorder="1" applyAlignment="1">
      <alignment horizontal="center"/>
    </xf>
    <xf numFmtId="164" fontId="1" fillId="0" borderId="4" xfId="5" applyNumberFormat="1" applyBorder="1" applyAlignment="1">
      <alignment horizontal="right"/>
    </xf>
    <xf numFmtId="164" fontId="1" fillId="0" borderId="8" xfId="5" applyNumberFormat="1" applyBorder="1" applyAlignment="1">
      <alignment horizontal="right"/>
    </xf>
  </cellXfs>
  <cellStyles count="7">
    <cellStyle name="Normal" xfId="0" builtinId="0"/>
    <cellStyle name="Normal 2" xfId="1"/>
    <cellStyle name="Normal 3" xfId="3"/>
    <cellStyle name="Normal 4" xfId="4"/>
    <cellStyle name="Normal 5" xfId="5"/>
    <cellStyle name="Percent 2" xfId="2"/>
    <cellStyle name="Percent 3" xfId="6"/>
  </cellStyles>
  <dxfs count="0"/>
  <tableStyles count="0" defaultTableStyle="TableStyleMedium9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LogNormal Distribution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LogNormal!$D$6:$D$19</c:f>
              <c:numCache>
                <c:formatCode>General</c:formatCode>
                <c:ptCount val="14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</c:numCache>
            </c:numRef>
          </c:cat>
          <c:val>
            <c:numRef>
              <c:f>LogNormal!$E$6:$E$19</c:f>
              <c:numCache>
                <c:formatCode>General</c:formatCode>
                <c:ptCount val="14"/>
                <c:pt idx="0">
                  <c:v>1</c:v>
                </c:pt>
                <c:pt idx="1">
                  <c:v>10</c:v>
                </c:pt>
                <c:pt idx="2">
                  <c:v>22</c:v>
                </c:pt>
                <c:pt idx="3">
                  <c:v>27</c:v>
                </c:pt>
                <c:pt idx="4">
                  <c:v>13</c:v>
                </c:pt>
                <c:pt idx="5">
                  <c:v>8</c:v>
                </c:pt>
                <c:pt idx="6">
                  <c:v>9</c:v>
                </c:pt>
                <c:pt idx="7">
                  <c:v>6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-27"/>
        <c:axId val="427064560"/>
        <c:axId val="427065120"/>
      </c:barChart>
      <c:catAx>
        <c:axId val="427064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065120"/>
        <c:crosses val="autoZero"/>
        <c:auto val="1"/>
        <c:lblAlgn val="ctr"/>
        <c:lblOffset val="100"/>
        <c:noMultiLvlLbl val="0"/>
      </c:catAx>
      <c:valAx>
        <c:axId val="4270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06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LogNormal Distribution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LogNormal!$D$23:$D$29</c:f>
              <c:strCache>
                <c:ptCount val="7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LogNormal!$D$23:$D$29</c:f>
              <c:numCache>
                <c:formatCode>General</c:formatCode>
                <c:ptCount val="7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</c:numCache>
            </c:numRef>
          </c:cat>
          <c:val>
            <c:numRef>
              <c:f>LogNormal!$E$23:$E$30</c:f>
              <c:numCache>
                <c:formatCode>General</c:formatCode>
                <c:ptCount val="8"/>
                <c:pt idx="0">
                  <c:v>0</c:v>
                </c:pt>
                <c:pt idx="1">
                  <c:v>2</c:v>
                </c:pt>
                <c:pt idx="2">
                  <c:v>12</c:v>
                </c:pt>
                <c:pt idx="3">
                  <c:v>37</c:v>
                </c:pt>
                <c:pt idx="4">
                  <c:v>30</c:v>
                </c:pt>
                <c:pt idx="5">
                  <c:v>18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30"/>
        <c:axId val="427717488"/>
        <c:axId val="427718048"/>
      </c:barChart>
      <c:catAx>
        <c:axId val="427717488"/>
        <c:scaling>
          <c:orientation val="minMax"/>
        </c:scaling>
        <c:delete val="0"/>
        <c:axPos val="b"/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718048"/>
        <c:crosses val="autoZero"/>
        <c:auto val="1"/>
        <c:lblAlgn val="ctr"/>
        <c:lblOffset val="100"/>
        <c:noMultiLvlLbl val="0"/>
      </c:catAx>
      <c:valAx>
        <c:axId val="42771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71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216959</xdr:colOff>
      <xdr:row>0</xdr:row>
      <xdr:rowOff>61912</xdr:rowOff>
    </xdr:from>
    <xdr:to>
      <xdr:col>15</xdr:col>
      <xdr:colOff>525992</xdr:colOff>
      <xdr:row>14</xdr:row>
      <xdr:rowOff>138112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211666</xdr:colOff>
      <xdr:row>15</xdr:row>
      <xdr:rowOff>200025</xdr:rowOff>
    </xdr:from>
    <xdr:to>
      <xdr:col>15</xdr:col>
      <xdr:colOff>529165</xdr:colOff>
      <xdr:row>29</xdr:row>
      <xdr:rowOff>31750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296333</xdr:colOff>
      <xdr:row>2</xdr:row>
      <xdr:rowOff>148166</xdr:rowOff>
    </xdr:from>
    <xdr:to>
      <xdr:col>15</xdr:col>
      <xdr:colOff>645583</xdr:colOff>
      <xdr:row>8</xdr:row>
      <xdr:rowOff>74083</xdr:rowOff>
    </xdr:to>
    <xdr:sp macro="" textlink="">
      <xdr:nvSpPr>
        <xdr:cNvPr id="4" name="Rounded Rectangle 3"/>
        <xdr:cNvSpPr/>
      </xdr:nvSpPr>
      <xdr:spPr>
        <a:xfrm>
          <a:off x="8001000" y="539749"/>
          <a:ext cx="2635250" cy="115358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Ctr + Sh + T</a:t>
          </a:r>
        </a:p>
        <a:p>
          <a:pPr algn="ctr"/>
          <a:r>
            <a:rPr lang="en-US" sz="2800" b="1"/>
            <a:t>or F9</a:t>
          </a:r>
        </a:p>
      </xdr:txBody>
    </xdr:sp>
    <xdr:clientData/>
  </xdr:twoCellAnchor>
  <xdr:twoCellAnchor>
    <xdr:from>
      <xdr:col>2</xdr:col>
      <xdr:colOff>63500</xdr:colOff>
      <xdr:row>9</xdr:row>
      <xdr:rowOff>42334</xdr:rowOff>
    </xdr:from>
    <xdr:to>
      <xdr:col>3</xdr:col>
      <xdr:colOff>275167</xdr:colOff>
      <xdr:row>14</xdr:row>
      <xdr:rowOff>42333</xdr:rowOff>
    </xdr:to>
    <xdr:sp macro="" textlink="">
      <xdr:nvSpPr>
        <xdr:cNvPr id="5" name="Right Arrow 4"/>
        <xdr:cNvSpPr/>
      </xdr:nvSpPr>
      <xdr:spPr>
        <a:xfrm>
          <a:off x="1333500" y="1862667"/>
          <a:ext cx="687917" cy="1005416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35982</xdr:colOff>
      <xdr:row>22</xdr:row>
      <xdr:rowOff>162985</xdr:rowOff>
    </xdr:from>
    <xdr:to>
      <xdr:col>6</xdr:col>
      <xdr:colOff>74082</xdr:colOff>
      <xdr:row>27</xdr:row>
      <xdr:rowOff>162984</xdr:rowOff>
    </xdr:to>
    <xdr:sp macro="" textlink="">
      <xdr:nvSpPr>
        <xdr:cNvPr id="6" name="Right Arrow 5"/>
        <xdr:cNvSpPr/>
      </xdr:nvSpPr>
      <xdr:spPr>
        <a:xfrm flipH="1">
          <a:off x="3052232" y="4618568"/>
          <a:ext cx="535517" cy="1005416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erry%20Verschuuren/My%20Documents/Classes/Excel/ScienceClass/Plotting-Data/L-Interpolatio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rry/Desktop/Classes/Excel/ScienceClass2010/Regression-Analysis/E-Sigmoid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rry/Desktop/MrExcel/Science-13-CD/Science-13-CD/Mod3-Curve-Fitting/Finished%20Files/F-Sigmoi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1-TrendLine"/>
      <sheetName val="2-3D-Markers"/>
      <sheetName val="3-BallFall"/>
      <sheetName val="4-PopGrowth"/>
      <sheetName val="5-Titration"/>
      <sheetName val="6-Extrapol"/>
      <sheetName val="7-Oxyg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3">
            <v>5</v>
          </cell>
          <cell r="C3">
            <v>5.2</v>
          </cell>
        </row>
        <row r="4">
          <cell r="B4">
            <v>10</v>
          </cell>
          <cell r="C4">
            <v>9.3000000000000007</v>
          </cell>
        </row>
        <row r="5">
          <cell r="B5">
            <v>20</v>
          </cell>
          <cell r="C5">
            <v>29.9</v>
          </cell>
        </row>
        <row r="6">
          <cell r="B6">
            <v>30</v>
          </cell>
          <cell r="C6">
            <v>52.9</v>
          </cell>
        </row>
        <row r="7">
          <cell r="B7">
            <v>40</v>
          </cell>
          <cell r="C7">
            <v>71.5</v>
          </cell>
        </row>
        <row r="8">
          <cell r="B8">
            <v>50</v>
          </cell>
          <cell r="C8">
            <v>83.4</v>
          </cell>
        </row>
        <row r="9">
          <cell r="B9">
            <v>60</v>
          </cell>
          <cell r="C9">
            <v>92.2</v>
          </cell>
        </row>
        <row r="10">
          <cell r="B10">
            <v>70</v>
          </cell>
          <cell r="C10">
            <v>95.8</v>
          </cell>
        </row>
        <row r="11">
          <cell r="B11">
            <v>80</v>
          </cell>
          <cell r="C11">
            <v>97.5</v>
          </cell>
        </row>
        <row r="12">
          <cell r="B12">
            <v>90</v>
          </cell>
          <cell r="C12">
            <v>98.9</v>
          </cell>
        </row>
        <row r="13">
          <cell r="B13">
            <v>100</v>
          </cell>
          <cell r="C13">
            <v>99.1</v>
          </cell>
        </row>
        <row r="14">
          <cell r="B14">
            <v>110</v>
          </cell>
          <cell r="C14">
            <v>99.5</v>
          </cell>
        </row>
        <row r="15">
          <cell r="B15">
            <v>120</v>
          </cell>
          <cell r="C15">
            <v>99.9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-Sigmoid"/>
      <sheetName val="2-Integration"/>
      <sheetName val="3-Split-Trick"/>
      <sheetName val="4-IP-SP"/>
      <sheetName val="5-Slope"/>
      <sheetName val="6-GrowthCurve"/>
      <sheetName val="7-Absorption"/>
      <sheetName val="8-Hb-Oxyg"/>
      <sheetName val="9-Test"/>
      <sheetName val="10-Titration"/>
      <sheetName val="11-EC50"/>
      <sheetName val="12-EC50Determ"/>
    </sheetNames>
    <sheetDataSet>
      <sheetData sheetId="0">
        <row r="19">
          <cell r="B19">
            <v>200</v>
          </cell>
        </row>
        <row r="21">
          <cell r="C21">
            <v>0.49719347368145589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C1">
            <v>0.1555</v>
          </cell>
        </row>
        <row r="2">
          <cell r="C2">
            <v>25.938517965042877</v>
          </cell>
        </row>
        <row r="21">
          <cell r="C21">
            <v>100</v>
          </cell>
        </row>
      </sheetData>
      <sheetData sheetId="7" refreshError="1"/>
      <sheetData sheetId="8" refreshError="1"/>
      <sheetData sheetId="9" refreshError="1"/>
      <sheetData sheetId="10" refreshError="1"/>
      <sheetData sheetId="11">
        <row r="5">
          <cell r="B5" t="str">
            <v>Average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gmoid"/>
      <sheetName val="Integration"/>
      <sheetName val="Split-Trick"/>
      <sheetName val="IP-SP"/>
      <sheetName val="Slope"/>
      <sheetName val="GrowthCurve"/>
      <sheetName val="Absorption"/>
      <sheetName val="Hb-Oxyg"/>
      <sheetName val="Test"/>
      <sheetName val="EC50Determ"/>
      <sheetName val="EC50-IC50"/>
    </sheetNames>
    <sheetDataSet>
      <sheetData sheetId="0">
        <row r="19">
          <cell r="B19">
            <v>200</v>
          </cell>
        </row>
        <row r="21">
          <cell r="C21">
            <v>0.49719347368145589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C1">
            <v>0.1555</v>
          </cell>
        </row>
        <row r="2">
          <cell r="C2">
            <v>25.938517965042877</v>
          </cell>
        </row>
        <row r="21">
          <cell r="C21">
            <v>100</v>
          </cell>
        </row>
      </sheetData>
      <sheetData sheetId="7" refreshError="1"/>
      <sheetData sheetId="8" refreshError="1"/>
      <sheetData sheetId="9" refreshError="1"/>
      <sheetData sheetId="10">
        <row r="1">
          <cell r="D1" t="str">
            <v>Boltzmann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tabSelected="1" zoomScale="90" zoomScaleNormal="90" workbookViewId="0">
      <selection activeCell="E4" sqref="E4"/>
    </sheetView>
  </sheetViews>
  <sheetFormatPr defaultRowHeight="15" x14ac:dyDescent="0.25"/>
  <cols>
    <col min="1" max="1" width="6.33203125" style="1" bestFit="1" customWidth="1"/>
    <col min="2" max="2" width="8.5546875" style="1" bestFit="1" customWidth="1"/>
    <col min="3" max="3" width="5.5546875" style="1" customWidth="1"/>
    <col min="4" max="4" width="5.88671875" style="1" customWidth="1"/>
    <col min="5" max="5" width="8.88671875" style="1"/>
    <col min="6" max="6" width="5.77734375" style="1" customWidth="1"/>
    <col min="7" max="7" width="8.88671875" style="1"/>
    <col min="8" max="8" width="4.44140625" style="1" customWidth="1"/>
    <col min="9" max="16384" width="8.88671875" style="1"/>
  </cols>
  <sheetData>
    <row r="1" spans="1:7" x14ac:dyDescent="0.25">
      <c r="A1" s="1" t="s">
        <v>3</v>
      </c>
      <c r="B1" s="1" t="s">
        <v>4</v>
      </c>
      <c r="D1" s="11" t="s">
        <v>1</v>
      </c>
      <c r="E1" s="8">
        <f ca="1">AVERAGE(A2:A101)</f>
        <v>8.256493776886014</v>
      </c>
      <c r="G1" s="1" t="s">
        <v>2</v>
      </c>
    </row>
    <row r="2" spans="1:7" ht="15.75" x14ac:dyDescent="0.25">
      <c r="A2">
        <f t="shared" ref="A2:A33" ca="1" si="0">_xlfn.LOGNORM.INV(RAND(),2,0.5)</f>
        <v>6.7549770613895506</v>
      </c>
      <c r="B2">
        <f t="shared" ref="B2:B33" ca="1" si="1">_xlfn.LOGNORM.DIST(A2,$E$1,$E$2,TRUE)</f>
        <v>6.3135013611052365E-2</v>
      </c>
      <c r="D2" s="12" t="s">
        <v>5</v>
      </c>
      <c r="E2" s="9">
        <f ca="1">_xlfn.STDEV.S(A2:A101)</f>
        <v>4.1506263440476143</v>
      </c>
      <c r="G2">
        <f t="shared" ref="G2:G33" ca="1" si="2">LN(A2)</f>
        <v>1.9102795756091426</v>
      </c>
    </row>
    <row r="3" spans="1:7" ht="15.75" x14ac:dyDescent="0.25">
      <c r="A3">
        <f t="shared" ca="1" si="0"/>
        <v>10.499595134153745</v>
      </c>
      <c r="B3">
        <f t="shared" ca="1" si="1"/>
        <v>7.7409439955184817E-2</v>
      </c>
      <c r="D3" s="6" t="s">
        <v>0</v>
      </c>
      <c r="E3" s="14" t="str">
        <f ca="1">TEXT(SKEW(A:A), "0.000")</f>
        <v>1.294</v>
      </c>
      <c r="G3">
        <f t="shared" ca="1" si="2"/>
        <v>2.3513366977680494</v>
      </c>
    </row>
    <row r="4" spans="1:7" ht="16.5" thickBot="1" x14ac:dyDescent="0.3">
      <c r="A4">
        <f t="shared" ca="1" si="0"/>
        <v>3.9045474214753244</v>
      </c>
      <c r="B4">
        <f t="shared" ca="1" si="1"/>
        <v>4.8352815212192993E-2</v>
      </c>
      <c r="D4" s="7" t="s">
        <v>6</v>
      </c>
      <c r="E4" s="13" t="str">
        <f ca="1">IF(E3&gt;(2*SQRT(6/COUNT(A:A))),"Y","N")</f>
        <v>Y</v>
      </c>
      <c r="G4">
        <f t="shared" ca="1" si="2"/>
        <v>1.3621418793856335</v>
      </c>
    </row>
    <row r="5" spans="1:7" ht="16.5" thickBot="1" x14ac:dyDescent="0.3">
      <c r="A5">
        <f t="shared" ca="1" si="0"/>
        <v>6.351918405132575</v>
      </c>
      <c r="B5">
        <f t="shared" ca="1" si="1"/>
        <v>6.1318397173042882E-2</v>
      </c>
      <c r="G5">
        <f t="shared" ca="1" si="2"/>
        <v>1.8487568783227479</v>
      </c>
    </row>
    <row r="6" spans="1:7" ht="15.75" x14ac:dyDescent="0.25">
      <c r="A6">
        <f t="shared" ca="1" si="0"/>
        <v>8.1405285094347217</v>
      </c>
      <c r="B6">
        <f t="shared" ca="1" si="1"/>
        <v>6.8900971261943417E-2</v>
      </c>
      <c r="D6" s="2">
        <v>2</v>
      </c>
      <c r="E6" s="3">
        <f t="array" aca="1" ref="E6:E20" ca="1">FREQUENCY(A2:A101,D6:D19)</f>
        <v>1</v>
      </c>
      <c r="G6">
        <f t="shared" ca="1" si="2"/>
        <v>2.0968551053557363</v>
      </c>
    </row>
    <row r="7" spans="1:7" ht="15.75" x14ac:dyDescent="0.25">
      <c r="A7">
        <f t="shared" ca="1" si="0"/>
        <v>19.964295872086964</v>
      </c>
      <c r="B7">
        <f t="shared" ca="1" si="1"/>
        <v>0.10241815879329035</v>
      </c>
      <c r="D7" s="6">
        <v>4</v>
      </c>
      <c r="E7" s="4">
        <f ca="1"/>
        <v>10</v>
      </c>
      <c r="G7">
        <f t="shared" ca="1" si="2"/>
        <v>2.9939454717783973</v>
      </c>
    </row>
    <row r="8" spans="1:7" ht="15.75" x14ac:dyDescent="0.25">
      <c r="A8">
        <f t="shared" ca="1" si="0"/>
        <v>6.8555554969397505</v>
      </c>
      <c r="B8">
        <f t="shared" ca="1" si="1"/>
        <v>6.3577607268382408E-2</v>
      </c>
      <c r="D8" s="6">
        <v>6</v>
      </c>
      <c r="E8" s="4">
        <f ca="1"/>
        <v>22</v>
      </c>
      <c r="G8">
        <f t="shared" ca="1" si="2"/>
        <v>1.9250593450250053</v>
      </c>
    </row>
    <row r="9" spans="1:7" ht="15.75" x14ac:dyDescent="0.25">
      <c r="A9">
        <f t="shared" ca="1" si="0"/>
        <v>13.767953541527243</v>
      </c>
      <c r="B9">
        <f t="shared" ca="1" si="1"/>
        <v>8.7323635264219629E-2</v>
      </c>
      <c r="D9" s="6">
        <v>8</v>
      </c>
      <c r="E9" s="4">
        <f ca="1"/>
        <v>27</v>
      </c>
      <c r="G9">
        <f t="shared" ca="1" si="2"/>
        <v>2.6223436845228973</v>
      </c>
    </row>
    <row r="10" spans="1:7" ht="15.75" x14ac:dyDescent="0.25">
      <c r="A10">
        <f t="shared" ca="1" si="0"/>
        <v>6.086943726428462</v>
      </c>
      <c r="B10">
        <f t="shared" ca="1" si="1"/>
        <v>6.0084325871142992E-2</v>
      </c>
      <c r="D10" s="6">
        <v>10</v>
      </c>
      <c r="E10" s="4">
        <f ca="1"/>
        <v>13</v>
      </c>
      <c r="G10">
        <f t="shared" ca="1" si="2"/>
        <v>1.8061461045911926</v>
      </c>
    </row>
    <row r="11" spans="1:7" ht="15.75" x14ac:dyDescent="0.25">
      <c r="A11">
        <f t="shared" ca="1" si="0"/>
        <v>5.8448707861464611</v>
      </c>
      <c r="B11">
        <f t="shared" ca="1" si="1"/>
        <v>5.8927183843355199E-2</v>
      </c>
      <c r="D11" s="6">
        <v>12</v>
      </c>
      <c r="E11" s="4">
        <f ca="1"/>
        <v>8</v>
      </c>
      <c r="G11">
        <f t="shared" ca="1" si="2"/>
        <v>1.7655644879468191</v>
      </c>
    </row>
    <row r="12" spans="1:7" ht="15.75" x14ac:dyDescent="0.25">
      <c r="A12">
        <f t="shared" ca="1" si="0"/>
        <v>12.543307050645431</v>
      </c>
      <c r="B12">
        <f t="shared" ca="1" si="1"/>
        <v>8.3814013288344355E-2</v>
      </c>
      <c r="D12" s="6">
        <v>14</v>
      </c>
      <c r="E12" s="4">
        <f ca="1"/>
        <v>9</v>
      </c>
      <c r="G12">
        <f t="shared" ca="1" si="2"/>
        <v>2.5291872205838928</v>
      </c>
    </row>
    <row r="13" spans="1:7" ht="15.75" x14ac:dyDescent="0.25">
      <c r="A13">
        <f t="shared" ca="1" si="0"/>
        <v>7.5806276163531283</v>
      </c>
      <c r="B13">
        <f t="shared" ca="1" si="1"/>
        <v>6.6652620388420111E-2</v>
      </c>
      <c r="D13" s="6">
        <v>16</v>
      </c>
      <c r="E13" s="4">
        <f ca="1"/>
        <v>6</v>
      </c>
      <c r="G13">
        <f t="shared" ca="1" si="2"/>
        <v>2.0255959952178109</v>
      </c>
    </row>
    <row r="14" spans="1:7" ht="15.75" x14ac:dyDescent="0.25">
      <c r="A14">
        <f t="shared" ca="1" si="0"/>
        <v>9.5067871026125861</v>
      </c>
      <c r="B14">
        <f t="shared" ca="1" si="1"/>
        <v>7.3998020736886216E-2</v>
      </c>
      <c r="D14" s="6">
        <v>18</v>
      </c>
      <c r="E14" s="4">
        <f ca="1"/>
        <v>2</v>
      </c>
      <c r="G14">
        <f t="shared" ca="1" si="2"/>
        <v>2.2520059753755013</v>
      </c>
    </row>
    <row r="15" spans="1:7" ht="15.75" x14ac:dyDescent="0.25">
      <c r="A15">
        <f t="shared" ca="1" si="0"/>
        <v>5.9954114010801698</v>
      </c>
      <c r="B15">
        <f t="shared" ca="1" si="1"/>
        <v>5.9650227248966091E-2</v>
      </c>
      <c r="D15" s="6">
        <v>20</v>
      </c>
      <c r="E15" s="4">
        <f ca="1"/>
        <v>1</v>
      </c>
      <c r="G15">
        <f t="shared" ca="1" si="2"/>
        <v>1.7909944101583457</v>
      </c>
    </row>
    <row r="16" spans="1:7" ht="15.75" x14ac:dyDescent="0.25">
      <c r="A16">
        <f t="shared" ca="1" si="0"/>
        <v>8.0972983651235904</v>
      </c>
      <c r="B16">
        <f t="shared" ca="1" si="1"/>
        <v>6.8730973968893813E-2</v>
      </c>
      <c r="D16" s="6">
        <v>22</v>
      </c>
      <c r="E16" s="4">
        <f ca="1"/>
        <v>0</v>
      </c>
      <c r="G16">
        <f t="shared" ca="1" si="2"/>
        <v>2.0915304708732401</v>
      </c>
    </row>
    <row r="17" spans="1:7" ht="15.75" x14ac:dyDescent="0.25">
      <c r="A17">
        <f t="shared" ca="1" si="0"/>
        <v>16.201437032862252</v>
      </c>
      <c r="B17">
        <f t="shared" ca="1" si="1"/>
        <v>9.3716813290055934E-2</v>
      </c>
      <c r="D17" s="6">
        <v>24</v>
      </c>
      <c r="E17" s="4">
        <f ca="1"/>
        <v>0</v>
      </c>
      <c r="G17">
        <f t="shared" ca="1" si="2"/>
        <v>2.7850999440364554</v>
      </c>
    </row>
    <row r="18" spans="1:7" ht="15.75" x14ac:dyDescent="0.25">
      <c r="A18">
        <f t="shared" ca="1" si="0"/>
        <v>3.2842401439104609</v>
      </c>
      <c r="B18">
        <f t="shared" ca="1" si="1"/>
        <v>4.4310150481506563E-2</v>
      </c>
      <c r="D18" s="6">
        <v>26</v>
      </c>
      <c r="E18" s="4">
        <f ca="1"/>
        <v>1</v>
      </c>
      <c r="G18">
        <f t="shared" ca="1" si="2"/>
        <v>1.1891353143461427</v>
      </c>
    </row>
    <row r="19" spans="1:7" ht="16.5" thickBot="1" x14ac:dyDescent="0.3">
      <c r="A19">
        <f t="shared" ca="1" si="0"/>
        <v>6.310668657317839</v>
      </c>
      <c r="B19">
        <f t="shared" ca="1" si="1"/>
        <v>6.1128433957637174E-2</v>
      </c>
      <c r="D19" s="7">
        <v>28</v>
      </c>
      <c r="E19" s="5">
        <f ca="1"/>
        <v>0</v>
      </c>
      <c r="G19">
        <f t="shared" ca="1" si="2"/>
        <v>1.8422416388181364</v>
      </c>
    </row>
    <row r="20" spans="1:7" ht="15.75" x14ac:dyDescent="0.25">
      <c r="A20">
        <f t="shared" ca="1" si="0"/>
        <v>8.0018442456732615</v>
      </c>
      <c r="B20">
        <f t="shared" ca="1" si="1"/>
        <v>6.8353537577050621E-2</v>
      </c>
      <c r="E20" s="1">
        <f ca="1"/>
        <v>0</v>
      </c>
      <c r="G20">
        <f t="shared" ca="1" si="2"/>
        <v>2.0796720458208728</v>
      </c>
    </row>
    <row r="21" spans="1:7" ht="15.75" x14ac:dyDescent="0.25">
      <c r="A21">
        <f t="shared" ca="1" si="0"/>
        <v>15.464033219007833</v>
      </c>
      <c r="B21">
        <f t="shared" ca="1" si="1"/>
        <v>9.185268734907534E-2</v>
      </c>
      <c r="G21">
        <f t="shared" ca="1" si="2"/>
        <v>2.7385168900547723</v>
      </c>
    </row>
    <row r="22" spans="1:7" ht="16.5" thickBot="1" x14ac:dyDescent="0.3">
      <c r="A22">
        <f t="shared" ca="1" si="0"/>
        <v>7.7719571680232642</v>
      </c>
      <c r="B22">
        <f t="shared" ca="1" si="1"/>
        <v>6.7432533352742269E-2</v>
      </c>
      <c r="G22">
        <f t="shared" ca="1" si="2"/>
        <v>2.0505220204376382</v>
      </c>
    </row>
    <row r="23" spans="1:7" ht="15.75" x14ac:dyDescent="0.25">
      <c r="A23">
        <f t="shared" ca="1" si="0"/>
        <v>6.9773451713852497</v>
      </c>
      <c r="B23">
        <f t="shared" ca="1" si="1"/>
        <v>6.4108076970415331E-2</v>
      </c>
      <c r="D23" s="2">
        <v>0.5</v>
      </c>
      <c r="E23" s="3">
        <f t="array" aca="1" ref="E23:E30" ca="1">FREQUENCY(G:G,D23:D29)</f>
        <v>0</v>
      </c>
      <c r="G23">
        <f t="shared" ca="1" si="2"/>
        <v>1.9426684964845815</v>
      </c>
    </row>
    <row r="24" spans="1:7" ht="15.75" x14ac:dyDescent="0.25">
      <c r="A24">
        <f t="shared" ca="1" si="0"/>
        <v>11.447323676314475</v>
      </c>
      <c r="B24">
        <f t="shared" ca="1" si="1"/>
        <v>8.0473463951604582E-2</v>
      </c>
      <c r="D24" s="6">
        <v>1</v>
      </c>
      <c r="E24" s="4">
        <f ca="1"/>
        <v>2</v>
      </c>
      <c r="G24">
        <f t="shared" ca="1" si="2"/>
        <v>2.4377559626189123</v>
      </c>
    </row>
    <row r="25" spans="1:7" ht="15.75" x14ac:dyDescent="0.25">
      <c r="A25">
        <f t="shared" ca="1" si="0"/>
        <v>4.4747468079481756</v>
      </c>
      <c r="B25">
        <f t="shared" ca="1" si="1"/>
        <v>5.1741390691076646E-2</v>
      </c>
      <c r="D25" s="6">
        <v>1.5</v>
      </c>
      <c r="E25" s="4">
        <f ca="1"/>
        <v>12</v>
      </c>
      <c r="G25">
        <f t="shared" ca="1" si="2"/>
        <v>1.4984497708966957</v>
      </c>
    </row>
    <row r="26" spans="1:7" ht="15.75" x14ac:dyDescent="0.25">
      <c r="A26">
        <f t="shared" ca="1" si="0"/>
        <v>5.0452937762819143</v>
      </c>
      <c r="B26">
        <f t="shared" ca="1" si="1"/>
        <v>5.4878553410331724E-2</v>
      </c>
      <c r="D26" s="6">
        <v>2</v>
      </c>
      <c r="E26" s="4">
        <f ca="1"/>
        <v>37</v>
      </c>
      <c r="G26">
        <f t="shared" ca="1" si="2"/>
        <v>1.6184558832860039</v>
      </c>
    </row>
    <row r="27" spans="1:7" ht="15.75" x14ac:dyDescent="0.25">
      <c r="A27">
        <f t="shared" ca="1" si="0"/>
        <v>12.671487768098734</v>
      </c>
      <c r="B27">
        <f t="shared" ca="1" si="1"/>
        <v>8.4191825942350654E-2</v>
      </c>
      <c r="D27" s="6">
        <v>2.5</v>
      </c>
      <c r="E27" s="4">
        <f ca="1"/>
        <v>30</v>
      </c>
      <c r="G27">
        <f t="shared" ca="1" si="2"/>
        <v>2.5393544119143718</v>
      </c>
    </row>
    <row r="28" spans="1:7" ht="15.75" x14ac:dyDescent="0.25">
      <c r="A28">
        <f t="shared" ca="1" si="0"/>
        <v>7.8480842667551265</v>
      </c>
      <c r="B28">
        <f t="shared" ca="1" si="1"/>
        <v>6.77394333519344E-2</v>
      </c>
      <c r="D28" s="6">
        <v>3</v>
      </c>
      <c r="E28" s="4">
        <f ca="1"/>
        <v>18</v>
      </c>
      <c r="G28">
        <f t="shared" ca="1" si="2"/>
        <v>2.0602694595595361</v>
      </c>
    </row>
    <row r="29" spans="1:7" ht="16.5" thickBot="1" x14ac:dyDescent="0.3">
      <c r="A29">
        <f t="shared" ca="1" si="0"/>
        <v>12.776732312037799</v>
      </c>
      <c r="B29">
        <f t="shared" ca="1" si="1"/>
        <v>8.4500129789668157E-2</v>
      </c>
      <c r="D29" s="7">
        <v>3.5</v>
      </c>
      <c r="E29" s="5">
        <f ca="1"/>
        <v>1</v>
      </c>
      <c r="G29">
        <f t="shared" ca="1" si="2"/>
        <v>2.5476257286217576</v>
      </c>
    </row>
    <row r="30" spans="1:7" ht="15.75" x14ac:dyDescent="0.25">
      <c r="A30">
        <f t="shared" ca="1" si="0"/>
        <v>15.460841674549448</v>
      </c>
      <c r="B30">
        <f t="shared" ca="1" si="1"/>
        <v>9.1844489100552915E-2</v>
      </c>
      <c r="E30" s="1">
        <f ca="1"/>
        <v>0</v>
      </c>
      <c r="G30">
        <f t="shared" ca="1" si="2"/>
        <v>2.7383104837568841</v>
      </c>
    </row>
    <row r="31" spans="1:7" ht="16.5" thickBot="1" x14ac:dyDescent="0.3">
      <c r="A31">
        <f t="shared" ca="1" si="0"/>
        <v>7.7896778702934713</v>
      </c>
      <c r="B31">
        <f t="shared" ca="1" si="1"/>
        <v>6.7504144079945913E-2</v>
      </c>
      <c r="G31">
        <f t="shared" ca="1" si="2"/>
        <v>2.0527995073323337</v>
      </c>
    </row>
    <row r="32" spans="1:7" ht="15.75" x14ac:dyDescent="0.25">
      <c r="A32">
        <f t="shared" ca="1" si="0"/>
        <v>8.7449299128576534</v>
      </c>
      <c r="B32">
        <f t="shared" ca="1" si="1"/>
        <v>7.1219136972335201E-2</v>
      </c>
      <c r="D32" s="2" t="s">
        <v>1</v>
      </c>
      <c r="E32" s="8">
        <f ca="1">AVERAGE(G:G)</f>
        <v>1.9947079113485757</v>
      </c>
      <c r="G32">
        <f t="shared" ca="1" si="2"/>
        <v>2.168474093899587</v>
      </c>
    </row>
    <row r="33" spans="1:7" ht="15.75" x14ac:dyDescent="0.25">
      <c r="A33">
        <f t="shared" ca="1" si="0"/>
        <v>13.999951021200637</v>
      </c>
      <c r="B33">
        <f t="shared" ca="1" si="1"/>
        <v>8.7964621393958595E-2</v>
      </c>
      <c r="D33" s="6" t="s">
        <v>5</v>
      </c>
      <c r="E33" s="9">
        <f ca="1">STDEV(G:G)</f>
        <v>0.48798212155088611</v>
      </c>
      <c r="G33">
        <f t="shared" ca="1" si="2"/>
        <v>2.6390538311234701</v>
      </c>
    </row>
    <row r="34" spans="1:7" ht="15.75" x14ac:dyDescent="0.25">
      <c r="A34">
        <f t="shared" ref="A34:A65" ca="1" si="3">_xlfn.LOGNORM.INV(RAND(),2,0.5)</f>
        <v>7.1435375919445354</v>
      </c>
      <c r="B34">
        <f t="shared" ref="B34:B65" ca="1" si="4">_xlfn.LOGNORM.DIST(A34,$E$1,$E$2,TRUE)</f>
        <v>6.4822566498635825E-2</v>
      </c>
      <c r="D34" s="6" t="s">
        <v>0</v>
      </c>
      <c r="E34" s="15" t="str">
        <f ca="1">TEXT(SKEW(G:G),"0.000")</f>
        <v>-0.077</v>
      </c>
      <c r="G34">
        <f t="shared" ref="G34:G65" ca="1" si="5">LN(A34)</f>
        <v>1.9662081147078485</v>
      </c>
    </row>
    <row r="35" spans="1:7" ht="16.5" thickBot="1" x14ac:dyDescent="0.3">
      <c r="A35">
        <f t="shared" ca="1" si="3"/>
        <v>3.7180559320506639</v>
      </c>
      <c r="B35">
        <f t="shared" ca="1" si="4"/>
        <v>4.7180369922204667E-2</v>
      </c>
      <c r="D35" s="7" t="s">
        <v>6</v>
      </c>
      <c r="E35" s="10" t="str">
        <f ca="1">IF(ABS(E34)&gt;(2*SQRT(6/COUNT(G:G))),"Y","N")</f>
        <v>N</v>
      </c>
      <c r="G35">
        <f t="shared" ca="1" si="5"/>
        <v>1.3132009327715382</v>
      </c>
    </row>
    <row r="36" spans="1:7" ht="15.75" x14ac:dyDescent="0.25">
      <c r="A36">
        <f t="shared" ca="1" si="3"/>
        <v>11.615087391143533</v>
      </c>
      <c r="B36">
        <f t="shared" ca="1" si="4"/>
        <v>8.0998190594779307E-2</v>
      </c>
      <c r="G36">
        <f t="shared" ca="1" si="5"/>
        <v>2.4523048901840401</v>
      </c>
    </row>
    <row r="37" spans="1:7" ht="15.75" x14ac:dyDescent="0.25">
      <c r="A37">
        <f t="shared" ca="1" si="3"/>
        <v>25.512909400010603</v>
      </c>
      <c r="B37">
        <f t="shared" ca="1" si="4"/>
        <v>0.11336836091037608</v>
      </c>
      <c r="G37">
        <f t="shared" ca="1" si="5"/>
        <v>3.2391845750433932</v>
      </c>
    </row>
    <row r="38" spans="1:7" ht="15.75" x14ac:dyDescent="0.25">
      <c r="A38">
        <f t="shared" ca="1" si="3"/>
        <v>8.7382553080404772</v>
      </c>
      <c r="B38">
        <f t="shared" ca="1" si="4"/>
        <v>7.1194110574487823E-2</v>
      </c>
      <c r="G38">
        <f t="shared" ca="1" si="5"/>
        <v>2.1677105482347532</v>
      </c>
    </row>
    <row r="39" spans="1:7" ht="15.75" x14ac:dyDescent="0.25">
      <c r="A39">
        <f t="shared" ca="1" si="3"/>
        <v>1.7922483349664278</v>
      </c>
      <c r="B39">
        <f t="shared" ca="1" si="4"/>
        <v>3.2254749606943918E-2</v>
      </c>
      <c r="G39">
        <f t="shared" ca="1" si="5"/>
        <v>0.58347088473182063</v>
      </c>
    </row>
    <row r="40" spans="1:7" ht="15.75" x14ac:dyDescent="0.25">
      <c r="A40">
        <f t="shared" ca="1" si="3"/>
        <v>5.5463074654754303</v>
      </c>
      <c r="B40">
        <f t="shared" ca="1" si="4"/>
        <v>5.7458112283435878E-2</v>
      </c>
      <c r="G40">
        <f t="shared" ca="1" si="5"/>
        <v>1.7131323847977937</v>
      </c>
    </row>
    <row r="41" spans="1:7" ht="15.75" x14ac:dyDescent="0.25">
      <c r="A41">
        <f t="shared" ca="1" si="3"/>
        <v>5.0232568751423825</v>
      </c>
      <c r="B41">
        <f t="shared" ca="1" si="4"/>
        <v>5.4761537852234463E-2</v>
      </c>
      <c r="G41">
        <f t="shared" ca="1" si="5"/>
        <v>1.6140785032457767</v>
      </c>
    </row>
    <row r="42" spans="1:7" ht="15.75" x14ac:dyDescent="0.25">
      <c r="A42">
        <f t="shared" ca="1" si="3"/>
        <v>4.7273682913958019</v>
      </c>
      <c r="B42">
        <f t="shared" ca="1" si="4"/>
        <v>5.3158906603114037E-2</v>
      </c>
      <c r="G42">
        <f t="shared" ca="1" si="5"/>
        <v>1.5533686610663</v>
      </c>
    </row>
    <row r="43" spans="1:7" ht="15.75" x14ac:dyDescent="0.25">
      <c r="A43">
        <f t="shared" ca="1" si="3"/>
        <v>3.9873640465295188</v>
      </c>
      <c r="B43">
        <f t="shared" ca="1" si="4"/>
        <v>4.8862710332280998E-2</v>
      </c>
      <c r="G43">
        <f t="shared" ca="1" si="5"/>
        <v>1.3831303726154909</v>
      </c>
    </row>
    <row r="44" spans="1:7" ht="15.75" x14ac:dyDescent="0.25">
      <c r="A44">
        <f t="shared" ca="1" si="3"/>
        <v>5.0324339902046011</v>
      </c>
      <c r="B44">
        <f t="shared" ca="1" si="4"/>
        <v>5.4810306429165762E-2</v>
      </c>
      <c r="G44">
        <f t="shared" ca="1" si="5"/>
        <v>1.6159037617452585</v>
      </c>
    </row>
    <row r="45" spans="1:7" ht="15.75" x14ac:dyDescent="0.25">
      <c r="A45">
        <f t="shared" ca="1" si="3"/>
        <v>7.2382717377968904</v>
      </c>
      <c r="B45">
        <f t="shared" ca="1" si="4"/>
        <v>6.5225132720836118E-2</v>
      </c>
      <c r="G45">
        <f t="shared" ca="1" si="5"/>
        <v>1.9793824676527503</v>
      </c>
    </row>
    <row r="46" spans="1:7" ht="15.75" x14ac:dyDescent="0.25">
      <c r="A46">
        <f t="shared" ca="1" si="3"/>
        <v>4.5061696447501438</v>
      </c>
      <c r="B46">
        <f t="shared" ca="1" si="4"/>
        <v>5.192032142401299E-2</v>
      </c>
      <c r="G46">
        <f t="shared" ca="1" si="5"/>
        <v>1.5054474899365458</v>
      </c>
    </row>
    <row r="47" spans="1:7" ht="15.75" x14ac:dyDescent="0.25">
      <c r="A47">
        <f t="shared" ca="1" si="3"/>
        <v>6.4525655311061234</v>
      </c>
      <c r="B47">
        <f t="shared" ca="1" si="4"/>
        <v>6.1778667476650805E-2</v>
      </c>
      <c r="G47">
        <f t="shared" ca="1" si="5"/>
        <v>1.8644778084840703</v>
      </c>
    </row>
    <row r="48" spans="1:7" ht="15.75" x14ac:dyDescent="0.25">
      <c r="A48">
        <f t="shared" ca="1" si="3"/>
        <v>8.0266135725533623</v>
      </c>
      <c r="B48">
        <f t="shared" ca="1" si="4"/>
        <v>6.8451754695908973E-2</v>
      </c>
      <c r="G48">
        <f t="shared" ca="1" si="5"/>
        <v>2.0827627170355205</v>
      </c>
    </row>
    <row r="49" spans="1:7" ht="15.75" x14ac:dyDescent="0.25">
      <c r="A49">
        <f t="shared" ca="1" si="3"/>
        <v>4.6928374886906132</v>
      </c>
      <c r="B49">
        <f t="shared" ca="1" si="4"/>
        <v>5.2967917165638784E-2</v>
      </c>
      <c r="G49">
        <f t="shared" ca="1" si="5"/>
        <v>1.5460374077640793</v>
      </c>
    </row>
    <row r="50" spans="1:7" ht="15.75" x14ac:dyDescent="0.25">
      <c r="A50">
        <f t="shared" ca="1" si="3"/>
        <v>8.463514151592209</v>
      </c>
      <c r="B50">
        <f t="shared" ca="1" si="4"/>
        <v>7.0153067869433428E-2</v>
      </c>
      <c r="G50">
        <f t="shared" ca="1" si="5"/>
        <v>2.1357644717188973</v>
      </c>
    </row>
    <row r="51" spans="1:7" ht="15.75" x14ac:dyDescent="0.25">
      <c r="A51">
        <f t="shared" ca="1" si="3"/>
        <v>6.6444430052081014</v>
      </c>
      <c r="B51">
        <f t="shared" ca="1" si="4"/>
        <v>6.2643783038449349E-2</v>
      </c>
      <c r="G51">
        <f t="shared" ca="1" si="5"/>
        <v>1.8937808670128669</v>
      </c>
    </row>
    <row r="52" spans="1:7" ht="15.75" x14ac:dyDescent="0.25">
      <c r="A52">
        <f t="shared" ca="1" si="3"/>
        <v>4.7546084399156125</v>
      </c>
      <c r="B52">
        <f t="shared" ca="1" si="4"/>
        <v>5.3308971045563237E-2</v>
      </c>
      <c r="G52">
        <f t="shared" ca="1" si="5"/>
        <v>1.5591143455857499</v>
      </c>
    </row>
    <row r="53" spans="1:7" ht="15.75" x14ac:dyDescent="0.25">
      <c r="A53">
        <f t="shared" ca="1" si="3"/>
        <v>4.2236565788095248</v>
      </c>
      <c r="B53">
        <f t="shared" ca="1" si="4"/>
        <v>5.0283417359633729E-2</v>
      </c>
      <c r="G53">
        <f t="shared" ca="1" si="5"/>
        <v>1.4407012407335746</v>
      </c>
    </row>
    <row r="54" spans="1:7" ht="15.75" x14ac:dyDescent="0.25">
      <c r="A54">
        <f t="shared" ca="1" si="3"/>
        <v>15.621415689296668</v>
      </c>
      <c r="B54">
        <f t="shared" ca="1" si="4"/>
        <v>9.2255542983376973E-2</v>
      </c>
      <c r="G54">
        <f t="shared" ca="1" si="5"/>
        <v>2.7486427734221914</v>
      </c>
    </row>
    <row r="55" spans="1:7" ht="15.75" x14ac:dyDescent="0.25">
      <c r="A55">
        <f t="shared" ca="1" si="3"/>
        <v>3.331146278921814</v>
      </c>
      <c r="B55">
        <f t="shared" ca="1" si="4"/>
        <v>4.463092890586802E-2</v>
      </c>
      <c r="G55">
        <f t="shared" ca="1" si="5"/>
        <v>1.2033164726639687</v>
      </c>
    </row>
    <row r="56" spans="1:7" ht="15.75" x14ac:dyDescent="0.25">
      <c r="A56">
        <f t="shared" ca="1" si="3"/>
        <v>17.285880696477001</v>
      </c>
      <c r="B56">
        <f t="shared" ca="1" si="4"/>
        <v>9.6355766226802433E-2</v>
      </c>
      <c r="G56">
        <f t="shared" ca="1" si="5"/>
        <v>2.8498900235640052</v>
      </c>
    </row>
    <row r="57" spans="1:7" ht="15.75" x14ac:dyDescent="0.25">
      <c r="A57">
        <f t="shared" ca="1" si="3"/>
        <v>7.3014505385006974</v>
      </c>
      <c r="B57">
        <f t="shared" ca="1" si="4"/>
        <v>6.5491748693130819E-2</v>
      </c>
      <c r="G57">
        <f t="shared" ca="1" si="5"/>
        <v>1.9880730323195446</v>
      </c>
    </row>
    <row r="58" spans="1:7" ht="15.75" x14ac:dyDescent="0.25">
      <c r="A58">
        <f t="shared" ca="1" si="3"/>
        <v>4.7572434118748612</v>
      </c>
      <c r="B58">
        <f t="shared" ca="1" si="4"/>
        <v>5.3323459057798395E-2</v>
      </c>
      <c r="G58">
        <f t="shared" ca="1" si="5"/>
        <v>1.5596683853390405</v>
      </c>
    </row>
    <row r="59" spans="1:7" ht="15.75" x14ac:dyDescent="0.25">
      <c r="A59">
        <f t="shared" ca="1" si="3"/>
        <v>5.4307110764122895</v>
      </c>
      <c r="B59">
        <f t="shared" ca="1" si="4"/>
        <v>5.687615140212559E-2</v>
      </c>
      <c r="G59">
        <f t="shared" ca="1" si="5"/>
        <v>1.6920700786709735</v>
      </c>
    </row>
    <row r="60" spans="1:7" ht="15.75" x14ac:dyDescent="0.25">
      <c r="A60">
        <f t="shared" ca="1" si="3"/>
        <v>6.4690750153478271</v>
      </c>
      <c r="B60">
        <f t="shared" ca="1" si="4"/>
        <v>6.1853735278415228E-2</v>
      </c>
      <c r="G60">
        <f t="shared" ca="1" si="5"/>
        <v>1.8670331331219638</v>
      </c>
    </row>
    <row r="61" spans="1:7" ht="15.75" x14ac:dyDescent="0.25">
      <c r="A61">
        <f t="shared" ca="1" si="3"/>
        <v>3.9202475302903528</v>
      </c>
      <c r="B61">
        <f t="shared" ca="1" si="4"/>
        <v>4.8449974706649086E-2</v>
      </c>
      <c r="G61">
        <f t="shared" ca="1" si="5"/>
        <v>1.366154797291012</v>
      </c>
    </row>
    <row r="62" spans="1:7" ht="15.75" x14ac:dyDescent="0.25">
      <c r="A62">
        <f t="shared" ca="1" si="3"/>
        <v>6.6586119540720601</v>
      </c>
      <c r="B62">
        <f t="shared" ca="1" si="4"/>
        <v>6.270703878221133E-2</v>
      </c>
      <c r="G62">
        <f t="shared" ca="1" si="5"/>
        <v>1.8959110475263146</v>
      </c>
    </row>
    <row r="63" spans="1:7" ht="15.75" x14ac:dyDescent="0.25">
      <c r="A63">
        <f t="shared" ca="1" si="3"/>
        <v>10.454736978454024</v>
      </c>
      <c r="B63">
        <f t="shared" ca="1" si="4"/>
        <v>7.7259973231082565E-2</v>
      </c>
      <c r="G63">
        <f t="shared" ca="1" si="5"/>
        <v>2.3470551750752873</v>
      </c>
    </row>
    <row r="64" spans="1:7" ht="15.75" x14ac:dyDescent="0.25">
      <c r="A64">
        <f t="shared" ca="1" si="3"/>
        <v>6.3296481648983738</v>
      </c>
      <c r="B64">
        <f t="shared" ca="1" si="4"/>
        <v>6.1215934859182287E-2</v>
      </c>
      <c r="G64">
        <f t="shared" ca="1" si="5"/>
        <v>1.8452446524467851</v>
      </c>
    </row>
    <row r="65" spans="1:7" ht="15.75" x14ac:dyDescent="0.25">
      <c r="A65">
        <f t="shared" ca="1" si="3"/>
        <v>4.8619974087313018</v>
      </c>
      <c r="B65">
        <f t="shared" ca="1" si="4"/>
        <v>5.3895503081525055E-2</v>
      </c>
      <c r="G65">
        <f t="shared" ca="1" si="5"/>
        <v>1.5814493429302565</v>
      </c>
    </row>
    <row r="66" spans="1:7" ht="15.75" x14ac:dyDescent="0.25">
      <c r="A66">
        <f t="shared" ref="A66:A101" ca="1" si="6">_xlfn.LOGNORM.INV(RAND(),2,0.5)</f>
        <v>14.066693831706614</v>
      </c>
      <c r="B66">
        <f t="shared" ref="B66:B97" ca="1" si="7">_xlfn.LOGNORM.DIST(A66,$E$1,$E$2,TRUE)</f>
        <v>8.814769834818037E-2</v>
      </c>
      <c r="G66">
        <f t="shared" ref="G66:G101" ca="1" si="8">LN(A66)</f>
        <v>2.643809863535969</v>
      </c>
    </row>
    <row r="67" spans="1:7" ht="15.75" x14ac:dyDescent="0.25">
      <c r="A67">
        <f t="shared" ca="1" si="6"/>
        <v>7.5331793047467972</v>
      </c>
      <c r="B67">
        <f t="shared" ca="1" si="7"/>
        <v>6.6457266641955337E-2</v>
      </c>
      <c r="G67">
        <f t="shared" ca="1" si="8"/>
        <v>2.0193171711285536</v>
      </c>
    </row>
    <row r="68" spans="1:7" ht="15.75" x14ac:dyDescent="0.25">
      <c r="A68">
        <f t="shared" ca="1" si="6"/>
        <v>8.9322388440350871</v>
      </c>
      <c r="B68">
        <f t="shared" ca="1" si="7"/>
        <v>7.1916468584044282E-2</v>
      </c>
      <c r="G68">
        <f t="shared" ca="1" si="8"/>
        <v>2.1896670738840656</v>
      </c>
    </row>
    <row r="69" spans="1:7" ht="15.75" x14ac:dyDescent="0.25">
      <c r="A69">
        <f t="shared" ca="1" si="6"/>
        <v>5.4133206804576464</v>
      </c>
      <c r="B69">
        <f t="shared" ca="1" si="7"/>
        <v>5.6787939029129673E-2</v>
      </c>
      <c r="G69">
        <f t="shared" ca="1" si="8"/>
        <v>1.6888627087088075</v>
      </c>
    </row>
    <row r="70" spans="1:7" ht="15.75" x14ac:dyDescent="0.25">
      <c r="A70">
        <f t="shared" ca="1" si="6"/>
        <v>4.402601697729839</v>
      </c>
      <c r="B70">
        <f t="shared" ca="1" si="7"/>
        <v>5.1327666717932728E-2</v>
      </c>
      <c r="G70">
        <f t="shared" ca="1" si="8"/>
        <v>1.4821956611168439</v>
      </c>
    </row>
    <row r="71" spans="1:7" ht="15.75" x14ac:dyDescent="0.25">
      <c r="A71">
        <f t="shared" ca="1" si="6"/>
        <v>7.7395099288540168</v>
      </c>
      <c r="B71">
        <f t="shared" ca="1" si="7"/>
        <v>6.7301140341640864E-2</v>
      </c>
      <c r="G71">
        <f t="shared" ca="1" si="8"/>
        <v>2.0463383689115222</v>
      </c>
    </row>
    <row r="72" spans="1:7" ht="15.75" x14ac:dyDescent="0.25">
      <c r="A72">
        <f t="shared" ca="1" si="6"/>
        <v>13.751938983301356</v>
      </c>
      <c r="B72">
        <f t="shared" ca="1" si="7"/>
        <v>8.7279121129131013E-2</v>
      </c>
      <c r="G72">
        <f t="shared" ca="1" si="8"/>
        <v>2.6211798311379937</v>
      </c>
    </row>
    <row r="73" spans="1:7" ht="15.75" x14ac:dyDescent="0.25">
      <c r="A73">
        <f t="shared" ca="1" si="6"/>
        <v>10.492398097046982</v>
      </c>
      <c r="B73">
        <f t="shared" ca="1" si="7"/>
        <v>7.7385487831599722E-2</v>
      </c>
      <c r="G73">
        <f t="shared" ca="1" si="8"/>
        <v>2.3506510041981739</v>
      </c>
    </row>
    <row r="74" spans="1:7" ht="15.75" x14ac:dyDescent="0.25">
      <c r="A74">
        <f t="shared" ca="1" si="6"/>
        <v>3.0606802470295191</v>
      </c>
      <c r="B74">
        <f t="shared" ca="1" si="7"/>
        <v>4.2742958067854261E-2</v>
      </c>
      <c r="G74">
        <f t="shared" ca="1" si="8"/>
        <v>1.1186371942094731</v>
      </c>
    </row>
    <row r="75" spans="1:7" ht="15.75" x14ac:dyDescent="0.25">
      <c r="A75">
        <f t="shared" ca="1" si="6"/>
        <v>11.257979387901766</v>
      </c>
      <c r="B75">
        <f t="shared" ca="1" si="7"/>
        <v>7.9875084538174546E-2</v>
      </c>
      <c r="G75">
        <f t="shared" ca="1" si="8"/>
        <v>2.4210771561556115</v>
      </c>
    </row>
    <row r="76" spans="1:7" ht="15.75" x14ac:dyDescent="0.25">
      <c r="A76">
        <f t="shared" ca="1" si="6"/>
        <v>7.0378921735182329</v>
      </c>
      <c r="B76">
        <f t="shared" ca="1" si="7"/>
        <v>6.4369615968423458E-2</v>
      </c>
      <c r="G76">
        <f t="shared" ca="1" si="8"/>
        <v>1.9513087181679698</v>
      </c>
    </row>
    <row r="77" spans="1:7" ht="15.75" x14ac:dyDescent="0.25">
      <c r="A77">
        <f t="shared" ca="1" si="6"/>
        <v>9.4946853260885788</v>
      </c>
      <c r="B77">
        <f t="shared" ca="1" si="7"/>
        <v>7.3955032521751729E-2</v>
      </c>
      <c r="G77">
        <f t="shared" ca="1" si="8"/>
        <v>2.2507322027028125</v>
      </c>
    </row>
    <row r="78" spans="1:7" ht="15.75" x14ac:dyDescent="0.25">
      <c r="A78">
        <f t="shared" ca="1" si="6"/>
        <v>12.214378203713986</v>
      </c>
      <c r="B78">
        <f t="shared" ca="1" si="7"/>
        <v>8.2832560638932781E-2</v>
      </c>
      <c r="G78">
        <f t="shared" ca="1" si="8"/>
        <v>2.5026137990926256</v>
      </c>
    </row>
    <row r="79" spans="1:7" ht="15.75" x14ac:dyDescent="0.25">
      <c r="A79">
        <f t="shared" ca="1" si="6"/>
        <v>15.936565299360197</v>
      </c>
      <c r="B79">
        <f t="shared" ca="1" si="7"/>
        <v>9.3054010824006383E-2</v>
      </c>
      <c r="G79">
        <f t="shared" ca="1" si="8"/>
        <v>2.7686161733155088</v>
      </c>
    </row>
    <row r="80" spans="1:7" ht="15.75" x14ac:dyDescent="0.25">
      <c r="A80">
        <f t="shared" ca="1" si="6"/>
        <v>5.7233861407163236</v>
      </c>
      <c r="B80">
        <f t="shared" ca="1" si="7"/>
        <v>5.8335186005950869E-2</v>
      </c>
      <c r="G80">
        <f t="shared" ca="1" si="8"/>
        <v>1.7445606128818172</v>
      </c>
    </row>
    <row r="81" spans="1:7" ht="15.75" x14ac:dyDescent="0.25">
      <c r="A81">
        <f t="shared" ca="1" si="6"/>
        <v>6.6652744068835981</v>
      </c>
      <c r="B81">
        <f t="shared" ca="1" si="7"/>
        <v>6.273675323814433E-2</v>
      </c>
      <c r="G81">
        <f t="shared" ca="1" si="8"/>
        <v>1.8969111241085272</v>
      </c>
    </row>
    <row r="82" spans="1:7" ht="15.75" x14ac:dyDescent="0.25">
      <c r="A82">
        <f t="shared" ca="1" si="6"/>
        <v>14.216134415904929</v>
      </c>
      <c r="B82">
        <f t="shared" ca="1" si="7"/>
        <v>8.8555503312297196E-2</v>
      </c>
      <c r="G82">
        <f t="shared" ca="1" si="8"/>
        <v>2.6543775460626389</v>
      </c>
    </row>
    <row r="83" spans="1:7" ht="15.75" x14ac:dyDescent="0.25">
      <c r="A83">
        <f t="shared" ca="1" si="6"/>
        <v>5.1541188587493183</v>
      </c>
      <c r="B83">
        <f t="shared" ca="1" si="7"/>
        <v>5.5451851893034351E-2</v>
      </c>
      <c r="G83">
        <f t="shared" ca="1" si="8"/>
        <v>1.6397961734212505</v>
      </c>
    </row>
    <row r="84" spans="1:7" ht="15.75" x14ac:dyDescent="0.25">
      <c r="A84">
        <f t="shared" ca="1" si="6"/>
        <v>7.758332426038729</v>
      </c>
      <c r="B84">
        <f t="shared" ca="1" si="7"/>
        <v>6.7377403651740789E-2</v>
      </c>
      <c r="G84">
        <f t="shared" ca="1" si="8"/>
        <v>2.0487674175504895</v>
      </c>
    </row>
    <row r="85" spans="1:7" ht="15.75" x14ac:dyDescent="0.25">
      <c r="A85">
        <f t="shared" ca="1" si="6"/>
        <v>4.734403636190434</v>
      </c>
      <c r="B85">
        <f t="shared" ca="1" si="7"/>
        <v>5.3197714423226093E-2</v>
      </c>
      <c r="G85">
        <f t="shared" ca="1" si="8"/>
        <v>1.5548557706996813</v>
      </c>
    </row>
    <row r="86" spans="1:7" ht="15.75" x14ac:dyDescent="0.25">
      <c r="A86">
        <f t="shared" ca="1" si="6"/>
        <v>7.4415567491762991</v>
      </c>
      <c r="B86">
        <f t="shared" ca="1" si="7"/>
        <v>6.607780646440517E-2</v>
      </c>
      <c r="G86">
        <f t="shared" ca="1" si="8"/>
        <v>2.0070800674379496</v>
      </c>
    </row>
    <row r="87" spans="1:7" ht="15.75" x14ac:dyDescent="0.25">
      <c r="A87">
        <f t="shared" ca="1" si="6"/>
        <v>9.1015058590777915</v>
      </c>
      <c r="B87">
        <f t="shared" ca="1" si="7"/>
        <v>7.2538529396391396E-2</v>
      </c>
      <c r="G87">
        <f t="shared" ca="1" si="8"/>
        <v>2.2084398788521993</v>
      </c>
    </row>
    <row r="88" spans="1:7" ht="15.75" x14ac:dyDescent="0.25">
      <c r="A88">
        <f t="shared" ca="1" si="6"/>
        <v>7.733231815686624</v>
      </c>
      <c r="B88">
        <f t="shared" ca="1" si="7"/>
        <v>6.7275676866481463E-2</v>
      </c>
      <c r="G88">
        <f t="shared" ca="1" si="8"/>
        <v>2.045526862636089</v>
      </c>
    </row>
    <row r="89" spans="1:7" ht="15.75" x14ac:dyDescent="0.25">
      <c r="A89">
        <f t="shared" ca="1" si="6"/>
        <v>3.3768298117408881</v>
      </c>
      <c r="B89">
        <f t="shared" ca="1" si="7"/>
        <v>4.4940792107385004E-2</v>
      </c>
      <c r="G89">
        <f t="shared" ca="1" si="8"/>
        <v>1.2169373438471132</v>
      </c>
    </row>
    <row r="90" spans="1:7" ht="15.75" x14ac:dyDescent="0.25">
      <c r="A90">
        <f t="shared" ca="1" si="6"/>
        <v>3.9862253045202594</v>
      </c>
      <c r="B90">
        <f t="shared" ca="1" si="7"/>
        <v>4.8855742539077582E-2</v>
      </c>
      <c r="G90">
        <f t="shared" ca="1" si="8"/>
        <v>1.3828447441571226</v>
      </c>
    </row>
    <row r="91" spans="1:7" ht="15.75" x14ac:dyDescent="0.25">
      <c r="A91">
        <f t="shared" ca="1" si="6"/>
        <v>12.944130830967307</v>
      </c>
      <c r="B91">
        <f t="shared" ca="1" si="7"/>
        <v>8.4987027921789443E-2</v>
      </c>
      <c r="G91">
        <f t="shared" ca="1" si="8"/>
        <v>2.5606424677254473</v>
      </c>
    </row>
    <row r="92" spans="1:7" ht="15.75" x14ac:dyDescent="0.25">
      <c r="A92">
        <f t="shared" ca="1" si="6"/>
        <v>11.104620497017958</v>
      </c>
      <c r="B92">
        <f t="shared" ca="1" si="7"/>
        <v>7.9385531527438019E-2</v>
      </c>
      <c r="G92">
        <f t="shared" ca="1" si="8"/>
        <v>2.4073612826983251</v>
      </c>
    </row>
    <row r="93" spans="1:7" ht="15.75" x14ac:dyDescent="0.25">
      <c r="A93">
        <f t="shared" ca="1" si="6"/>
        <v>8.262475036051498</v>
      </c>
      <c r="B93">
        <f t="shared" ca="1" si="7"/>
        <v>6.9377406331556091E-2</v>
      </c>
      <c r="G93">
        <f t="shared" ca="1" si="8"/>
        <v>2.1117241838178997</v>
      </c>
    </row>
    <row r="94" spans="1:7" ht="15.75" x14ac:dyDescent="0.25">
      <c r="A94">
        <f t="shared" ca="1" si="6"/>
        <v>6.243247545813813</v>
      </c>
      <c r="B94">
        <f t="shared" ca="1" si="7"/>
        <v>6.0816261415747086E-2</v>
      </c>
      <c r="G94">
        <f t="shared" ca="1" si="8"/>
        <v>1.8315004870336566</v>
      </c>
    </row>
    <row r="95" spans="1:7" ht="15.75" x14ac:dyDescent="0.25">
      <c r="A95">
        <f t="shared" ca="1" si="6"/>
        <v>13.074790974763154</v>
      </c>
      <c r="B95">
        <f t="shared" ca="1" si="7"/>
        <v>8.5364147537912646E-2</v>
      </c>
      <c r="G95">
        <f t="shared" ca="1" si="8"/>
        <v>2.5706860231894058</v>
      </c>
    </row>
    <row r="96" spans="1:7" ht="15.75" x14ac:dyDescent="0.25">
      <c r="A96">
        <f t="shared" ca="1" si="6"/>
        <v>5.9771377683512394</v>
      </c>
      <c r="B96">
        <f t="shared" ca="1" si="7"/>
        <v>5.9563068173810664E-2</v>
      </c>
      <c r="G96">
        <f t="shared" ca="1" si="8"/>
        <v>1.787941819325721</v>
      </c>
    </row>
    <row r="97" spans="1:7" ht="15.75" x14ac:dyDescent="0.25">
      <c r="A97">
        <f t="shared" ca="1" si="6"/>
        <v>7.3402678561527503</v>
      </c>
      <c r="B97">
        <f t="shared" ca="1" si="7"/>
        <v>6.5654831554372295E-2</v>
      </c>
      <c r="G97">
        <f t="shared" ca="1" si="8"/>
        <v>1.9933753346244456</v>
      </c>
    </row>
    <row r="98" spans="1:7" ht="15.75" x14ac:dyDescent="0.25">
      <c r="A98">
        <f t="shared" ca="1" si="6"/>
        <v>4.5606144743859955</v>
      </c>
      <c r="B98">
        <f t="shared" ref="B98:B101" ca="1" si="9">_xlfn.LOGNORM.DIST(A98,$E$1,$E$2,TRUE)</f>
        <v>5.2228558102470533E-2</v>
      </c>
      <c r="G98">
        <f t="shared" ca="1" si="8"/>
        <v>1.5174573676027274</v>
      </c>
    </row>
    <row r="99" spans="1:7" ht="15.75" x14ac:dyDescent="0.25">
      <c r="A99">
        <f t="shared" ca="1" si="6"/>
        <v>8.4379087867247158</v>
      </c>
      <c r="B99">
        <f t="shared" ca="1" si="9"/>
        <v>7.0054939941171429E-2</v>
      </c>
      <c r="G99">
        <f t="shared" ca="1" si="8"/>
        <v>2.1327345038220464</v>
      </c>
    </row>
    <row r="100" spans="1:7" ht="15.75" x14ac:dyDescent="0.25">
      <c r="A100">
        <f t="shared" ca="1" si="6"/>
        <v>11.88576548641916</v>
      </c>
      <c r="B100">
        <f t="shared" ca="1" si="9"/>
        <v>8.1834312996373518E-2</v>
      </c>
      <c r="G100">
        <f t="shared" ca="1" si="8"/>
        <v>2.4753415065141833</v>
      </c>
    </row>
    <row r="101" spans="1:7" ht="15.75" x14ac:dyDescent="0.25">
      <c r="A101">
        <f t="shared" ca="1" si="6"/>
        <v>2.1664752661273359</v>
      </c>
      <c r="B101">
        <f t="shared" ca="1" si="9"/>
        <v>3.5697646555444947E-2</v>
      </c>
      <c r="G101">
        <f t="shared" ca="1" si="8"/>
        <v>0.7731015456209277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LogNormal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Gerard Verschuuren</dc:creator>
  <cp:lastModifiedBy>Gerry</cp:lastModifiedBy>
  <dcterms:created xsi:type="dcterms:W3CDTF">2007-03-13T17:12:05Z</dcterms:created>
  <dcterms:modified xsi:type="dcterms:W3CDTF">2016-11-04T18:49:45Z</dcterms:modified>
</cp:coreProperties>
</file>