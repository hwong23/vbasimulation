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/>
  </bookViews>
  <sheets>
    <sheet name="Repeats" sheetId="23" r:id="rId1"/>
    <sheet name="Repeats (2)" sheetId="24" r:id="rId2"/>
    <sheet name="Repeats (3)" sheetId="25" r:id="rId3"/>
    <sheet name="Repeats (4)" sheetId="26" r:id="rId4"/>
  </sheets>
  <calcPr calcId="152511" iterate="1" iterateCount="1" calcOnSave="0"/>
</workbook>
</file>

<file path=xl/calcChain.xml><?xml version="1.0" encoding="utf-8"?>
<calcChain xmlns="http://schemas.openxmlformats.org/spreadsheetml/2006/main">
  <c r="A101" i="26" l="1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E2" i="26" l="1"/>
  <c r="E25" i="26" s="1"/>
  <c r="F2" i="26"/>
  <c r="F24" i="26" s="1"/>
  <c r="E2" i="25"/>
  <c r="E25" i="25" s="1"/>
  <c r="F2" i="25"/>
  <c r="F24" i="25" s="1"/>
  <c r="F2" i="24"/>
  <c r="F24" i="24" s="1"/>
  <c r="E2" i="24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2" i="23"/>
  <c r="E24" i="26" l="1"/>
  <c r="S16" i="26" s="1"/>
  <c r="S12" i="26"/>
  <c r="S14" i="26"/>
  <c r="S19" i="26"/>
  <c r="S15" i="26"/>
  <c r="E24" i="25"/>
  <c r="S16" i="25" s="1"/>
  <c r="E25" i="24"/>
  <c r="E24" i="24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2" i="23"/>
  <c r="S13" i="26" l="1"/>
  <c r="S18" i="26"/>
  <c r="S17" i="26"/>
  <c r="T12" i="26" a="1"/>
  <c r="S18" i="25"/>
  <c r="S13" i="25"/>
  <c r="S15" i="25"/>
  <c r="S17" i="25"/>
  <c r="S14" i="25"/>
  <c r="S19" i="25"/>
  <c r="S12" i="25"/>
  <c r="S18" i="24"/>
  <c r="S14" i="24"/>
  <c r="S19" i="24"/>
  <c r="S15" i="24"/>
  <c r="S16" i="24"/>
  <c r="S17" i="24"/>
  <c r="S13" i="24"/>
  <c r="S12" i="24"/>
  <c r="F2" i="23"/>
  <c r="E2" i="23"/>
  <c r="T19" i="26" l="1"/>
  <c r="T15" i="26"/>
  <c r="T18" i="26"/>
  <c r="T14" i="26"/>
  <c r="T17" i="26"/>
  <c r="T13" i="26"/>
  <c r="T16" i="26"/>
  <c r="T12" i="26"/>
  <c r="T12" i="25" a="1"/>
  <c r="T19" i="25" s="1"/>
  <c r="T12" i="24" a="1"/>
  <c r="F24" i="23"/>
  <c r="E24" i="23"/>
  <c r="E25" i="23"/>
  <c r="T13" i="25" l="1"/>
  <c r="T16" i="25"/>
  <c r="T17" i="25"/>
  <c r="T15" i="25"/>
  <c r="T12" i="25"/>
  <c r="T18" i="25"/>
  <c r="T14" i="25"/>
  <c r="T17" i="24"/>
  <c r="T13" i="24"/>
  <c r="T16" i="24"/>
  <c r="T12" i="24"/>
  <c r="T19" i="24"/>
  <c r="T15" i="24"/>
  <c r="T18" i="24"/>
  <c r="T14" i="24"/>
  <c r="S14" i="23"/>
  <c r="S18" i="23"/>
  <c r="S15" i="23"/>
  <c r="S19" i="23"/>
  <c r="S12" i="23"/>
  <c r="S16" i="23"/>
  <c r="S13" i="23"/>
  <c r="S17" i="23"/>
  <c r="T12" i="23" l="1" a="1"/>
  <c r="T15" i="23" l="1"/>
  <c r="T19" i="23"/>
  <c r="T12" i="23"/>
  <c r="T16" i="23"/>
  <c r="T13" i="23"/>
  <c r="T17" i="23"/>
  <c r="T14" i="23"/>
  <c r="T18" i="23"/>
</calcChain>
</file>

<file path=xl/comments1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12"/>
            <color indexed="81"/>
            <rFont val="Tahoma"/>
            <family val="2"/>
          </rPr>
          <t>A mean of 100 and SD of 5.</t>
        </r>
        <r>
          <rPr>
            <sz val="12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12"/>
            <color indexed="81"/>
            <rFont val="Tahoma"/>
            <family val="2"/>
          </rPr>
          <t>A mean of 50 and SD of 10.</t>
        </r>
      </text>
    </comment>
  </commentList>
</comments>
</file>

<file path=xl/comments3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12"/>
            <color indexed="81"/>
            <rFont val="Tahoma"/>
            <family val="2"/>
          </rPr>
          <t>A mean of 50 and SD of 10.</t>
        </r>
      </text>
    </comment>
  </commentList>
</comments>
</file>

<file path=xl/comments4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12"/>
            <color indexed="81"/>
            <rFont val="Tahoma"/>
            <family val="2"/>
          </rPr>
          <t>A mean of 50 and SD of 10.</t>
        </r>
      </text>
    </comment>
  </commentList>
</comments>
</file>

<file path=xl/sharedStrings.xml><?xml version="1.0" encoding="utf-8"?>
<sst xmlns="http://schemas.openxmlformats.org/spreadsheetml/2006/main" count="16" uniqueCount="4">
  <si>
    <t>SD</t>
  </si>
  <si>
    <t>mean</t>
  </si>
  <si>
    <t>Trial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</si>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</sst>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9">
    <xf numFmtId="0" fontId="0" fillId="0" borderId="0" xfId="0"/>
    <xf numFmtId="0" fontId="0" fillId="0" borderId="0" xfId="0" applyProtection="1"/>
    <xf numFmtId="2" fontId="0" fillId="0" borderId="0" xfId="0" applyNumberFormat="1" applyProtection="1"/>
    <xf numFmtId="2" fontId="0" fillId="0" borderId="12" xfId="0" applyNumberFormat="1" applyBorder="1" applyProtection="1"/>
    <xf numFmtId="2" fontId="0" fillId="0" borderId="11" xfId="0" applyNumberFormat="1" applyBorder="1" applyProtection="1"/>
    <xf numFmtId="2" fontId="0" fillId="0" borderId="8" xfId="0" applyNumberFormat="1" applyBorder="1" applyProtection="1"/>
    <xf numFmtId="2" fontId="0" fillId="0" borderId="7" xfId="0" applyNumberFormat="1" applyBorder="1" applyProtection="1"/>
    <xf numFmtId="2" fontId="0" fillId="0" borderId="10" xfId="0" applyNumberFormat="1" applyBorder="1" applyProtection="1"/>
    <xf numFmtId="2" fontId="0" fillId="0" borderId="6" xfId="0" applyNumberFormat="1" applyBorder="1" applyProtection="1"/>
    <xf numFmtId="2" fontId="0" fillId="0" borderId="9" xfId="0" applyNumberFormat="1" applyBorder="1" applyProtection="1"/>
    <xf numFmtId="2" fontId="0" fillId="0" borderId="5" xfId="0" applyNumberFormat="1" applyBorder="1" applyProtection="1"/>
    <xf numFmtId="0" fontId="18" fillId="0" borderId="0" xfId="0" applyFont="1" applyAlignment="1" applyProtection="1">
      <alignment horizontal="center"/>
    </xf>
    <xf numFmtId="0" fontId="0" fillId="0" borderId="8" xfId="0" applyBorder="1" applyProtection="1"/>
    <xf numFmtId="0" fontId="0" fillId="0" borderId="7" xfId="0" applyBorder="1" applyProtection="1"/>
    <xf numFmtId="0" fontId="0" fillId="0" borderId="6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center"/>
    </xf>
    <xf numFmtId="9" fontId="0" fillId="0" borderId="0" xfId="0" applyNumberFormat="1" applyProtection="1"/>
    <xf numFmtId="0" fontId="0" fillId="0" borderId="0" xfId="0" applyBorder="1" applyProtection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Repeats!$E$1</c:f>
              <c:strCache>
                <c:ptCount val="1"/>
                <c:pt idx="0">
                  <c:v>mean</c:v>
                </c:pt>
              </c:strCache>
            </c:strRef>
          </c:tx>
          <c:yVal>
            <c:numRef>
              <c:f>Repeats!$E$2:$E$22</c:f>
              <c:numCache>
                <c:formatCode>0.00</c:formatCode>
                <c:ptCount val="21"/>
                <c:pt idx="0">
                  <c:v>99.959563823038408</c:v>
                </c:pt>
                <c:pt idx="1">
                  <c:v>99.981706046371158</c:v>
                </c:pt>
                <c:pt idx="2">
                  <c:v>99.750048585262718</c:v>
                </c:pt>
                <c:pt idx="3">
                  <c:v>100.63400825735476</c:v>
                </c:pt>
                <c:pt idx="4">
                  <c:v>100.3454553221045</c:v>
                </c:pt>
                <c:pt idx="5">
                  <c:v>99.950272800069399</c:v>
                </c:pt>
                <c:pt idx="6">
                  <c:v>98.959607681890574</c:v>
                </c:pt>
                <c:pt idx="7">
                  <c:v>100.48838658357558</c:v>
                </c:pt>
                <c:pt idx="8">
                  <c:v>100.15982576159304</c:v>
                </c:pt>
                <c:pt idx="9">
                  <c:v>100.63763111874518</c:v>
                </c:pt>
                <c:pt idx="10">
                  <c:v>100.43805291795408</c:v>
                </c:pt>
                <c:pt idx="11">
                  <c:v>99.863262181947945</c:v>
                </c:pt>
                <c:pt idx="12">
                  <c:v>99.857498694782223</c:v>
                </c:pt>
                <c:pt idx="13">
                  <c:v>100.63039397135697</c:v>
                </c:pt>
                <c:pt idx="14">
                  <c:v>100.19653771800689</c:v>
                </c:pt>
                <c:pt idx="15">
                  <c:v>100.53707829021097</c:v>
                </c:pt>
                <c:pt idx="16">
                  <c:v>100.63387179224185</c:v>
                </c:pt>
                <c:pt idx="17">
                  <c:v>100.75465682104979</c:v>
                </c:pt>
                <c:pt idx="18">
                  <c:v>100.30905872354433</c:v>
                </c:pt>
                <c:pt idx="19">
                  <c:v>100.105549126177</c:v>
                </c:pt>
                <c:pt idx="20">
                  <c:v>99.606692302282795</c:v>
                </c:pt>
              </c:numCache>
            </c:numRef>
          </c:yVal>
          <c:smooth val="0"/>
        </c:ser>
        <c:ser>
          <c:idx val="1"/>
          <c:order val="1"/>
          <c:tx>
            <c:v>mean of means</c:v>
          </c:tx>
          <c:xVal>
            <c:numRef>
              <c:f>Repeats!$D$24:$D$25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Repeats!$E$24:$E$25</c:f>
              <c:numCache>
                <c:formatCode>0.00</c:formatCode>
                <c:ptCount val="2"/>
                <c:pt idx="0">
                  <c:v>100.18091231045524</c:v>
                </c:pt>
                <c:pt idx="1">
                  <c:v>100.18091231045524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66912"/>
        <c:axId val="292872208"/>
      </c:scatterChart>
      <c:valAx>
        <c:axId val="289666912"/>
        <c:scaling>
          <c:orientation val="minMax"/>
          <c:max val="20"/>
        </c:scaling>
        <c:delete val="0"/>
        <c:axPos val="b"/>
        <c:majorGridlines/>
        <c:majorTickMark val="out"/>
        <c:minorTickMark val="none"/>
        <c:tickLblPos val="nextTo"/>
        <c:crossAx val="292872208"/>
        <c:crosses val="autoZero"/>
        <c:crossBetween val="midCat"/>
      </c:valAx>
      <c:valAx>
        <c:axId val="2928722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896669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Repeats!$S$12:$S$19</c:f>
              <c:numCache>
                <c:formatCode>General</c:formatCode>
                <c:ptCount val="8"/>
                <c:pt idx="0">
                  <c:v>94.947128168642934</c:v>
                </c:pt>
                <c:pt idx="1">
                  <c:v>96.774872140217795</c:v>
                </c:pt>
                <c:pt idx="2">
                  <c:v>98.235119973926373</c:v>
                </c:pt>
                <c:pt idx="3">
                  <c:v>99.546347300223289</c:v>
                </c:pt>
                <c:pt idx="4">
                  <c:v>100.81547732068719</c:v>
                </c:pt>
                <c:pt idx="5">
                  <c:v>102.12670464698411</c:v>
                </c:pt>
                <c:pt idx="6">
                  <c:v>103.58695248069269</c:v>
                </c:pt>
                <c:pt idx="7">
                  <c:v>105.41469645226755</c:v>
                </c:pt>
              </c:numCache>
            </c:numRef>
          </c:xVal>
          <c:yVal>
            <c:numRef>
              <c:f>Repeats!$T$12:$T$19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74448"/>
        <c:axId val="292875008"/>
      </c:scatterChart>
      <c:valAx>
        <c:axId val="2928744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92875008"/>
        <c:crosses val="autoZero"/>
        <c:crossBetween val="midCat"/>
      </c:valAx>
      <c:valAx>
        <c:axId val="29287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287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'Repeats (2)'!$E$1</c:f>
              <c:strCache>
                <c:ptCount val="1"/>
                <c:pt idx="0">
                  <c:v>mean</c:v>
                </c:pt>
              </c:strCache>
            </c:strRef>
          </c:tx>
          <c:yVal>
            <c:numRef>
              <c:f>'Repeats (2)'!$E$2:$E$22</c:f>
              <c:numCache>
                <c:formatCode>0.00</c:formatCode>
                <c:ptCount val="21"/>
                <c:pt idx="0">
                  <c:v>49.196539670164924</c:v>
                </c:pt>
                <c:pt idx="1">
                  <c:v>50.885531919830775</c:v>
                </c:pt>
                <c:pt idx="2">
                  <c:v>50.759755327930257</c:v>
                </c:pt>
                <c:pt idx="3">
                  <c:v>50.147771376547865</c:v>
                </c:pt>
                <c:pt idx="4">
                  <c:v>49.438271259286395</c:v>
                </c:pt>
                <c:pt idx="5">
                  <c:v>49.517428727322191</c:v>
                </c:pt>
                <c:pt idx="6">
                  <c:v>49.702091370073667</c:v>
                </c:pt>
                <c:pt idx="7">
                  <c:v>50.288567317797352</c:v>
                </c:pt>
                <c:pt idx="8">
                  <c:v>49.420270152663633</c:v>
                </c:pt>
                <c:pt idx="9">
                  <c:v>50.479357238836599</c:v>
                </c:pt>
                <c:pt idx="10">
                  <c:v>48.980001079607845</c:v>
                </c:pt>
                <c:pt idx="11">
                  <c:v>51.497101490759341</c:v>
                </c:pt>
                <c:pt idx="12">
                  <c:v>50.370718884510467</c:v>
                </c:pt>
                <c:pt idx="13">
                  <c:v>49.919145525824639</c:v>
                </c:pt>
                <c:pt idx="14">
                  <c:v>51.793575798874969</c:v>
                </c:pt>
                <c:pt idx="15">
                  <c:v>48.565727469577382</c:v>
                </c:pt>
                <c:pt idx="16">
                  <c:v>50.526442392236895</c:v>
                </c:pt>
                <c:pt idx="17">
                  <c:v>48.4003596011704</c:v>
                </c:pt>
                <c:pt idx="18">
                  <c:v>51.49603042604717</c:v>
                </c:pt>
                <c:pt idx="19">
                  <c:v>52.116587413701311</c:v>
                </c:pt>
                <c:pt idx="20">
                  <c:v>48.502351091881089</c:v>
                </c:pt>
              </c:numCache>
            </c:numRef>
          </c:yVal>
          <c:smooth val="0"/>
        </c:ser>
        <c:ser>
          <c:idx val="1"/>
          <c:order val="1"/>
          <c:tx>
            <c:v>mean of means</c:v>
          </c:tx>
          <c:xVal>
            <c:numRef>
              <c:f>'Repeats (2)'!$D$24:$D$25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'Repeats (2)'!$E$24:$E$25</c:f>
              <c:numCache>
                <c:formatCode>0.00</c:formatCode>
                <c:ptCount val="2"/>
                <c:pt idx="0">
                  <c:v>50.095410739744999</c:v>
                </c:pt>
                <c:pt idx="1">
                  <c:v>50.095410739744999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72512"/>
        <c:axId val="303373072"/>
      </c:scatterChart>
      <c:valAx>
        <c:axId val="303372512"/>
        <c:scaling>
          <c:orientation val="minMax"/>
          <c:max val="20"/>
        </c:scaling>
        <c:delete val="0"/>
        <c:axPos val="b"/>
        <c:majorGridlines/>
        <c:majorTickMark val="out"/>
        <c:minorTickMark val="none"/>
        <c:tickLblPos val="nextTo"/>
        <c:crossAx val="303373072"/>
        <c:crosses val="autoZero"/>
        <c:crossBetween val="midCat"/>
      </c:valAx>
      <c:valAx>
        <c:axId val="3033730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33725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'Repeats (2)'!$S$12:$S$19</c:f>
              <c:numCache>
                <c:formatCode>General</c:formatCode>
                <c:ptCount val="8"/>
                <c:pt idx="0">
                  <c:v>39.830790116141962</c:v>
                </c:pt>
                <c:pt idx="1">
                  <c:v>43.415404604808487</c:v>
                </c:pt>
                <c:pt idx="2">
                  <c:v>46.279277019742764</c:v>
                </c:pt>
                <c:pt idx="3">
                  <c:v>48.850886908697525</c:v>
                </c:pt>
                <c:pt idx="4">
                  <c:v>51.339934570792472</c:v>
                </c:pt>
                <c:pt idx="5">
                  <c:v>53.911544459747233</c:v>
                </c:pt>
                <c:pt idx="6">
                  <c:v>56.775416874681511</c:v>
                </c:pt>
                <c:pt idx="7">
                  <c:v>60.360031363348035</c:v>
                </c:pt>
              </c:numCache>
            </c:numRef>
          </c:xVal>
          <c:yVal>
            <c:numRef>
              <c:f>'Repeats (2)'!$T$12:$T$19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46000"/>
        <c:axId val="143946560"/>
      </c:scatterChart>
      <c:valAx>
        <c:axId val="143946000"/>
        <c:scaling>
          <c:orientation val="minMax"/>
          <c:max val="60.2"/>
          <c:min val="39.799999999999997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3946560"/>
        <c:crosses val="autoZero"/>
        <c:crossBetween val="midCat"/>
      </c:valAx>
      <c:valAx>
        <c:axId val="14394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94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'Repeats (3)'!$E$1</c:f>
              <c:strCache>
                <c:ptCount val="1"/>
                <c:pt idx="0">
                  <c:v>mean</c:v>
                </c:pt>
              </c:strCache>
            </c:strRef>
          </c:tx>
          <c:yVal>
            <c:numRef>
              <c:f>'Repeats (3)'!$E$2:$E$22</c:f>
              <c:numCache>
                <c:formatCode>0.00</c:formatCode>
                <c:ptCount val="21"/>
                <c:pt idx="0">
                  <c:v>51.010834799064931</c:v>
                </c:pt>
                <c:pt idx="1">
                  <c:v>51.010834799064931</c:v>
                </c:pt>
                <c:pt idx="2">
                  <c:v>51.010834799064931</c:v>
                </c:pt>
                <c:pt idx="3">
                  <c:v>51.010834799064931</c:v>
                </c:pt>
                <c:pt idx="4">
                  <c:v>51.010834799064931</c:v>
                </c:pt>
                <c:pt idx="5">
                  <c:v>51.010834799064931</c:v>
                </c:pt>
                <c:pt idx="6">
                  <c:v>51.010834799064931</c:v>
                </c:pt>
                <c:pt idx="7">
                  <c:v>51.010834799064931</c:v>
                </c:pt>
                <c:pt idx="8">
                  <c:v>51.010834799064931</c:v>
                </c:pt>
                <c:pt idx="9">
                  <c:v>51.010834799064931</c:v>
                </c:pt>
                <c:pt idx="10">
                  <c:v>51.010834799064931</c:v>
                </c:pt>
                <c:pt idx="11">
                  <c:v>51.010834799064931</c:v>
                </c:pt>
                <c:pt idx="12">
                  <c:v>51.010834799064931</c:v>
                </c:pt>
                <c:pt idx="13">
                  <c:v>51.010834799064931</c:v>
                </c:pt>
                <c:pt idx="14">
                  <c:v>51.010834799064931</c:v>
                </c:pt>
                <c:pt idx="15">
                  <c:v>51.010834799064931</c:v>
                </c:pt>
                <c:pt idx="16">
                  <c:v>51.010834799064931</c:v>
                </c:pt>
                <c:pt idx="17">
                  <c:v>51.010834799064931</c:v>
                </c:pt>
                <c:pt idx="18">
                  <c:v>51.010834799064931</c:v>
                </c:pt>
                <c:pt idx="19">
                  <c:v>51.010834799064931</c:v>
                </c:pt>
                <c:pt idx="20">
                  <c:v>51.010834799064931</c:v>
                </c:pt>
              </c:numCache>
            </c:numRef>
          </c:yVal>
          <c:smooth val="0"/>
        </c:ser>
        <c:ser>
          <c:idx val="1"/>
          <c:order val="1"/>
          <c:tx>
            <c:v>mean of means</c:v>
          </c:tx>
          <c:xVal>
            <c:numRef>
              <c:f>'Repeats (3)'!$D$24:$D$25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'Repeats (3)'!$E$24:$E$25</c:f>
              <c:numCache>
                <c:formatCode>0.00</c:formatCode>
                <c:ptCount val="2"/>
                <c:pt idx="0">
                  <c:v>51.010834799064938</c:v>
                </c:pt>
                <c:pt idx="1">
                  <c:v>51.010834799064938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69152"/>
        <c:axId val="292878368"/>
      </c:scatterChart>
      <c:valAx>
        <c:axId val="303369152"/>
        <c:scaling>
          <c:orientation val="minMax"/>
          <c:max val="20"/>
        </c:scaling>
        <c:delete val="0"/>
        <c:axPos val="b"/>
        <c:majorGridlines/>
        <c:majorTickMark val="out"/>
        <c:minorTickMark val="none"/>
        <c:tickLblPos val="nextTo"/>
        <c:crossAx val="292878368"/>
        <c:crosses val="autoZero"/>
        <c:crossBetween val="midCat"/>
      </c:valAx>
      <c:valAx>
        <c:axId val="2928783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33691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'Repeats (3)'!$S$12:$S$19</c:f>
              <c:numCache>
                <c:formatCode>General</c:formatCode>
                <c:ptCount val="8"/>
                <c:pt idx="0">
                  <c:v>40.799272664377398</c:v>
                </c:pt>
                <c:pt idx="1">
                  <c:v>44.365358048551165</c:v>
                </c:pt>
                <c:pt idx="2">
                  <c:v>47.214426921459371</c:v>
                </c:pt>
                <c:pt idx="3">
                  <c:v>49.772743992316762</c:v>
                </c:pt>
                <c:pt idx="4">
                  <c:v>52.248925605813113</c:v>
                </c:pt>
                <c:pt idx="5">
                  <c:v>54.807242676670505</c:v>
                </c:pt>
                <c:pt idx="6">
                  <c:v>57.65631154957871</c:v>
                </c:pt>
                <c:pt idx="7">
                  <c:v>61.222396933752478</c:v>
                </c:pt>
              </c:numCache>
            </c:numRef>
          </c:xVal>
          <c:yVal>
            <c:numRef>
              <c:f>'Repeats (3)'!$T$12:$T$19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54672"/>
        <c:axId val="292955232"/>
      </c:scatterChart>
      <c:valAx>
        <c:axId val="292954672"/>
        <c:scaling>
          <c:orientation val="minMax"/>
          <c:max val="61.2"/>
          <c:min val="40.799999999999997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92955232"/>
        <c:crosses val="autoZero"/>
        <c:crossBetween val="midCat"/>
      </c:valAx>
      <c:valAx>
        <c:axId val="29295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295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'Repeats (4)'!$E$1</c:f>
              <c:strCache>
                <c:ptCount val="1"/>
                <c:pt idx="0">
                  <c:v>mean</c:v>
                </c:pt>
              </c:strCache>
            </c:strRef>
          </c:tx>
          <c:yVal>
            <c:numRef>
              <c:f>'Repeats (4)'!$E$2:$E$22</c:f>
              <c:numCache>
                <c:formatCode>0.00</c:formatCode>
                <c:ptCount val="21"/>
                <c:pt idx="0">
                  <c:v>48.92530618420669</c:v>
                </c:pt>
                <c:pt idx="1">
                  <c:v>48.92530618420669</c:v>
                </c:pt>
                <c:pt idx="2">
                  <c:v>48.92530618420669</c:v>
                </c:pt>
                <c:pt idx="3">
                  <c:v>48.92530618420669</c:v>
                </c:pt>
                <c:pt idx="4">
                  <c:v>48.92530618420669</c:v>
                </c:pt>
                <c:pt idx="5">
                  <c:v>48.92530618420669</c:v>
                </c:pt>
                <c:pt idx="6">
                  <c:v>48.92530618420669</c:v>
                </c:pt>
                <c:pt idx="7">
                  <c:v>48.92530618420669</c:v>
                </c:pt>
                <c:pt idx="8">
                  <c:v>48.92530618420669</c:v>
                </c:pt>
                <c:pt idx="9">
                  <c:v>48.92530618420669</c:v>
                </c:pt>
                <c:pt idx="10">
                  <c:v>48.92530618420669</c:v>
                </c:pt>
                <c:pt idx="11">
                  <c:v>48.92530618420669</c:v>
                </c:pt>
                <c:pt idx="12">
                  <c:v>48.92530618420669</c:v>
                </c:pt>
                <c:pt idx="13">
                  <c:v>48.92530618420669</c:v>
                </c:pt>
                <c:pt idx="14">
                  <c:v>48.92530618420669</c:v>
                </c:pt>
                <c:pt idx="15">
                  <c:v>48.92530618420669</c:v>
                </c:pt>
                <c:pt idx="16">
                  <c:v>48.92530618420669</c:v>
                </c:pt>
                <c:pt idx="17">
                  <c:v>48.92530618420669</c:v>
                </c:pt>
                <c:pt idx="18">
                  <c:v>48.92530618420669</c:v>
                </c:pt>
                <c:pt idx="19">
                  <c:v>48.92530618420669</c:v>
                </c:pt>
                <c:pt idx="20">
                  <c:v>48.92530618420669</c:v>
                </c:pt>
              </c:numCache>
            </c:numRef>
          </c:yVal>
          <c:smooth val="0"/>
        </c:ser>
        <c:ser>
          <c:idx val="1"/>
          <c:order val="1"/>
          <c:tx>
            <c:v>mean of means</c:v>
          </c:tx>
          <c:xVal>
            <c:numRef>
              <c:f>'Repeats (4)'!$D$24:$D$25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'Repeats (4)'!$E$24:$E$25</c:f>
              <c:numCache>
                <c:formatCode>0.00</c:formatCode>
                <c:ptCount val="2"/>
                <c:pt idx="0">
                  <c:v>48.925306184206683</c:v>
                </c:pt>
                <c:pt idx="1">
                  <c:v>48.925306184206683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023216"/>
        <c:axId val="357023776"/>
      </c:scatterChart>
      <c:valAx>
        <c:axId val="357023216"/>
        <c:scaling>
          <c:orientation val="minMax"/>
          <c:max val="20"/>
        </c:scaling>
        <c:delete val="0"/>
        <c:axPos val="b"/>
        <c:majorGridlines/>
        <c:majorTickMark val="out"/>
        <c:minorTickMark val="none"/>
        <c:tickLblPos val="nextTo"/>
        <c:crossAx val="357023776"/>
        <c:crosses val="autoZero"/>
        <c:crossBetween val="midCat"/>
      </c:valAx>
      <c:valAx>
        <c:axId val="357023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570232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'Repeats (4)'!$S$12:$S$19</c:f>
              <c:numCache>
                <c:formatCode>General</c:formatCode>
                <c:ptCount val="8"/>
                <c:pt idx="0">
                  <c:v>37.640635125196496</c:v>
                </c:pt>
                <c:pt idx="1">
                  <c:v>41.581471992069879</c:v>
                </c:pt>
                <c:pt idx="2">
                  <c:v>44.729942777555415</c:v>
                </c:pt>
                <c:pt idx="3">
                  <c:v>47.557107341457808</c:v>
                </c:pt>
                <c:pt idx="4">
                  <c:v>50.293505026955557</c:v>
                </c:pt>
                <c:pt idx="5">
                  <c:v>53.12066959085795</c:v>
                </c:pt>
                <c:pt idx="6">
                  <c:v>56.269140376343486</c:v>
                </c:pt>
                <c:pt idx="7">
                  <c:v>60.209977243216869</c:v>
                </c:pt>
              </c:numCache>
            </c:numRef>
          </c:xVal>
          <c:yVal>
            <c:numRef>
              <c:f>'Repeats (4)'!$T$12:$T$19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158512"/>
        <c:axId val="355159072"/>
      </c:scatterChart>
      <c:valAx>
        <c:axId val="355158512"/>
        <c:scaling>
          <c:orientation val="minMax"/>
          <c:max val="60.2"/>
          <c:min val="37.6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55159072"/>
        <c:crosses val="autoZero"/>
        <c:crossBetween val="midCat"/>
      </c:valAx>
      <c:valAx>
        <c:axId val="35515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515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0</xdr:row>
      <xdr:rowOff>80961</xdr:rowOff>
    </xdr:from>
    <xdr:to>
      <xdr:col>15</xdr:col>
      <xdr:colOff>466724</xdr:colOff>
      <xdr:row>20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20</xdr:row>
      <xdr:rowOff>171450</xdr:rowOff>
    </xdr:from>
    <xdr:to>
      <xdr:col>14</xdr:col>
      <xdr:colOff>371475</xdr:colOff>
      <xdr:row>31</xdr:row>
      <xdr:rowOff>14286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10027</xdr:colOff>
      <xdr:row>2</xdr:row>
      <xdr:rowOff>150394</xdr:rowOff>
    </xdr:from>
    <xdr:to>
      <xdr:col>20</xdr:col>
      <xdr:colOff>350921</xdr:colOff>
      <xdr:row>7</xdr:row>
      <xdr:rowOff>140368</xdr:rowOff>
    </xdr:to>
    <xdr:sp macro="" textlink="">
      <xdr:nvSpPr>
        <xdr:cNvPr id="2" name="Rounded Rectangle 1"/>
        <xdr:cNvSpPr/>
      </xdr:nvSpPr>
      <xdr:spPr>
        <a:xfrm>
          <a:off x="10407316" y="551447"/>
          <a:ext cx="2175710" cy="942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N</a:t>
          </a:r>
        </a:p>
        <a:p>
          <a:pPr algn="ctr"/>
          <a:r>
            <a:rPr lang="en-US" sz="2400" b="1"/>
            <a:t>F9 to 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0</xdr:row>
      <xdr:rowOff>80961</xdr:rowOff>
    </xdr:from>
    <xdr:to>
      <xdr:col>15</xdr:col>
      <xdr:colOff>466724</xdr:colOff>
      <xdr:row>20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20</xdr:row>
      <xdr:rowOff>171450</xdr:rowOff>
    </xdr:from>
    <xdr:to>
      <xdr:col>14</xdr:col>
      <xdr:colOff>371475</xdr:colOff>
      <xdr:row>31</xdr:row>
      <xdr:rowOff>14286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10027</xdr:colOff>
      <xdr:row>2</xdr:row>
      <xdr:rowOff>150394</xdr:rowOff>
    </xdr:from>
    <xdr:to>
      <xdr:col>20</xdr:col>
      <xdr:colOff>350921</xdr:colOff>
      <xdr:row>7</xdr:row>
      <xdr:rowOff>140368</xdr:rowOff>
    </xdr:to>
    <xdr:sp macro="" textlink="">
      <xdr:nvSpPr>
        <xdr:cNvPr id="4" name="Rounded Rectangle 3"/>
        <xdr:cNvSpPr/>
      </xdr:nvSpPr>
      <xdr:spPr>
        <a:xfrm>
          <a:off x="10373227" y="550444"/>
          <a:ext cx="2169694" cy="942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N</a:t>
          </a:r>
        </a:p>
        <a:p>
          <a:pPr algn="ctr"/>
          <a:r>
            <a:rPr lang="en-US" sz="2400" b="1"/>
            <a:t>F9 to 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0</xdr:row>
      <xdr:rowOff>80961</xdr:rowOff>
    </xdr:from>
    <xdr:to>
      <xdr:col>15</xdr:col>
      <xdr:colOff>466724</xdr:colOff>
      <xdr:row>20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20</xdr:row>
      <xdr:rowOff>171450</xdr:rowOff>
    </xdr:from>
    <xdr:to>
      <xdr:col>14</xdr:col>
      <xdr:colOff>371475</xdr:colOff>
      <xdr:row>31</xdr:row>
      <xdr:rowOff>14286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10027</xdr:colOff>
      <xdr:row>2</xdr:row>
      <xdr:rowOff>150394</xdr:rowOff>
    </xdr:from>
    <xdr:to>
      <xdr:col>20</xdr:col>
      <xdr:colOff>350921</xdr:colOff>
      <xdr:row>7</xdr:row>
      <xdr:rowOff>140368</xdr:rowOff>
    </xdr:to>
    <xdr:sp macro="" textlink="">
      <xdr:nvSpPr>
        <xdr:cNvPr id="4" name="Rounded Rectangle 3"/>
        <xdr:cNvSpPr/>
      </xdr:nvSpPr>
      <xdr:spPr>
        <a:xfrm>
          <a:off x="10373227" y="550444"/>
          <a:ext cx="2169694" cy="942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N</a:t>
          </a:r>
        </a:p>
        <a:p>
          <a:pPr algn="ctr"/>
          <a:r>
            <a:rPr lang="en-US" sz="2400" b="1"/>
            <a:t>F9 to refresh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0</xdr:row>
      <xdr:rowOff>80961</xdr:rowOff>
    </xdr:from>
    <xdr:to>
      <xdr:col>15</xdr:col>
      <xdr:colOff>466724</xdr:colOff>
      <xdr:row>20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20</xdr:row>
      <xdr:rowOff>171450</xdr:rowOff>
    </xdr:from>
    <xdr:to>
      <xdr:col>14</xdr:col>
      <xdr:colOff>371475</xdr:colOff>
      <xdr:row>31</xdr:row>
      <xdr:rowOff>14286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10027</xdr:colOff>
      <xdr:row>2</xdr:row>
      <xdr:rowOff>150394</xdr:rowOff>
    </xdr:from>
    <xdr:to>
      <xdr:col>20</xdr:col>
      <xdr:colOff>350921</xdr:colOff>
      <xdr:row>7</xdr:row>
      <xdr:rowOff>140368</xdr:rowOff>
    </xdr:to>
    <xdr:sp macro="" textlink="">
      <xdr:nvSpPr>
        <xdr:cNvPr id="4" name="Rounded Rectangle 3"/>
        <xdr:cNvSpPr/>
      </xdr:nvSpPr>
      <xdr:spPr>
        <a:xfrm>
          <a:off x="10373227" y="550444"/>
          <a:ext cx="2169694" cy="942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N</a:t>
          </a:r>
        </a:p>
        <a:p>
          <a:pPr algn="ctr"/>
          <a:r>
            <a:rPr lang="en-US" sz="2400" b="1"/>
            <a:t>F9 to 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101"/>
  <sheetViews>
    <sheetView tabSelected="1" zoomScale="110" zoomScaleNormal="110" workbookViewId="0"/>
  </sheetViews>
  <sheetFormatPr defaultRowHeight="15" x14ac:dyDescent="0.25"/>
  <cols>
    <col min="1" max="16384" width="9.140625" style="1"/>
  </cols>
  <sheetData>
    <row r="1" spans="1:20" ht="15.75" thickBot="1" x14ac:dyDescent="0.3">
      <c r="A1" s="11" t="s">
        <v>2</v>
      </c>
      <c r="B1" s="11" t="s">
        <v>3</v>
      </c>
      <c r="C1" s="11"/>
      <c r="D1" s="11"/>
      <c r="E1" s="11" t="s">
        <v>1</v>
      </c>
      <c r="F1" s="11" t="s">
        <v>0</v>
      </c>
    </row>
    <row r="2" spans="1:20" ht="15.75" thickBot="1" x14ac:dyDescent="0.3">
      <c r="A2" s="1">
        <f>ROW(A1)</f>
        <v>1</v>
      </c>
      <c r="B2" s="2">
        <f ca="1">NORMINV(RAND(),100,5)</f>
        <v>100.63566897246029</v>
      </c>
      <c r="D2" s="12"/>
      <c r="E2" s="3">
        <f ca="1">AVERAGE(B:B)</f>
        <v>99.959563823038408</v>
      </c>
      <c r="F2" s="4">
        <f ca="1">STDEV(B:B)</f>
        <v>5.2593192345404924</v>
      </c>
    </row>
    <row r="3" spans="1:20" x14ac:dyDescent="0.25">
      <c r="A3" s="1">
        <f t="shared" ref="A3:A66" si="0">ROW(A2)</f>
        <v>2</v>
      </c>
      <c r="B3" s="2">
        <f t="shared" ref="B3:B66" ca="1" si="1">NORMINV(RAND(),100,5)</f>
        <v>109.23166243141853</v>
      </c>
      <c r="D3" s="13"/>
      <c r="E3" s="5">
        <f t="dataTable" ref="E3:F22" dt2D="0" dtr="0" r1="C1" ca="1"/>
        <v>99.981706046371158</v>
      </c>
      <c r="F3" s="4">
        <v>4.9278409009896231</v>
      </c>
    </row>
    <row r="4" spans="1:20" x14ac:dyDescent="0.25">
      <c r="A4" s="1">
        <f t="shared" si="0"/>
        <v>3</v>
      </c>
      <c r="B4" s="2">
        <f t="shared" ca="1" si="1"/>
        <v>94.143516483835668</v>
      </c>
      <c r="D4" s="13"/>
      <c r="E4" s="6">
        <v>99.750048585262718</v>
      </c>
      <c r="F4" s="7">
        <v>4.6983829907039212</v>
      </c>
    </row>
    <row r="5" spans="1:20" x14ac:dyDescent="0.25">
      <c r="A5" s="1">
        <f t="shared" si="0"/>
        <v>4</v>
      </c>
      <c r="B5" s="2">
        <f t="shared" ca="1" si="1"/>
        <v>101.06216450167766</v>
      </c>
      <c r="D5" s="13"/>
      <c r="E5" s="6">
        <v>100.63400825735476</v>
      </c>
      <c r="F5" s="7">
        <v>4.740152619154812</v>
      </c>
    </row>
    <row r="6" spans="1:20" x14ac:dyDescent="0.25">
      <c r="A6" s="1">
        <f t="shared" si="0"/>
        <v>5</v>
      </c>
      <c r="B6" s="2">
        <f t="shared" ca="1" si="1"/>
        <v>97.980390795741286</v>
      </c>
      <c r="D6" s="13"/>
      <c r="E6" s="6">
        <v>100.3454553221045</v>
      </c>
      <c r="F6" s="7">
        <v>4.5054775885935205</v>
      </c>
    </row>
    <row r="7" spans="1:20" x14ac:dyDescent="0.25">
      <c r="A7" s="1">
        <f t="shared" si="0"/>
        <v>6</v>
      </c>
      <c r="B7" s="2">
        <f t="shared" ca="1" si="1"/>
        <v>105.41746088783216</v>
      </c>
      <c r="D7" s="13"/>
      <c r="E7" s="6">
        <v>99.950272800069399</v>
      </c>
      <c r="F7" s="7">
        <v>5.5876125825551837</v>
      </c>
    </row>
    <row r="8" spans="1:20" x14ac:dyDescent="0.25">
      <c r="A8" s="1">
        <f t="shared" si="0"/>
        <v>7</v>
      </c>
      <c r="B8" s="2">
        <f t="shared" ca="1" si="1"/>
        <v>103.43193152093369</v>
      </c>
      <c r="D8" s="13"/>
      <c r="E8" s="6">
        <v>98.959607681890574</v>
      </c>
      <c r="F8" s="7">
        <v>5.2538099053842577</v>
      </c>
    </row>
    <row r="9" spans="1:20" x14ac:dyDescent="0.25">
      <c r="A9" s="1">
        <f t="shared" si="0"/>
        <v>8</v>
      </c>
      <c r="B9" s="2">
        <f t="shared" ca="1" si="1"/>
        <v>94.353336466017538</v>
      </c>
      <c r="D9" s="13"/>
      <c r="E9" s="6">
        <v>100.48838658357558</v>
      </c>
      <c r="F9" s="7">
        <v>4.838975227405502</v>
      </c>
    </row>
    <row r="10" spans="1:20" x14ac:dyDescent="0.25">
      <c r="A10" s="1">
        <f t="shared" si="0"/>
        <v>9</v>
      </c>
      <c r="B10" s="2">
        <f t="shared" ca="1" si="1"/>
        <v>97.526034760338831</v>
      </c>
      <c r="D10" s="13"/>
      <c r="E10" s="6">
        <v>100.15982576159304</v>
      </c>
      <c r="F10" s="7">
        <v>4.6727066640885822</v>
      </c>
    </row>
    <row r="11" spans="1:20" x14ac:dyDescent="0.25">
      <c r="A11" s="1">
        <f t="shared" si="0"/>
        <v>10</v>
      </c>
      <c r="B11" s="2">
        <f t="shared" ca="1" si="1"/>
        <v>91.892429838579133</v>
      </c>
      <c r="D11" s="13"/>
      <c r="E11" s="6">
        <v>100.63763111874518</v>
      </c>
      <c r="F11" s="7">
        <v>5.8708291100110266</v>
      </c>
    </row>
    <row r="12" spans="1:20" x14ac:dyDescent="0.25">
      <c r="A12" s="1">
        <f t="shared" si="0"/>
        <v>11</v>
      </c>
      <c r="B12" s="2">
        <f t="shared" ca="1" si="1"/>
        <v>101.02051567805029</v>
      </c>
      <c r="D12" s="13"/>
      <c r="E12" s="6">
        <v>100.43805291795408</v>
      </c>
      <c r="F12" s="7">
        <v>5.0658152810380104</v>
      </c>
      <c r="R12" s="17">
        <v>0.15</v>
      </c>
      <c r="S12" s="1">
        <f t="shared" ref="S12:S19" ca="1" si="2">NORMINV(R12,$E$24,$F$24)</f>
        <v>94.947128168642934</v>
      </c>
      <c r="T12" s="1">
        <f t="array" aca="1" ref="T12:T19" ca="1">FREQUENCY(E3:E23,S12:S20)</f>
        <v>0</v>
      </c>
    </row>
    <row r="13" spans="1:20" x14ac:dyDescent="0.25">
      <c r="A13" s="1">
        <f t="shared" si="0"/>
        <v>12</v>
      </c>
      <c r="B13" s="2">
        <f t="shared" ca="1" si="1"/>
        <v>91.086679668782622</v>
      </c>
      <c r="D13" s="13"/>
      <c r="E13" s="6">
        <v>99.863262181947945</v>
      </c>
      <c r="F13" s="7">
        <v>4.8463766921893292</v>
      </c>
      <c r="R13" s="17">
        <v>0.25</v>
      </c>
      <c r="S13" s="1">
        <f t="shared" ca="1" si="2"/>
        <v>96.774872140217795</v>
      </c>
      <c r="T13" s="1">
        <f ca="1"/>
        <v>0</v>
      </c>
    </row>
    <row r="14" spans="1:20" x14ac:dyDescent="0.25">
      <c r="A14" s="1">
        <f t="shared" si="0"/>
        <v>13</v>
      </c>
      <c r="B14" s="2">
        <f t="shared" ca="1" si="1"/>
        <v>99.22763928722236</v>
      </c>
      <c r="D14" s="13"/>
      <c r="E14" s="6">
        <v>99.857498694782223</v>
      </c>
      <c r="F14" s="7">
        <v>5.228753356134348</v>
      </c>
      <c r="R14" s="17">
        <v>0.35</v>
      </c>
      <c r="S14" s="1">
        <f t="shared" ca="1" si="2"/>
        <v>98.235119973926373</v>
      </c>
      <c r="T14" s="1">
        <f ca="1"/>
        <v>0</v>
      </c>
    </row>
    <row r="15" spans="1:20" x14ac:dyDescent="0.25">
      <c r="A15" s="1">
        <f t="shared" si="0"/>
        <v>14</v>
      </c>
      <c r="B15" s="2">
        <f t="shared" ca="1" si="1"/>
        <v>109.05537775623115</v>
      </c>
      <c r="D15" s="13"/>
      <c r="E15" s="6">
        <v>100.63039397135697</v>
      </c>
      <c r="F15" s="7">
        <v>4.8556959138496039</v>
      </c>
      <c r="R15" s="17">
        <v>0.45</v>
      </c>
      <c r="S15" s="1">
        <f t="shared" ca="1" si="2"/>
        <v>99.546347300223289</v>
      </c>
      <c r="T15" s="1">
        <f ca="1"/>
        <v>1</v>
      </c>
    </row>
    <row r="16" spans="1:20" x14ac:dyDescent="0.25">
      <c r="A16" s="1">
        <f t="shared" si="0"/>
        <v>15</v>
      </c>
      <c r="B16" s="2">
        <f t="shared" ca="1" si="1"/>
        <v>97.024975041513088</v>
      </c>
      <c r="D16" s="13"/>
      <c r="E16" s="6">
        <v>100.19653771800689</v>
      </c>
      <c r="F16" s="7">
        <v>5.092612150404805</v>
      </c>
      <c r="R16" s="17">
        <v>0.55000000000000004</v>
      </c>
      <c r="S16" s="1">
        <f t="shared" ca="1" si="2"/>
        <v>100.81547732068719</v>
      </c>
      <c r="T16" s="1">
        <f ca="1"/>
        <v>19</v>
      </c>
    </row>
    <row r="17" spans="1:20" x14ac:dyDescent="0.25">
      <c r="A17" s="1">
        <f t="shared" si="0"/>
        <v>16</v>
      </c>
      <c r="B17" s="2">
        <f t="shared" ca="1" si="1"/>
        <v>97.800067070123831</v>
      </c>
      <c r="D17" s="13"/>
      <c r="E17" s="6">
        <v>100.53707829021097</v>
      </c>
      <c r="F17" s="7">
        <v>4.7775065014667506</v>
      </c>
      <c r="R17" s="17">
        <v>0.65</v>
      </c>
      <c r="S17" s="1">
        <f t="shared" ca="1" si="2"/>
        <v>102.12670464698411</v>
      </c>
      <c r="T17" s="1">
        <f ca="1"/>
        <v>0</v>
      </c>
    </row>
    <row r="18" spans="1:20" x14ac:dyDescent="0.25">
      <c r="A18" s="1">
        <f t="shared" si="0"/>
        <v>17</v>
      </c>
      <c r="B18" s="2">
        <f t="shared" ca="1" si="1"/>
        <v>98.204123739315861</v>
      </c>
      <c r="D18" s="13"/>
      <c r="E18" s="6">
        <v>100.63387179224185</v>
      </c>
      <c r="F18" s="7">
        <v>4.8907048393658794</v>
      </c>
      <c r="R18" s="17">
        <v>0.75</v>
      </c>
      <c r="S18" s="1">
        <f t="shared" ca="1" si="2"/>
        <v>103.58695248069269</v>
      </c>
      <c r="T18" s="1">
        <f ca="1"/>
        <v>0</v>
      </c>
    </row>
    <row r="19" spans="1:20" x14ac:dyDescent="0.25">
      <c r="A19" s="1">
        <f t="shared" si="0"/>
        <v>18</v>
      </c>
      <c r="B19" s="2">
        <f t="shared" ca="1" si="1"/>
        <v>91.615145689904224</v>
      </c>
      <c r="D19" s="13"/>
      <c r="E19" s="6">
        <v>100.75465682104979</v>
      </c>
      <c r="F19" s="7">
        <v>5.3291405724826006</v>
      </c>
      <c r="R19" s="17">
        <v>0.85</v>
      </c>
      <c r="S19" s="1">
        <f t="shared" ca="1" si="2"/>
        <v>105.41469645226755</v>
      </c>
      <c r="T19" s="1">
        <f ca="1"/>
        <v>0</v>
      </c>
    </row>
    <row r="20" spans="1:20" x14ac:dyDescent="0.25">
      <c r="A20" s="1">
        <f t="shared" si="0"/>
        <v>19</v>
      </c>
      <c r="B20" s="2">
        <f t="shared" ca="1" si="1"/>
        <v>110.00840018167747</v>
      </c>
      <c r="D20" s="13"/>
      <c r="E20" s="6">
        <v>100.30905872354433</v>
      </c>
      <c r="F20" s="7">
        <v>5.2397596165078433</v>
      </c>
    </row>
    <row r="21" spans="1:20" x14ac:dyDescent="0.25">
      <c r="A21" s="1">
        <f t="shared" si="0"/>
        <v>20</v>
      </c>
      <c r="B21" s="2">
        <f t="shared" ca="1" si="1"/>
        <v>96.469016413674012</v>
      </c>
      <c r="D21" s="13"/>
      <c r="E21" s="6">
        <v>100.105549126177</v>
      </c>
      <c r="F21" s="7">
        <v>5.2333557954457239</v>
      </c>
    </row>
    <row r="22" spans="1:20" ht="15.75" thickBot="1" x14ac:dyDescent="0.3">
      <c r="A22" s="1">
        <f t="shared" si="0"/>
        <v>21</v>
      </c>
      <c r="B22" s="2">
        <f t="shared" ca="1" si="1"/>
        <v>105.97080582923039</v>
      </c>
      <c r="D22" s="14"/>
      <c r="E22" s="8">
        <v>99.606692302282795</v>
      </c>
      <c r="F22" s="9">
        <v>5.131029424665984</v>
      </c>
    </row>
    <row r="23" spans="1:20" x14ac:dyDescent="0.25">
      <c r="A23" s="1">
        <f t="shared" si="0"/>
        <v>22</v>
      </c>
      <c r="B23" s="2">
        <f t="shared" ca="1" si="1"/>
        <v>105.61763929930819</v>
      </c>
    </row>
    <row r="24" spans="1:20" x14ac:dyDescent="0.25">
      <c r="A24" s="1">
        <f t="shared" si="0"/>
        <v>23</v>
      </c>
      <c r="B24" s="2">
        <f t="shared" ca="1" si="1"/>
        <v>94.533867927401701</v>
      </c>
      <c r="D24" s="15">
        <v>0</v>
      </c>
      <c r="E24" s="10">
        <f ca="1">AVERAGE($E$2:$E$22)</f>
        <v>100.18091231045524</v>
      </c>
      <c r="F24" s="2">
        <f ca="1">AVERAGE(F2:F22)</f>
        <v>5.0498027127132286</v>
      </c>
    </row>
    <row r="25" spans="1:20" x14ac:dyDescent="0.25">
      <c r="A25" s="1">
        <f t="shared" si="0"/>
        <v>24</v>
      </c>
      <c r="B25" s="2">
        <f t="shared" ca="1" si="1"/>
        <v>104.23984544004639</v>
      </c>
      <c r="D25" s="15">
        <v>20</v>
      </c>
      <c r="E25" s="10">
        <f ca="1">AVERAGE($E$2:$E$22)</f>
        <v>100.18091231045524</v>
      </c>
    </row>
    <row r="26" spans="1:20" x14ac:dyDescent="0.25">
      <c r="A26" s="1">
        <f t="shared" si="0"/>
        <v>25</v>
      </c>
      <c r="B26" s="2">
        <f t="shared" ca="1" si="1"/>
        <v>99.611962634802779</v>
      </c>
    </row>
    <row r="27" spans="1:20" x14ac:dyDescent="0.25">
      <c r="A27" s="1">
        <f t="shared" si="0"/>
        <v>26</v>
      </c>
      <c r="B27" s="2">
        <f t="shared" ca="1" si="1"/>
        <v>107.74716899379828</v>
      </c>
      <c r="D27" s="18"/>
      <c r="E27" s="18"/>
    </row>
    <row r="28" spans="1:20" x14ac:dyDescent="0.25">
      <c r="A28" s="1">
        <f t="shared" si="0"/>
        <v>27</v>
      </c>
      <c r="B28" s="2">
        <f t="shared" ca="1" si="1"/>
        <v>103.31158857652824</v>
      </c>
      <c r="D28" s="18"/>
      <c r="E28" s="18"/>
    </row>
    <row r="29" spans="1:20" x14ac:dyDescent="0.25">
      <c r="A29" s="1">
        <f t="shared" si="0"/>
        <v>28</v>
      </c>
      <c r="B29" s="2">
        <f t="shared" ca="1" si="1"/>
        <v>106.44303111648539</v>
      </c>
      <c r="D29" s="18"/>
      <c r="E29" s="18"/>
    </row>
    <row r="30" spans="1:20" x14ac:dyDescent="0.25">
      <c r="A30" s="1">
        <f t="shared" si="0"/>
        <v>29</v>
      </c>
      <c r="B30" s="2">
        <f t="shared" ca="1" si="1"/>
        <v>90.272753949684329</v>
      </c>
      <c r="D30" s="18"/>
      <c r="E30" s="18"/>
    </row>
    <row r="31" spans="1:20" x14ac:dyDescent="0.25">
      <c r="A31" s="1">
        <f t="shared" si="0"/>
        <v>30</v>
      </c>
      <c r="B31" s="2">
        <f t="shared" ca="1" si="1"/>
        <v>109.85193517493897</v>
      </c>
      <c r="D31" s="18"/>
      <c r="E31" s="18"/>
    </row>
    <row r="32" spans="1:20" x14ac:dyDescent="0.25">
      <c r="A32" s="1">
        <f t="shared" si="0"/>
        <v>31</v>
      </c>
      <c r="B32" s="2">
        <f t="shared" ca="1" si="1"/>
        <v>103.71132855818276</v>
      </c>
      <c r="D32" s="18"/>
      <c r="E32" s="18"/>
    </row>
    <row r="33" spans="1:6" x14ac:dyDescent="0.25">
      <c r="A33" s="1">
        <f t="shared" si="0"/>
        <v>32</v>
      </c>
      <c r="B33" s="2">
        <f t="shared" ca="1" si="1"/>
        <v>104.74192816496983</v>
      </c>
    </row>
    <row r="34" spans="1:6" x14ac:dyDescent="0.25">
      <c r="A34" s="1">
        <f t="shared" si="0"/>
        <v>33</v>
      </c>
      <c r="B34" s="2">
        <f t="shared" ca="1" si="1"/>
        <v>94.473101597939475</v>
      </c>
      <c r="F34" s="16"/>
    </row>
    <row r="35" spans="1:6" x14ac:dyDescent="0.25">
      <c r="A35" s="1">
        <f t="shared" si="0"/>
        <v>34</v>
      </c>
      <c r="B35" s="2">
        <f t="shared" ca="1" si="1"/>
        <v>102.41163481937436</v>
      </c>
    </row>
    <row r="36" spans="1:6" x14ac:dyDescent="0.25">
      <c r="A36" s="1">
        <f t="shared" si="0"/>
        <v>35</v>
      </c>
      <c r="B36" s="2">
        <f t="shared" ca="1" si="1"/>
        <v>94.60942407550769</v>
      </c>
    </row>
    <row r="37" spans="1:6" x14ac:dyDescent="0.25">
      <c r="A37" s="1">
        <f t="shared" si="0"/>
        <v>36</v>
      </c>
      <c r="B37" s="2">
        <f t="shared" ca="1" si="1"/>
        <v>103.31045019014343</v>
      </c>
    </row>
    <row r="38" spans="1:6" x14ac:dyDescent="0.25">
      <c r="A38" s="1">
        <f t="shared" si="0"/>
        <v>37</v>
      </c>
      <c r="B38" s="2">
        <f t="shared" ca="1" si="1"/>
        <v>106.23708460769961</v>
      </c>
    </row>
    <row r="39" spans="1:6" x14ac:dyDescent="0.25">
      <c r="A39" s="1">
        <f t="shared" si="0"/>
        <v>38</v>
      </c>
      <c r="B39" s="2">
        <f t="shared" ca="1" si="1"/>
        <v>102.91011155636902</v>
      </c>
    </row>
    <row r="40" spans="1:6" x14ac:dyDescent="0.25">
      <c r="A40" s="1">
        <f t="shared" si="0"/>
        <v>39</v>
      </c>
      <c r="B40" s="2">
        <f t="shared" ca="1" si="1"/>
        <v>95.228653157097085</v>
      </c>
    </row>
    <row r="41" spans="1:6" x14ac:dyDescent="0.25">
      <c r="A41" s="1">
        <f t="shared" si="0"/>
        <v>40</v>
      </c>
      <c r="B41" s="2">
        <f t="shared" ca="1" si="1"/>
        <v>103.33214386072302</v>
      </c>
    </row>
    <row r="42" spans="1:6" x14ac:dyDescent="0.25">
      <c r="A42" s="1">
        <f t="shared" si="0"/>
        <v>41</v>
      </c>
      <c r="B42" s="2">
        <f t="shared" ca="1" si="1"/>
        <v>102.67433863697349</v>
      </c>
    </row>
    <row r="43" spans="1:6" x14ac:dyDescent="0.25">
      <c r="A43" s="1">
        <f t="shared" si="0"/>
        <v>42</v>
      </c>
      <c r="B43" s="2">
        <f t="shared" ca="1" si="1"/>
        <v>94.380854034429305</v>
      </c>
    </row>
    <row r="44" spans="1:6" x14ac:dyDescent="0.25">
      <c r="A44" s="1">
        <f t="shared" si="0"/>
        <v>43</v>
      </c>
      <c r="B44" s="2">
        <f t="shared" ca="1" si="1"/>
        <v>101.01814925702823</v>
      </c>
    </row>
    <row r="45" spans="1:6" x14ac:dyDescent="0.25">
      <c r="A45" s="1">
        <f t="shared" si="0"/>
        <v>44</v>
      </c>
      <c r="B45" s="2">
        <f t="shared" ca="1" si="1"/>
        <v>100.59704184043467</v>
      </c>
    </row>
    <row r="46" spans="1:6" x14ac:dyDescent="0.25">
      <c r="A46" s="1">
        <f t="shared" si="0"/>
        <v>45</v>
      </c>
      <c r="B46" s="2">
        <f t="shared" ca="1" si="1"/>
        <v>104.48170674583392</v>
      </c>
    </row>
    <row r="47" spans="1:6" x14ac:dyDescent="0.25">
      <c r="A47" s="1">
        <f t="shared" si="0"/>
        <v>46</v>
      </c>
      <c r="B47" s="2">
        <f t="shared" ca="1" si="1"/>
        <v>92.454837531960877</v>
      </c>
    </row>
    <row r="48" spans="1:6" x14ac:dyDescent="0.25">
      <c r="A48" s="1">
        <f t="shared" si="0"/>
        <v>47</v>
      </c>
      <c r="B48" s="2">
        <f t="shared" ca="1" si="1"/>
        <v>102.18073556225578</v>
      </c>
    </row>
    <row r="49" spans="1:2" x14ac:dyDescent="0.25">
      <c r="A49" s="1">
        <f t="shared" si="0"/>
        <v>48</v>
      </c>
      <c r="B49" s="2">
        <f t="shared" ca="1" si="1"/>
        <v>99.719058317453374</v>
      </c>
    </row>
    <row r="50" spans="1:2" x14ac:dyDescent="0.25">
      <c r="A50" s="1">
        <f t="shared" si="0"/>
        <v>49</v>
      </c>
      <c r="B50" s="2">
        <f t="shared" ca="1" si="1"/>
        <v>89.751353800926964</v>
      </c>
    </row>
    <row r="51" spans="1:2" x14ac:dyDescent="0.25">
      <c r="A51" s="1">
        <f t="shared" si="0"/>
        <v>50</v>
      </c>
      <c r="B51" s="2">
        <f t="shared" ca="1" si="1"/>
        <v>95.68384885018439</v>
      </c>
    </row>
    <row r="52" spans="1:2" x14ac:dyDescent="0.25">
      <c r="A52" s="1">
        <f t="shared" si="0"/>
        <v>51</v>
      </c>
      <c r="B52" s="2">
        <f t="shared" ca="1" si="1"/>
        <v>109.93638126726361</v>
      </c>
    </row>
    <row r="53" spans="1:2" x14ac:dyDescent="0.25">
      <c r="A53" s="1">
        <f t="shared" si="0"/>
        <v>52</v>
      </c>
      <c r="B53" s="2">
        <f t="shared" ca="1" si="1"/>
        <v>104.25317134267233</v>
      </c>
    </row>
    <row r="54" spans="1:2" x14ac:dyDescent="0.25">
      <c r="A54" s="1">
        <f t="shared" si="0"/>
        <v>53</v>
      </c>
      <c r="B54" s="2">
        <f t="shared" ca="1" si="1"/>
        <v>103.6455280441381</v>
      </c>
    </row>
    <row r="55" spans="1:2" x14ac:dyDescent="0.25">
      <c r="A55" s="1">
        <f t="shared" si="0"/>
        <v>54</v>
      </c>
      <c r="B55" s="2">
        <f t="shared" ca="1" si="1"/>
        <v>102.15093864106096</v>
      </c>
    </row>
    <row r="56" spans="1:2" x14ac:dyDescent="0.25">
      <c r="A56" s="1">
        <f t="shared" si="0"/>
        <v>55</v>
      </c>
      <c r="B56" s="2">
        <f t="shared" ca="1" si="1"/>
        <v>99.618800052117265</v>
      </c>
    </row>
    <row r="57" spans="1:2" x14ac:dyDescent="0.25">
      <c r="A57" s="1">
        <f t="shared" si="0"/>
        <v>56</v>
      </c>
      <c r="B57" s="2">
        <f t="shared" ca="1" si="1"/>
        <v>98.330694355104356</v>
      </c>
    </row>
    <row r="58" spans="1:2" x14ac:dyDescent="0.25">
      <c r="A58" s="1">
        <f t="shared" si="0"/>
        <v>57</v>
      </c>
      <c r="B58" s="2">
        <f t="shared" ca="1" si="1"/>
        <v>104.97749492516063</v>
      </c>
    </row>
    <row r="59" spans="1:2" x14ac:dyDescent="0.25">
      <c r="A59" s="1">
        <f t="shared" si="0"/>
        <v>58</v>
      </c>
      <c r="B59" s="2">
        <f t="shared" ca="1" si="1"/>
        <v>94.381876619445464</v>
      </c>
    </row>
    <row r="60" spans="1:2" x14ac:dyDescent="0.25">
      <c r="A60" s="1">
        <f t="shared" si="0"/>
        <v>59</v>
      </c>
      <c r="B60" s="2">
        <f t="shared" ca="1" si="1"/>
        <v>97.832886729585738</v>
      </c>
    </row>
    <row r="61" spans="1:2" x14ac:dyDescent="0.25">
      <c r="A61" s="1">
        <f t="shared" si="0"/>
        <v>60</v>
      </c>
      <c r="B61" s="2">
        <f t="shared" ca="1" si="1"/>
        <v>91.682136970961778</v>
      </c>
    </row>
    <row r="62" spans="1:2" x14ac:dyDescent="0.25">
      <c r="A62" s="1">
        <f t="shared" si="0"/>
        <v>61</v>
      </c>
      <c r="B62" s="2">
        <f t="shared" ca="1" si="1"/>
        <v>105.36703266482135</v>
      </c>
    </row>
    <row r="63" spans="1:2" x14ac:dyDescent="0.25">
      <c r="A63" s="1">
        <f t="shared" si="0"/>
        <v>62</v>
      </c>
      <c r="B63" s="2">
        <f t="shared" ca="1" si="1"/>
        <v>107.45504630480382</v>
      </c>
    </row>
    <row r="64" spans="1:2" x14ac:dyDescent="0.25">
      <c r="A64" s="1">
        <f t="shared" si="0"/>
        <v>63</v>
      </c>
      <c r="B64" s="2">
        <f t="shared" ca="1" si="1"/>
        <v>108.06838062911946</v>
      </c>
    </row>
    <row r="65" spans="1:2" x14ac:dyDescent="0.25">
      <c r="A65" s="1">
        <f t="shared" si="0"/>
        <v>64</v>
      </c>
      <c r="B65" s="2">
        <f t="shared" ca="1" si="1"/>
        <v>100.23417399572691</v>
      </c>
    </row>
    <row r="66" spans="1:2" x14ac:dyDescent="0.25">
      <c r="A66" s="1">
        <f t="shared" si="0"/>
        <v>65</v>
      </c>
      <c r="B66" s="2">
        <f t="shared" ca="1" si="1"/>
        <v>97.378239516947644</v>
      </c>
    </row>
    <row r="67" spans="1:2" x14ac:dyDescent="0.25">
      <c r="A67" s="1">
        <f t="shared" ref="A67:A101" si="3">ROW(A66)</f>
        <v>66</v>
      </c>
      <c r="B67" s="2">
        <f t="shared" ref="B67:B101" ca="1" si="4">NORMINV(RAND(),100,5)</f>
        <v>95.947623537445097</v>
      </c>
    </row>
    <row r="68" spans="1:2" x14ac:dyDescent="0.25">
      <c r="A68" s="1">
        <f t="shared" si="3"/>
        <v>67</v>
      </c>
      <c r="B68" s="2">
        <f t="shared" ca="1" si="4"/>
        <v>99.218284391011878</v>
      </c>
    </row>
    <row r="69" spans="1:2" x14ac:dyDescent="0.25">
      <c r="A69" s="1">
        <f t="shared" si="3"/>
        <v>68</v>
      </c>
      <c r="B69" s="2">
        <f t="shared" ca="1" si="4"/>
        <v>98.622417290244215</v>
      </c>
    </row>
    <row r="70" spans="1:2" x14ac:dyDescent="0.25">
      <c r="A70" s="1">
        <f t="shared" si="3"/>
        <v>69</v>
      </c>
      <c r="B70" s="2">
        <f t="shared" ca="1" si="4"/>
        <v>92.076695052260106</v>
      </c>
    </row>
    <row r="71" spans="1:2" x14ac:dyDescent="0.25">
      <c r="A71" s="1">
        <f t="shared" si="3"/>
        <v>70</v>
      </c>
      <c r="B71" s="2">
        <f t="shared" ca="1" si="4"/>
        <v>106.80161717875802</v>
      </c>
    </row>
    <row r="72" spans="1:2" x14ac:dyDescent="0.25">
      <c r="A72" s="1">
        <f t="shared" si="3"/>
        <v>71</v>
      </c>
      <c r="B72" s="2">
        <f t="shared" ca="1" si="4"/>
        <v>102.57686663445165</v>
      </c>
    </row>
    <row r="73" spans="1:2" x14ac:dyDescent="0.25">
      <c r="A73" s="1">
        <f t="shared" si="3"/>
        <v>72</v>
      </c>
      <c r="B73" s="2">
        <f t="shared" ca="1" si="4"/>
        <v>103.95089500940063</v>
      </c>
    </row>
    <row r="74" spans="1:2" x14ac:dyDescent="0.25">
      <c r="A74" s="1">
        <f t="shared" si="3"/>
        <v>73</v>
      </c>
      <c r="B74" s="2">
        <f t="shared" ca="1" si="4"/>
        <v>96.513680648864465</v>
      </c>
    </row>
    <row r="75" spans="1:2" x14ac:dyDescent="0.25">
      <c r="A75" s="1">
        <f t="shared" si="3"/>
        <v>74</v>
      </c>
      <c r="B75" s="2">
        <f t="shared" ca="1" si="4"/>
        <v>98.915459369755936</v>
      </c>
    </row>
    <row r="76" spans="1:2" x14ac:dyDescent="0.25">
      <c r="A76" s="1">
        <f t="shared" si="3"/>
        <v>75</v>
      </c>
      <c r="B76" s="2">
        <f t="shared" ca="1" si="4"/>
        <v>102.78051382648576</v>
      </c>
    </row>
    <row r="77" spans="1:2" x14ac:dyDescent="0.25">
      <c r="A77" s="1">
        <f t="shared" si="3"/>
        <v>76</v>
      </c>
      <c r="B77" s="2">
        <f t="shared" ca="1" si="4"/>
        <v>106.17220375053887</v>
      </c>
    </row>
    <row r="78" spans="1:2" x14ac:dyDescent="0.25">
      <c r="A78" s="1">
        <f t="shared" si="3"/>
        <v>77</v>
      </c>
      <c r="B78" s="2">
        <f t="shared" ca="1" si="4"/>
        <v>94.554181667878979</v>
      </c>
    </row>
    <row r="79" spans="1:2" x14ac:dyDescent="0.25">
      <c r="A79" s="1">
        <f t="shared" si="3"/>
        <v>78</v>
      </c>
      <c r="B79" s="2">
        <f t="shared" ca="1" si="4"/>
        <v>93.206125093104802</v>
      </c>
    </row>
    <row r="80" spans="1:2" x14ac:dyDescent="0.25">
      <c r="A80" s="1">
        <f t="shared" si="3"/>
        <v>79</v>
      </c>
      <c r="B80" s="2">
        <f t="shared" ca="1" si="4"/>
        <v>107.77427463887344</v>
      </c>
    </row>
    <row r="81" spans="1:2" x14ac:dyDescent="0.25">
      <c r="A81" s="1">
        <f t="shared" si="3"/>
        <v>80</v>
      </c>
      <c r="B81" s="2">
        <f t="shared" ca="1" si="4"/>
        <v>101.08656639707327</v>
      </c>
    </row>
    <row r="82" spans="1:2" x14ac:dyDescent="0.25">
      <c r="A82" s="1">
        <f t="shared" si="3"/>
        <v>81</v>
      </c>
      <c r="B82" s="2">
        <f t="shared" ca="1" si="4"/>
        <v>102.36976247325261</v>
      </c>
    </row>
    <row r="83" spans="1:2" x14ac:dyDescent="0.25">
      <c r="A83" s="1">
        <f t="shared" si="3"/>
        <v>82</v>
      </c>
      <c r="B83" s="2">
        <f t="shared" ca="1" si="4"/>
        <v>96.87858605026031</v>
      </c>
    </row>
    <row r="84" spans="1:2" x14ac:dyDescent="0.25">
      <c r="A84" s="1">
        <f t="shared" si="3"/>
        <v>83</v>
      </c>
      <c r="B84" s="2">
        <f t="shared" ca="1" si="4"/>
        <v>99.787441812602395</v>
      </c>
    </row>
    <row r="85" spans="1:2" x14ac:dyDescent="0.25">
      <c r="A85" s="1">
        <f t="shared" si="3"/>
        <v>84</v>
      </c>
      <c r="B85" s="2">
        <f t="shared" ca="1" si="4"/>
        <v>99.738847232347538</v>
      </c>
    </row>
    <row r="86" spans="1:2" x14ac:dyDescent="0.25">
      <c r="A86" s="1">
        <f t="shared" si="3"/>
        <v>85</v>
      </c>
      <c r="B86" s="2">
        <f t="shared" ca="1" si="4"/>
        <v>97.238994006751668</v>
      </c>
    </row>
    <row r="87" spans="1:2" x14ac:dyDescent="0.25">
      <c r="A87" s="1">
        <f t="shared" si="3"/>
        <v>86</v>
      </c>
      <c r="B87" s="2">
        <f t="shared" ca="1" si="4"/>
        <v>92.803548316875492</v>
      </c>
    </row>
    <row r="88" spans="1:2" x14ac:dyDescent="0.25">
      <c r="A88" s="1">
        <f t="shared" si="3"/>
        <v>87</v>
      </c>
      <c r="B88" s="2">
        <f t="shared" ca="1" si="4"/>
        <v>94.28567700357101</v>
      </c>
    </row>
    <row r="89" spans="1:2" x14ac:dyDescent="0.25">
      <c r="A89" s="1">
        <f t="shared" si="3"/>
        <v>88</v>
      </c>
      <c r="B89" s="2">
        <f t="shared" ca="1" si="4"/>
        <v>99.75441814090567</v>
      </c>
    </row>
    <row r="90" spans="1:2" x14ac:dyDescent="0.25">
      <c r="A90" s="1">
        <f t="shared" si="3"/>
        <v>89</v>
      </c>
      <c r="B90" s="2">
        <f t="shared" ca="1" si="4"/>
        <v>89.306579813603904</v>
      </c>
    </row>
    <row r="91" spans="1:2" x14ac:dyDescent="0.25">
      <c r="A91" s="1">
        <f t="shared" si="3"/>
        <v>90</v>
      </c>
      <c r="B91" s="2">
        <f t="shared" ca="1" si="4"/>
        <v>95.922581724334151</v>
      </c>
    </row>
    <row r="92" spans="1:2" x14ac:dyDescent="0.25">
      <c r="A92" s="1">
        <f t="shared" si="3"/>
        <v>91</v>
      </c>
      <c r="B92" s="2">
        <f t="shared" ca="1" si="4"/>
        <v>98.230747054817982</v>
      </c>
    </row>
    <row r="93" spans="1:2" x14ac:dyDescent="0.25">
      <c r="A93" s="1">
        <f t="shared" si="3"/>
        <v>92</v>
      </c>
      <c r="B93" s="2">
        <f t="shared" ca="1" si="4"/>
        <v>103.78579654660065</v>
      </c>
    </row>
    <row r="94" spans="1:2" x14ac:dyDescent="0.25">
      <c r="A94" s="1">
        <f t="shared" si="3"/>
        <v>93</v>
      </c>
      <c r="B94" s="2">
        <f t="shared" ca="1" si="4"/>
        <v>99.706706043809433</v>
      </c>
    </row>
    <row r="95" spans="1:2" x14ac:dyDescent="0.25">
      <c r="A95" s="1">
        <f t="shared" si="3"/>
        <v>94</v>
      </c>
      <c r="B95" s="2">
        <f t="shared" ca="1" si="4"/>
        <v>97.085918821238366</v>
      </c>
    </row>
    <row r="96" spans="1:2" x14ac:dyDescent="0.25">
      <c r="A96" s="1">
        <f t="shared" si="3"/>
        <v>95</v>
      </c>
      <c r="B96" s="2">
        <f t="shared" ca="1" si="4"/>
        <v>107.08672165403411</v>
      </c>
    </row>
    <row r="97" spans="1:2" x14ac:dyDescent="0.25">
      <c r="A97" s="1">
        <f t="shared" si="3"/>
        <v>96</v>
      </c>
      <c r="B97" s="2">
        <f t="shared" ca="1" si="4"/>
        <v>102.67486034367785</v>
      </c>
    </row>
    <row r="98" spans="1:2" x14ac:dyDescent="0.25">
      <c r="A98" s="1">
        <f t="shared" si="3"/>
        <v>97</v>
      </c>
      <c r="B98" s="2">
        <f t="shared" ca="1" si="4"/>
        <v>94.339542327319663</v>
      </c>
    </row>
    <row r="99" spans="1:2" x14ac:dyDescent="0.25">
      <c r="A99" s="1">
        <f t="shared" si="3"/>
        <v>98</v>
      </c>
      <c r="B99" s="2">
        <f t="shared" ca="1" si="4"/>
        <v>104.71358917434084</v>
      </c>
    </row>
    <row r="100" spans="1:2" x14ac:dyDescent="0.25">
      <c r="A100" s="1">
        <f t="shared" si="3"/>
        <v>99</v>
      </c>
      <c r="B100" s="2">
        <f t="shared" ca="1" si="4"/>
        <v>93.99828635619258</v>
      </c>
    </row>
    <row r="101" spans="1:2" x14ac:dyDescent="0.25">
      <c r="A101" s="1">
        <f t="shared" si="3"/>
        <v>100</v>
      </c>
      <c r="B101" s="2">
        <f t="shared" ca="1" si="4"/>
        <v>92.042669569190821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102"/>
  <sheetViews>
    <sheetView zoomScale="110" zoomScaleNormal="110" workbookViewId="0"/>
  </sheetViews>
  <sheetFormatPr defaultRowHeight="15" x14ac:dyDescent="0.25"/>
  <cols>
    <col min="1" max="16384" width="9.140625" style="1"/>
  </cols>
  <sheetData>
    <row r="1" spans="1:20" ht="15.75" thickBot="1" x14ac:dyDescent="0.3">
      <c r="A1" s="11" t="s">
        <v>2</v>
      </c>
      <c r="B1" s="11" t="s">
        <v>3</v>
      </c>
      <c r="C1" s="11"/>
      <c r="D1" s="11"/>
      <c r="E1" s="11" t="s">
        <v>1</v>
      </c>
      <c r="F1" s="11" t="s">
        <v>0</v>
      </c>
    </row>
    <row r="2" spans="1:20" ht="15.75" thickBot="1" x14ac:dyDescent="0.3">
      <c r="A2" s="1">
        <f>ROW(A1)</f>
        <v>1</v>
      </c>
      <c r="B2" s="2">
        <f t="shared" ref="B2:B33" ca="1" si="0">NORMINV(RAND(),50,10)</f>
        <v>36.967088090273087</v>
      </c>
      <c r="D2" s="12"/>
      <c r="E2" s="3">
        <f ca="1">AVERAGE(B:B)</f>
        <v>49.196539670164924</v>
      </c>
      <c r="F2" s="4">
        <f ca="1">STDEV(B:B)</f>
        <v>8.7517213926343693</v>
      </c>
    </row>
    <row r="3" spans="1:20" x14ac:dyDescent="0.25">
      <c r="A3" s="1">
        <f t="shared" ref="A3:A66" si="1">ROW(A2)</f>
        <v>2</v>
      </c>
      <c r="B3" s="2">
        <f t="shared" ca="1" si="0"/>
        <v>46.204860725359154</v>
      </c>
      <c r="D3" s="13"/>
      <c r="E3" s="5">
        <f t="dataTable" ref="E3:F22" dt2D="0" dtr="0" r1="C1" ca="1"/>
        <v>50.885531919830775</v>
      </c>
      <c r="F3" s="4">
        <v>9.6197499819647572</v>
      </c>
    </row>
    <row r="4" spans="1:20" x14ac:dyDescent="0.25">
      <c r="A4" s="1">
        <f t="shared" si="1"/>
        <v>3</v>
      </c>
      <c r="B4" s="2">
        <f t="shared" ca="1" si="0"/>
        <v>37.360764755640943</v>
      </c>
      <c r="D4" s="13"/>
      <c r="E4" s="6">
        <v>50.759755327930257</v>
      </c>
      <c r="F4" s="7">
        <v>9.6424167610899136</v>
      </c>
    </row>
    <row r="5" spans="1:20" x14ac:dyDescent="0.25">
      <c r="A5" s="1">
        <f t="shared" si="1"/>
        <v>4</v>
      </c>
      <c r="B5" s="2">
        <f t="shared" ca="1" si="0"/>
        <v>58.917822130309794</v>
      </c>
      <c r="D5" s="13"/>
      <c r="E5" s="6">
        <v>50.147771376547865</v>
      </c>
      <c r="F5" s="7">
        <v>9.5735411750114014</v>
      </c>
    </row>
    <row r="6" spans="1:20" x14ac:dyDescent="0.25">
      <c r="A6" s="1">
        <f t="shared" si="1"/>
        <v>5</v>
      </c>
      <c r="B6" s="2">
        <f t="shared" ca="1" si="0"/>
        <v>46.974967247820167</v>
      </c>
      <c r="D6" s="13"/>
      <c r="E6" s="6">
        <v>49.438271259286395</v>
      </c>
      <c r="F6" s="7">
        <v>9.1633259861733691</v>
      </c>
    </row>
    <row r="7" spans="1:20" x14ac:dyDescent="0.25">
      <c r="A7" s="1">
        <f t="shared" si="1"/>
        <v>6</v>
      </c>
      <c r="B7" s="2">
        <f t="shared" ca="1" si="0"/>
        <v>50.085928468704658</v>
      </c>
      <c r="D7" s="13"/>
      <c r="E7" s="6">
        <v>49.517428727322191</v>
      </c>
      <c r="F7" s="7">
        <v>8.9768647328719613</v>
      </c>
    </row>
    <row r="8" spans="1:20" x14ac:dyDescent="0.25">
      <c r="A8" s="1">
        <f t="shared" si="1"/>
        <v>7</v>
      </c>
      <c r="B8" s="2">
        <f t="shared" ca="1" si="0"/>
        <v>67.256663024595255</v>
      </c>
      <c r="D8" s="13"/>
      <c r="E8" s="6">
        <v>49.702091370073667</v>
      </c>
      <c r="F8" s="7">
        <v>8.7217427299395389</v>
      </c>
    </row>
    <row r="9" spans="1:20" x14ac:dyDescent="0.25">
      <c r="A9" s="1">
        <f t="shared" si="1"/>
        <v>8</v>
      </c>
      <c r="B9" s="2">
        <f t="shared" ca="1" si="0"/>
        <v>41.090837815755911</v>
      </c>
      <c r="D9" s="13"/>
      <c r="E9" s="6">
        <v>50.288567317797352</v>
      </c>
      <c r="F9" s="7">
        <v>9.2651821507085277</v>
      </c>
    </row>
    <row r="10" spans="1:20" x14ac:dyDescent="0.25">
      <c r="A10" s="1">
        <f t="shared" si="1"/>
        <v>9</v>
      </c>
      <c r="B10" s="2">
        <f t="shared" ca="1" si="0"/>
        <v>64.756954584498615</v>
      </c>
      <c r="D10" s="13"/>
      <c r="E10" s="6">
        <v>49.420270152663633</v>
      </c>
      <c r="F10" s="7">
        <v>10.953200875653785</v>
      </c>
    </row>
    <row r="11" spans="1:20" x14ac:dyDescent="0.25">
      <c r="A11" s="1">
        <f t="shared" si="1"/>
        <v>10</v>
      </c>
      <c r="B11" s="2">
        <f t="shared" ca="1" si="0"/>
        <v>46.529422608941701</v>
      </c>
      <c r="D11" s="13"/>
      <c r="E11" s="6">
        <v>50.479357238836599</v>
      </c>
      <c r="F11" s="7">
        <v>11.143833540749686</v>
      </c>
    </row>
    <row r="12" spans="1:20" x14ac:dyDescent="0.25">
      <c r="A12" s="1">
        <f t="shared" si="1"/>
        <v>11</v>
      </c>
      <c r="B12" s="2">
        <f t="shared" ca="1" si="0"/>
        <v>36.327558035986371</v>
      </c>
      <c r="D12" s="13"/>
      <c r="E12" s="6">
        <v>48.980001079607845</v>
      </c>
      <c r="F12" s="7">
        <v>10.039293024737933</v>
      </c>
      <c r="R12" s="17">
        <v>0.15</v>
      </c>
      <c r="S12" s="1">
        <f t="shared" ref="S12:S19" ca="1" si="2">NORMINV(R12,$E$24,$F$24)</f>
        <v>39.830790116141962</v>
      </c>
      <c r="T12" s="1">
        <f t="array" aca="1" ref="T12:T19" ca="1">FREQUENCY(E3:E23,S12:S20)</f>
        <v>0</v>
      </c>
    </row>
    <row r="13" spans="1:20" x14ac:dyDescent="0.25">
      <c r="A13" s="1">
        <f t="shared" si="1"/>
        <v>12</v>
      </c>
      <c r="B13" s="2">
        <f t="shared" ca="1" si="0"/>
        <v>41.085336275408814</v>
      </c>
      <c r="D13" s="13"/>
      <c r="E13" s="6">
        <v>51.497101490759341</v>
      </c>
      <c r="F13" s="7">
        <v>10.493369154628754</v>
      </c>
      <c r="R13" s="17">
        <v>0.25</v>
      </c>
      <c r="S13" s="1">
        <f t="shared" ca="1" si="2"/>
        <v>43.415404604808487</v>
      </c>
      <c r="T13" s="1">
        <f ca="1"/>
        <v>0</v>
      </c>
    </row>
    <row r="14" spans="1:20" x14ac:dyDescent="0.25">
      <c r="A14" s="1">
        <f t="shared" si="1"/>
        <v>13</v>
      </c>
      <c r="B14" s="2">
        <f t="shared" ca="1" si="0"/>
        <v>44.921168026363596</v>
      </c>
      <c r="D14" s="13"/>
      <c r="E14" s="6">
        <v>50.370718884510467</v>
      </c>
      <c r="F14" s="7">
        <v>9.5821569645129383</v>
      </c>
      <c r="R14" s="17">
        <v>0.35</v>
      </c>
      <c r="S14" s="1">
        <f t="shared" ca="1" si="2"/>
        <v>46.279277019742764</v>
      </c>
      <c r="T14" s="1">
        <f ca="1"/>
        <v>0</v>
      </c>
    </row>
    <row r="15" spans="1:20" x14ac:dyDescent="0.25">
      <c r="A15" s="1">
        <f t="shared" si="1"/>
        <v>14</v>
      </c>
      <c r="B15" s="2">
        <f t="shared" ca="1" si="0"/>
        <v>46.422749145237603</v>
      </c>
      <c r="D15" s="13"/>
      <c r="E15" s="6">
        <v>49.919145525824639</v>
      </c>
      <c r="F15" s="7">
        <v>9.8228133423792841</v>
      </c>
      <c r="R15" s="17">
        <v>0.45</v>
      </c>
      <c r="S15" s="1">
        <f t="shared" ca="1" si="2"/>
        <v>48.850886908697525</v>
      </c>
      <c r="T15" s="1">
        <f ca="1"/>
        <v>3</v>
      </c>
    </row>
    <row r="16" spans="1:20" x14ac:dyDescent="0.25">
      <c r="A16" s="1">
        <f t="shared" si="1"/>
        <v>15</v>
      </c>
      <c r="B16" s="2">
        <f t="shared" ca="1" si="0"/>
        <v>41.075093014845621</v>
      </c>
      <c r="D16" s="13"/>
      <c r="E16" s="6">
        <v>51.793575798874969</v>
      </c>
      <c r="F16" s="7">
        <v>10.244797185362771</v>
      </c>
      <c r="R16" s="17">
        <v>0.55000000000000004</v>
      </c>
      <c r="S16" s="1">
        <f t="shared" ca="1" si="2"/>
        <v>51.339934570792472</v>
      </c>
      <c r="T16" s="1">
        <f ca="1"/>
        <v>13</v>
      </c>
    </row>
    <row r="17" spans="1:20" x14ac:dyDescent="0.25">
      <c r="A17" s="1">
        <f t="shared" si="1"/>
        <v>16</v>
      </c>
      <c r="B17" s="2">
        <f t="shared" ca="1" si="0"/>
        <v>30.143035260471049</v>
      </c>
      <c r="D17" s="13"/>
      <c r="E17" s="6">
        <v>48.565727469577382</v>
      </c>
      <c r="F17" s="7">
        <v>10.993334230154737</v>
      </c>
      <c r="R17" s="17">
        <v>0.65</v>
      </c>
      <c r="S17" s="1">
        <f t="shared" ca="1" si="2"/>
        <v>53.911544459747233</v>
      </c>
      <c r="T17" s="1">
        <f ca="1"/>
        <v>4</v>
      </c>
    </row>
    <row r="18" spans="1:20" x14ac:dyDescent="0.25">
      <c r="A18" s="1">
        <f t="shared" si="1"/>
        <v>17</v>
      </c>
      <c r="B18" s="2">
        <f t="shared" ca="1" si="0"/>
        <v>58.772640191994199</v>
      </c>
      <c r="D18" s="13"/>
      <c r="E18" s="6">
        <v>50.526442392236895</v>
      </c>
      <c r="F18" s="7">
        <v>10.204968118199544</v>
      </c>
      <c r="R18" s="17">
        <v>0.75</v>
      </c>
      <c r="S18" s="1">
        <f t="shared" ca="1" si="2"/>
        <v>56.775416874681511</v>
      </c>
      <c r="T18" s="1">
        <f ca="1"/>
        <v>0</v>
      </c>
    </row>
    <row r="19" spans="1:20" x14ac:dyDescent="0.25">
      <c r="A19" s="1">
        <f t="shared" si="1"/>
        <v>18</v>
      </c>
      <c r="B19" s="2">
        <f t="shared" ca="1" si="0"/>
        <v>66.146232689507613</v>
      </c>
      <c r="D19" s="13"/>
      <c r="E19" s="6">
        <v>48.4003596011704</v>
      </c>
      <c r="F19" s="7">
        <v>10.219618314576367</v>
      </c>
      <c r="R19" s="17">
        <v>0.85</v>
      </c>
      <c r="S19" s="1">
        <f t="shared" ca="1" si="2"/>
        <v>60.360031363348035</v>
      </c>
      <c r="T19" s="1">
        <f ca="1"/>
        <v>0</v>
      </c>
    </row>
    <row r="20" spans="1:20" x14ac:dyDescent="0.25">
      <c r="A20" s="1">
        <f t="shared" si="1"/>
        <v>19</v>
      </c>
      <c r="B20" s="2">
        <f t="shared" ca="1" si="0"/>
        <v>47.454503674497687</v>
      </c>
      <c r="D20" s="13"/>
      <c r="E20" s="6">
        <v>51.49603042604717</v>
      </c>
      <c r="F20" s="7">
        <v>10.010861161626352</v>
      </c>
    </row>
    <row r="21" spans="1:20" x14ac:dyDescent="0.25">
      <c r="A21" s="1">
        <f t="shared" si="1"/>
        <v>20</v>
      </c>
      <c r="B21" s="2">
        <f t="shared" ca="1" si="0"/>
        <v>42.436975718031384</v>
      </c>
      <c r="D21" s="13"/>
      <c r="E21" s="6">
        <v>52.116587413701311</v>
      </c>
      <c r="F21" s="7">
        <v>9.9574996027443721</v>
      </c>
    </row>
    <row r="22" spans="1:20" ht="15.75" thickBot="1" x14ac:dyDescent="0.3">
      <c r="A22" s="1">
        <f t="shared" si="1"/>
        <v>21</v>
      </c>
      <c r="B22" s="2">
        <f t="shared" ca="1" si="0"/>
        <v>56.229277470614385</v>
      </c>
      <c r="D22" s="14"/>
      <c r="E22" s="8">
        <v>48.502351091881089</v>
      </c>
      <c r="F22" s="9">
        <v>10.59933979532569</v>
      </c>
    </row>
    <row r="23" spans="1:20" x14ac:dyDescent="0.25">
      <c r="A23" s="1">
        <f t="shared" si="1"/>
        <v>22</v>
      </c>
      <c r="B23" s="2">
        <f t="shared" ca="1" si="0"/>
        <v>53.094901227562666</v>
      </c>
    </row>
    <row r="24" spans="1:20" x14ac:dyDescent="0.25">
      <c r="A24" s="1">
        <f t="shared" si="1"/>
        <v>23</v>
      </c>
      <c r="B24" s="2">
        <f t="shared" ca="1" si="0"/>
        <v>49.862774349221077</v>
      </c>
      <c r="D24" s="15">
        <v>0</v>
      </c>
      <c r="E24" s="10">
        <f ca="1">AVERAGE($E$2:$E$22)</f>
        <v>50.095410739744999</v>
      </c>
      <c r="F24" s="2">
        <f ca="1">AVERAGE(F2:F22)</f>
        <v>9.9037919152879059</v>
      </c>
    </row>
    <row r="25" spans="1:20" x14ac:dyDescent="0.25">
      <c r="A25" s="1">
        <f t="shared" si="1"/>
        <v>24</v>
      </c>
      <c r="B25" s="2">
        <f t="shared" ca="1" si="0"/>
        <v>29.370271908447485</v>
      </c>
      <c r="D25" s="15">
        <v>20</v>
      </c>
      <c r="E25" s="10">
        <f ca="1">AVERAGE($E$2:$E$22)</f>
        <v>50.095410739744999</v>
      </c>
    </row>
    <row r="26" spans="1:20" x14ac:dyDescent="0.25">
      <c r="A26" s="1">
        <f t="shared" si="1"/>
        <v>25</v>
      </c>
      <c r="B26" s="2">
        <f t="shared" ca="1" si="0"/>
        <v>54.388006708176576</v>
      </c>
    </row>
    <row r="27" spans="1:20" x14ac:dyDescent="0.25">
      <c r="A27" s="1">
        <f t="shared" si="1"/>
        <v>26</v>
      </c>
      <c r="B27" s="2">
        <f t="shared" ca="1" si="0"/>
        <v>57.37605198010565</v>
      </c>
      <c r="D27" s="18"/>
      <c r="E27" s="18"/>
    </row>
    <row r="28" spans="1:20" x14ac:dyDescent="0.25">
      <c r="A28" s="1">
        <f t="shared" si="1"/>
        <v>27</v>
      </c>
      <c r="B28" s="2">
        <f t="shared" ca="1" si="0"/>
        <v>52.935331223425543</v>
      </c>
      <c r="D28" s="18"/>
      <c r="E28" s="18"/>
    </row>
    <row r="29" spans="1:20" x14ac:dyDescent="0.25">
      <c r="A29" s="1">
        <f t="shared" si="1"/>
        <v>28</v>
      </c>
      <c r="B29" s="2">
        <f t="shared" ca="1" si="0"/>
        <v>61.844114144727911</v>
      </c>
      <c r="D29" s="18"/>
      <c r="E29" s="18"/>
    </row>
    <row r="30" spans="1:20" x14ac:dyDescent="0.25">
      <c r="A30" s="1">
        <f t="shared" si="1"/>
        <v>29</v>
      </c>
      <c r="B30" s="2">
        <f t="shared" ca="1" si="0"/>
        <v>48.257400935114731</v>
      </c>
      <c r="D30" s="18"/>
      <c r="E30" s="18"/>
    </row>
    <row r="31" spans="1:20" x14ac:dyDescent="0.25">
      <c r="A31" s="1">
        <f t="shared" si="1"/>
        <v>30</v>
      </c>
      <c r="B31" s="2">
        <f t="shared" ca="1" si="0"/>
        <v>44.852552121903095</v>
      </c>
      <c r="D31" s="18"/>
      <c r="E31" s="18"/>
    </row>
    <row r="32" spans="1:20" x14ac:dyDescent="0.25">
      <c r="A32" s="1">
        <f t="shared" si="1"/>
        <v>31</v>
      </c>
      <c r="B32" s="2">
        <f t="shared" ca="1" si="0"/>
        <v>54.087609320005981</v>
      </c>
      <c r="D32" s="18"/>
      <c r="E32" s="18"/>
    </row>
    <row r="33" spans="1:6" x14ac:dyDescent="0.25">
      <c r="A33" s="1">
        <f t="shared" si="1"/>
        <v>32</v>
      </c>
      <c r="B33" s="2">
        <f t="shared" ca="1" si="0"/>
        <v>59.000084955119057</v>
      </c>
    </row>
    <row r="34" spans="1:6" x14ac:dyDescent="0.25">
      <c r="A34" s="1">
        <f t="shared" si="1"/>
        <v>33</v>
      </c>
      <c r="B34" s="2">
        <f t="shared" ref="B34:B65" ca="1" si="3">NORMINV(RAND(),50,10)</f>
        <v>59.018501398096305</v>
      </c>
      <c r="F34" s="16"/>
    </row>
    <row r="35" spans="1:6" x14ac:dyDescent="0.25">
      <c r="A35" s="1">
        <f t="shared" si="1"/>
        <v>34</v>
      </c>
      <c r="B35" s="2">
        <f t="shared" ca="1" si="3"/>
        <v>58.159763811693281</v>
      </c>
    </row>
    <row r="36" spans="1:6" x14ac:dyDescent="0.25">
      <c r="A36" s="1">
        <f t="shared" si="1"/>
        <v>35</v>
      </c>
      <c r="B36" s="2">
        <f t="shared" ca="1" si="3"/>
        <v>50.211400156787917</v>
      </c>
    </row>
    <row r="37" spans="1:6" x14ac:dyDescent="0.25">
      <c r="A37" s="1">
        <f t="shared" si="1"/>
        <v>36</v>
      </c>
      <c r="B37" s="2">
        <f t="shared" ca="1" si="3"/>
        <v>58.378618844690628</v>
      </c>
    </row>
    <row r="38" spans="1:6" x14ac:dyDescent="0.25">
      <c r="A38" s="1">
        <f t="shared" si="1"/>
        <v>37</v>
      </c>
      <c r="B38" s="2">
        <f t="shared" ca="1" si="3"/>
        <v>48.107996174301576</v>
      </c>
    </row>
    <row r="39" spans="1:6" x14ac:dyDescent="0.25">
      <c r="A39" s="1">
        <f t="shared" si="1"/>
        <v>38</v>
      </c>
      <c r="B39" s="2">
        <f t="shared" ca="1" si="3"/>
        <v>42.205037154519303</v>
      </c>
    </row>
    <row r="40" spans="1:6" x14ac:dyDescent="0.25">
      <c r="A40" s="1">
        <f t="shared" si="1"/>
        <v>39</v>
      </c>
      <c r="B40" s="2">
        <f t="shared" ca="1" si="3"/>
        <v>36.277473026764554</v>
      </c>
    </row>
    <row r="41" spans="1:6" x14ac:dyDescent="0.25">
      <c r="A41" s="1">
        <f t="shared" si="1"/>
        <v>40</v>
      </c>
      <c r="B41" s="2">
        <f t="shared" ca="1" si="3"/>
        <v>49.262580917040822</v>
      </c>
    </row>
    <row r="42" spans="1:6" x14ac:dyDescent="0.25">
      <c r="A42" s="1">
        <f t="shared" si="1"/>
        <v>41</v>
      </c>
      <c r="B42" s="2">
        <f t="shared" ca="1" si="3"/>
        <v>55.719293859872309</v>
      </c>
    </row>
    <row r="43" spans="1:6" x14ac:dyDescent="0.25">
      <c r="A43" s="1">
        <f t="shared" si="1"/>
        <v>42</v>
      </c>
      <c r="B43" s="2">
        <f t="shared" ca="1" si="3"/>
        <v>53.910432107373651</v>
      </c>
    </row>
    <row r="44" spans="1:6" x14ac:dyDescent="0.25">
      <c r="A44" s="1">
        <f t="shared" si="1"/>
        <v>43</v>
      </c>
      <c r="B44" s="2">
        <f t="shared" ca="1" si="3"/>
        <v>40.640792276999377</v>
      </c>
    </row>
    <row r="45" spans="1:6" x14ac:dyDescent="0.25">
      <c r="A45" s="1">
        <f t="shared" si="1"/>
        <v>44</v>
      </c>
      <c r="B45" s="2">
        <f t="shared" ca="1" si="3"/>
        <v>56.730785735476317</v>
      </c>
    </row>
    <row r="46" spans="1:6" x14ac:dyDescent="0.25">
      <c r="A46" s="1">
        <f t="shared" si="1"/>
        <v>45</v>
      </c>
      <c r="B46" s="2">
        <f t="shared" ca="1" si="3"/>
        <v>43.813373795489653</v>
      </c>
    </row>
    <row r="47" spans="1:6" x14ac:dyDescent="0.25">
      <c r="A47" s="1">
        <f t="shared" si="1"/>
        <v>46</v>
      </c>
      <c r="B47" s="2">
        <f t="shared" ca="1" si="3"/>
        <v>46.728951582789264</v>
      </c>
    </row>
    <row r="48" spans="1:6" x14ac:dyDescent="0.25">
      <c r="A48" s="1">
        <f t="shared" si="1"/>
        <v>47</v>
      </c>
      <c r="B48" s="2">
        <f t="shared" ca="1" si="3"/>
        <v>50.195456754395622</v>
      </c>
    </row>
    <row r="49" spans="1:2" x14ac:dyDescent="0.25">
      <c r="A49" s="1">
        <f t="shared" si="1"/>
        <v>48</v>
      </c>
      <c r="B49" s="2">
        <f t="shared" ca="1" si="3"/>
        <v>49.137834751468567</v>
      </c>
    </row>
    <row r="50" spans="1:2" x14ac:dyDescent="0.25">
      <c r="A50" s="1">
        <f t="shared" si="1"/>
        <v>49</v>
      </c>
      <c r="B50" s="2">
        <f t="shared" ca="1" si="3"/>
        <v>64.005123969401851</v>
      </c>
    </row>
    <row r="51" spans="1:2" x14ac:dyDescent="0.25">
      <c r="A51" s="1">
        <f t="shared" si="1"/>
        <v>50</v>
      </c>
      <c r="B51" s="2">
        <f t="shared" ca="1" si="3"/>
        <v>48.895066405810034</v>
      </c>
    </row>
    <row r="52" spans="1:2" x14ac:dyDescent="0.25">
      <c r="A52" s="1">
        <f t="shared" si="1"/>
        <v>51</v>
      </c>
      <c r="B52" s="2">
        <f t="shared" ca="1" si="3"/>
        <v>42.439606793085034</v>
      </c>
    </row>
    <row r="53" spans="1:2" x14ac:dyDescent="0.25">
      <c r="A53" s="1">
        <f t="shared" si="1"/>
        <v>52</v>
      </c>
      <c r="B53" s="2">
        <f t="shared" ca="1" si="3"/>
        <v>46.208169999922113</v>
      </c>
    </row>
    <row r="54" spans="1:2" x14ac:dyDescent="0.25">
      <c r="A54" s="1">
        <f t="shared" si="1"/>
        <v>53</v>
      </c>
      <c r="B54" s="2">
        <f t="shared" ca="1" si="3"/>
        <v>51.731809757966609</v>
      </c>
    </row>
    <row r="55" spans="1:2" x14ac:dyDescent="0.25">
      <c r="A55" s="1">
        <f t="shared" si="1"/>
        <v>54</v>
      </c>
      <c r="B55" s="2">
        <f t="shared" ca="1" si="3"/>
        <v>60.307731001703232</v>
      </c>
    </row>
    <row r="56" spans="1:2" x14ac:dyDescent="0.25">
      <c r="A56" s="1">
        <f t="shared" si="1"/>
        <v>55</v>
      </c>
      <c r="B56" s="2">
        <f t="shared" ca="1" si="3"/>
        <v>46.109129746503903</v>
      </c>
    </row>
    <row r="57" spans="1:2" x14ac:dyDescent="0.25">
      <c r="A57" s="1">
        <f t="shared" si="1"/>
        <v>56</v>
      </c>
      <c r="B57" s="2">
        <f t="shared" ca="1" si="3"/>
        <v>27.630531891147893</v>
      </c>
    </row>
    <row r="58" spans="1:2" x14ac:dyDescent="0.25">
      <c r="A58" s="1">
        <f t="shared" si="1"/>
        <v>57</v>
      </c>
      <c r="B58" s="2">
        <f t="shared" ca="1" si="3"/>
        <v>43.63722548085903</v>
      </c>
    </row>
    <row r="59" spans="1:2" x14ac:dyDescent="0.25">
      <c r="A59" s="1">
        <f t="shared" si="1"/>
        <v>58</v>
      </c>
      <c r="B59" s="2">
        <f t="shared" ca="1" si="3"/>
        <v>45.151088143378125</v>
      </c>
    </row>
    <row r="60" spans="1:2" x14ac:dyDescent="0.25">
      <c r="A60" s="1">
        <f t="shared" si="1"/>
        <v>59</v>
      </c>
      <c r="B60" s="2">
        <f t="shared" ca="1" si="3"/>
        <v>37.267698894682518</v>
      </c>
    </row>
    <row r="61" spans="1:2" x14ac:dyDescent="0.25">
      <c r="A61" s="1">
        <f t="shared" si="1"/>
        <v>60</v>
      </c>
      <c r="B61" s="2">
        <f t="shared" ca="1" si="3"/>
        <v>48.3248298496949</v>
      </c>
    </row>
    <row r="62" spans="1:2" x14ac:dyDescent="0.25">
      <c r="A62" s="1">
        <f t="shared" si="1"/>
        <v>61</v>
      </c>
      <c r="B62" s="2">
        <f t="shared" ca="1" si="3"/>
        <v>30.563651300208381</v>
      </c>
    </row>
    <row r="63" spans="1:2" x14ac:dyDescent="0.25">
      <c r="A63" s="1">
        <f t="shared" si="1"/>
        <v>62</v>
      </c>
      <c r="B63" s="2">
        <f t="shared" ca="1" si="3"/>
        <v>38.950187668524485</v>
      </c>
    </row>
    <row r="64" spans="1:2" x14ac:dyDescent="0.25">
      <c r="A64" s="1">
        <f t="shared" si="1"/>
        <v>63</v>
      </c>
      <c r="B64" s="2">
        <f t="shared" ca="1" si="3"/>
        <v>63.988702860742364</v>
      </c>
    </row>
    <row r="65" spans="1:2" x14ac:dyDescent="0.25">
      <c r="A65" s="1">
        <f t="shared" si="1"/>
        <v>64</v>
      </c>
      <c r="B65" s="2">
        <f t="shared" ca="1" si="3"/>
        <v>55.074009241615727</v>
      </c>
    </row>
    <row r="66" spans="1:2" x14ac:dyDescent="0.25">
      <c r="A66" s="1">
        <f t="shared" si="1"/>
        <v>65</v>
      </c>
      <c r="B66" s="2">
        <f t="shared" ref="B66:B102" ca="1" si="4">NORMINV(RAND(),50,10)</f>
        <v>34.104072350088956</v>
      </c>
    </row>
    <row r="67" spans="1:2" x14ac:dyDescent="0.25">
      <c r="A67" s="1">
        <f t="shared" ref="A67:A101" si="5">ROW(A66)</f>
        <v>66</v>
      </c>
      <c r="B67" s="2">
        <f t="shared" ca="1" si="4"/>
        <v>50.693336034795692</v>
      </c>
    </row>
    <row r="68" spans="1:2" x14ac:dyDescent="0.25">
      <c r="A68" s="1">
        <f t="shared" si="5"/>
        <v>67</v>
      </c>
      <c r="B68" s="2">
        <f t="shared" ca="1" si="4"/>
        <v>59.105612854104322</v>
      </c>
    </row>
    <row r="69" spans="1:2" x14ac:dyDescent="0.25">
      <c r="A69" s="1">
        <f t="shared" si="5"/>
        <v>68</v>
      </c>
      <c r="B69" s="2">
        <f t="shared" ca="1" si="4"/>
        <v>38.330549095033803</v>
      </c>
    </row>
    <row r="70" spans="1:2" x14ac:dyDescent="0.25">
      <c r="A70" s="1">
        <f t="shared" si="5"/>
        <v>69</v>
      </c>
      <c r="B70" s="2">
        <f t="shared" ca="1" si="4"/>
        <v>56.966433642048536</v>
      </c>
    </row>
    <row r="71" spans="1:2" x14ac:dyDescent="0.25">
      <c r="A71" s="1">
        <f t="shared" si="5"/>
        <v>70</v>
      </c>
      <c r="B71" s="2">
        <f t="shared" ca="1" si="4"/>
        <v>53.03858414568758</v>
      </c>
    </row>
    <row r="72" spans="1:2" x14ac:dyDescent="0.25">
      <c r="A72" s="1">
        <f t="shared" si="5"/>
        <v>71</v>
      </c>
      <c r="B72" s="2">
        <f t="shared" ca="1" si="4"/>
        <v>63.444912288632672</v>
      </c>
    </row>
    <row r="73" spans="1:2" x14ac:dyDescent="0.25">
      <c r="A73" s="1">
        <f t="shared" si="5"/>
        <v>72</v>
      </c>
      <c r="B73" s="2">
        <f t="shared" ca="1" si="4"/>
        <v>51.351826857102303</v>
      </c>
    </row>
    <row r="74" spans="1:2" x14ac:dyDescent="0.25">
      <c r="A74" s="1">
        <f t="shared" si="5"/>
        <v>73</v>
      </c>
      <c r="B74" s="2">
        <f t="shared" ca="1" si="4"/>
        <v>32.929403302312778</v>
      </c>
    </row>
    <row r="75" spans="1:2" x14ac:dyDescent="0.25">
      <c r="A75" s="1">
        <f t="shared" si="5"/>
        <v>74</v>
      </c>
      <c r="B75" s="2">
        <f t="shared" ca="1" si="4"/>
        <v>58.342031230560622</v>
      </c>
    </row>
    <row r="76" spans="1:2" x14ac:dyDescent="0.25">
      <c r="A76" s="1">
        <f t="shared" si="5"/>
        <v>75</v>
      </c>
      <c r="B76" s="2">
        <f t="shared" ca="1" si="4"/>
        <v>46.630758888488764</v>
      </c>
    </row>
    <row r="77" spans="1:2" x14ac:dyDescent="0.25">
      <c r="A77" s="1">
        <f t="shared" si="5"/>
        <v>76</v>
      </c>
      <c r="B77" s="2">
        <f t="shared" ca="1" si="4"/>
        <v>36.413583381049243</v>
      </c>
    </row>
    <row r="78" spans="1:2" x14ac:dyDescent="0.25">
      <c r="A78" s="1">
        <f t="shared" si="5"/>
        <v>77</v>
      </c>
      <c r="B78" s="2">
        <f t="shared" ca="1" si="4"/>
        <v>53.538563978238685</v>
      </c>
    </row>
    <row r="79" spans="1:2" x14ac:dyDescent="0.25">
      <c r="A79" s="1">
        <f t="shared" si="5"/>
        <v>78</v>
      </c>
      <c r="B79" s="2">
        <f t="shared" ca="1" si="4"/>
        <v>58.400651209050643</v>
      </c>
    </row>
    <row r="80" spans="1:2" x14ac:dyDescent="0.25">
      <c r="A80" s="1">
        <f t="shared" si="5"/>
        <v>79</v>
      </c>
      <c r="B80" s="2">
        <f t="shared" ca="1" si="4"/>
        <v>52.063471382433356</v>
      </c>
    </row>
    <row r="81" spans="1:2" x14ac:dyDescent="0.25">
      <c r="A81" s="1">
        <f t="shared" si="5"/>
        <v>80</v>
      </c>
      <c r="B81" s="2">
        <f t="shared" ca="1" si="4"/>
        <v>49.991654180041905</v>
      </c>
    </row>
    <row r="82" spans="1:2" x14ac:dyDescent="0.25">
      <c r="A82" s="1">
        <f t="shared" si="5"/>
        <v>81</v>
      </c>
      <c r="B82" s="2">
        <f t="shared" ca="1" si="4"/>
        <v>46.239211281242412</v>
      </c>
    </row>
    <row r="83" spans="1:2" x14ac:dyDescent="0.25">
      <c r="A83" s="1">
        <f t="shared" si="5"/>
        <v>82</v>
      </c>
      <c r="B83" s="2">
        <f t="shared" ca="1" si="4"/>
        <v>48.250883044341656</v>
      </c>
    </row>
    <row r="84" spans="1:2" x14ac:dyDescent="0.25">
      <c r="A84" s="1">
        <f t="shared" si="5"/>
        <v>83</v>
      </c>
      <c r="B84" s="2">
        <f t="shared" ca="1" si="4"/>
        <v>49.027781624843819</v>
      </c>
    </row>
    <row r="85" spans="1:2" x14ac:dyDescent="0.25">
      <c r="A85" s="1">
        <f t="shared" si="5"/>
        <v>84</v>
      </c>
      <c r="B85" s="2">
        <f t="shared" ca="1" si="4"/>
        <v>47.317889215727028</v>
      </c>
    </row>
    <row r="86" spans="1:2" x14ac:dyDescent="0.25">
      <c r="A86" s="1">
        <f t="shared" si="5"/>
        <v>85</v>
      </c>
      <c r="B86" s="2">
        <f t="shared" ca="1" si="4"/>
        <v>44.821456088088546</v>
      </c>
    </row>
    <row r="87" spans="1:2" x14ac:dyDescent="0.25">
      <c r="A87" s="1">
        <f t="shared" si="5"/>
        <v>86</v>
      </c>
      <c r="B87" s="2">
        <f t="shared" ca="1" si="4"/>
        <v>51.877051334776361</v>
      </c>
    </row>
    <row r="88" spans="1:2" x14ac:dyDescent="0.25">
      <c r="A88" s="1">
        <f t="shared" si="5"/>
        <v>87</v>
      </c>
      <c r="B88" s="2">
        <f t="shared" ca="1" si="4"/>
        <v>45.563761588481235</v>
      </c>
    </row>
    <row r="89" spans="1:2" x14ac:dyDescent="0.25">
      <c r="A89" s="1">
        <f t="shared" si="5"/>
        <v>88</v>
      </c>
      <c r="B89" s="2">
        <f t="shared" ca="1" si="4"/>
        <v>54.04727204165696</v>
      </c>
    </row>
    <row r="90" spans="1:2" x14ac:dyDescent="0.25">
      <c r="A90" s="1">
        <f t="shared" si="5"/>
        <v>89</v>
      </c>
      <c r="B90" s="2">
        <f t="shared" ca="1" si="4"/>
        <v>44.603404579098815</v>
      </c>
    </row>
    <row r="91" spans="1:2" x14ac:dyDescent="0.25">
      <c r="A91" s="1">
        <f t="shared" si="5"/>
        <v>90</v>
      </c>
      <c r="B91" s="2">
        <f t="shared" ca="1" si="4"/>
        <v>44.83380671636229</v>
      </c>
    </row>
    <row r="92" spans="1:2" x14ac:dyDescent="0.25">
      <c r="A92" s="1">
        <f t="shared" si="5"/>
        <v>91</v>
      </c>
      <c r="B92" s="2">
        <f t="shared" ca="1" si="4"/>
        <v>49.475886096973269</v>
      </c>
    </row>
    <row r="93" spans="1:2" x14ac:dyDescent="0.25">
      <c r="A93" s="1">
        <f t="shared" si="5"/>
        <v>92</v>
      </c>
      <c r="B93" s="2">
        <f t="shared" ca="1" si="4"/>
        <v>50.403661799242904</v>
      </c>
    </row>
    <row r="94" spans="1:2" x14ac:dyDescent="0.25">
      <c r="A94" s="1">
        <f t="shared" si="5"/>
        <v>93</v>
      </c>
      <c r="B94" s="2">
        <f t="shared" ca="1" si="4"/>
        <v>46.985195704168085</v>
      </c>
    </row>
    <row r="95" spans="1:2" x14ac:dyDescent="0.25">
      <c r="A95" s="1">
        <f t="shared" si="5"/>
        <v>94</v>
      </c>
      <c r="B95" s="2">
        <f t="shared" ca="1" si="4"/>
        <v>48.338635851072048</v>
      </c>
    </row>
    <row r="96" spans="1:2" x14ac:dyDescent="0.25">
      <c r="A96" s="1">
        <f t="shared" si="5"/>
        <v>95</v>
      </c>
      <c r="B96" s="2">
        <f t="shared" ca="1" si="4"/>
        <v>52.472758247413452</v>
      </c>
    </row>
    <row r="97" spans="1:2" x14ac:dyDescent="0.25">
      <c r="A97" s="1">
        <f t="shared" si="5"/>
        <v>96</v>
      </c>
      <c r="B97" s="2">
        <f t="shared" ca="1" si="4"/>
        <v>44.388690548300424</v>
      </c>
    </row>
    <row r="98" spans="1:2" x14ac:dyDescent="0.25">
      <c r="A98" s="1">
        <f t="shared" si="5"/>
        <v>97</v>
      </c>
      <c r="B98" s="2">
        <f t="shared" ca="1" si="4"/>
        <v>49.278370399679453</v>
      </c>
    </row>
    <row r="99" spans="1:2" x14ac:dyDescent="0.25">
      <c r="A99" s="1">
        <f t="shared" si="5"/>
        <v>98</v>
      </c>
      <c r="B99" s="2">
        <f t="shared" ca="1" si="4"/>
        <v>51.169355652910021</v>
      </c>
    </row>
    <row r="100" spans="1:2" x14ac:dyDescent="0.25">
      <c r="A100" s="1">
        <f t="shared" si="5"/>
        <v>99</v>
      </c>
      <c r="B100" s="2">
        <f t="shared" ca="1" si="4"/>
        <v>49.465167730380891</v>
      </c>
    </row>
    <row r="101" spans="1:2" x14ac:dyDescent="0.25">
      <c r="A101" s="1">
        <f t="shared" si="5"/>
        <v>100</v>
      </c>
      <c r="B101" s="2">
        <f t="shared" ca="1" si="4"/>
        <v>68.099408595895895</v>
      </c>
    </row>
    <row r="102" spans="1:2" x14ac:dyDescent="0.25">
      <c r="B102" s="1">
        <f t="shared" ca="1" si="4"/>
        <v>65.833580544658673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102"/>
  <sheetViews>
    <sheetView zoomScale="110" zoomScaleNormal="110" workbookViewId="0"/>
  </sheetViews>
  <sheetFormatPr defaultRowHeight="15" x14ac:dyDescent="0.25"/>
  <cols>
    <col min="1" max="16384" width="9.140625" style="1"/>
  </cols>
  <sheetData>
    <row r="1" spans="1:20" ht="15.75" thickBot="1" x14ac:dyDescent="0.3">
      <c r="A1" s="11" t="s">
        <v>2</v>
      </c>
      <c r="B1" s="11" t="s">
        <v>3</v>
      </c>
      <c r="C1" s="11"/>
      <c r="D1" s="11"/>
      <c r="E1" s="11" t="s">
        <v>1</v>
      </c>
      <c r="F1" s="11" t="s">
        <v>0</v>
      </c>
    </row>
    <row r="2" spans="1:20" ht="15.75" thickBot="1" x14ac:dyDescent="0.3">
      <c r="A2" s="1">
        <f>ROW(A1)</f>
        <v>1</v>
      </c>
      <c r="B2" s="2">
        <v>56.945336790560908</v>
      </c>
      <c r="D2" s="12"/>
      <c r="E2" s="3">
        <f>AVERAGE(B:B)</f>
        <v>51.010834799064931</v>
      </c>
      <c r="F2" s="4">
        <f>STDEV(B:B)</f>
        <v>9.8525985733391135</v>
      </c>
    </row>
    <row r="3" spans="1:20" x14ac:dyDescent="0.25">
      <c r="A3" s="1">
        <f t="shared" ref="A3:A66" si="0">ROW(A2)</f>
        <v>2</v>
      </c>
      <c r="B3" s="2">
        <v>43.421909374109227</v>
      </c>
      <c r="D3" s="13"/>
      <c r="E3" s="5">
        <f t="dataTable" ref="E3:F22" dt2D="0" dtr="0" r1="C1"/>
        <v>51.010834799064931</v>
      </c>
      <c r="F3" s="4">
        <v>9.8525985733391135</v>
      </c>
    </row>
    <row r="4" spans="1:20" x14ac:dyDescent="0.25">
      <c r="A4" s="1">
        <f t="shared" si="0"/>
        <v>3</v>
      </c>
      <c r="B4" s="2">
        <v>57.881063639461487</v>
      </c>
      <c r="D4" s="13"/>
      <c r="E4" s="6">
        <v>51.010834799064931</v>
      </c>
      <c r="F4" s="7">
        <v>9.8525985733391135</v>
      </c>
    </row>
    <row r="5" spans="1:20" x14ac:dyDescent="0.25">
      <c r="A5" s="1">
        <f t="shared" si="0"/>
        <v>4</v>
      </c>
      <c r="B5" s="2">
        <v>32.426613907655067</v>
      </c>
      <c r="D5" s="13"/>
      <c r="E5" s="6">
        <v>51.010834799064931</v>
      </c>
      <c r="F5" s="7">
        <v>9.8525985733391135</v>
      </c>
    </row>
    <row r="6" spans="1:20" x14ac:dyDescent="0.25">
      <c r="A6" s="1">
        <f t="shared" si="0"/>
        <v>5</v>
      </c>
      <c r="B6" s="2">
        <v>56.32160877137833</v>
      </c>
      <c r="D6" s="13"/>
      <c r="E6" s="6">
        <v>51.010834799064931</v>
      </c>
      <c r="F6" s="7">
        <v>9.8525985733391135</v>
      </c>
    </row>
    <row r="7" spans="1:20" x14ac:dyDescent="0.25">
      <c r="A7" s="1">
        <f t="shared" si="0"/>
        <v>6</v>
      </c>
      <c r="B7" s="2">
        <v>58.492001895672168</v>
      </c>
      <c r="D7" s="13"/>
      <c r="E7" s="6">
        <v>51.010834799064931</v>
      </c>
      <c r="F7" s="7">
        <v>9.8525985733391135</v>
      </c>
    </row>
    <row r="8" spans="1:20" x14ac:dyDescent="0.25">
      <c r="A8" s="1">
        <f t="shared" si="0"/>
        <v>7</v>
      </c>
      <c r="B8" s="2">
        <v>44.146555938843235</v>
      </c>
      <c r="D8" s="13"/>
      <c r="E8" s="6">
        <v>51.010834799064931</v>
      </c>
      <c r="F8" s="7">
        <v>9.8525985733391135</v>
      </c>
    </row>
    <row r="9" spans="1:20" x14ac:dyDescent="0.25">
      <c r="A9" s="1">
        <f t="shared" si="0"/>
        <v>8</v>
      </c>
      <c r="B9" s="2">
        <v>42.435491670190316</v>
      </c>
      <c r="D9" s="13"/>
      <c r="E9" s="6">
        <v>51.010834799064931</v>
      </c>
      <c r="F9" s="7">
        <v>9.8525985733391135</v>
      </c>
    </row>
    <row r="10" spans="1:20" x14ac:dyDescent="0.25">
      <c r="A10" s="1">
        <f t="shared" si="0"/>
        <v>9</v>
      </c>
      <c r="B10" s="2">
        <v>34.22414490226064</v>
      </c>
      <c r="D10" s="13"/>
      <c r="E10" s="6">
        <v>51.010834799064931</v>
      </c>
      <c r="F10" s="7">
        <v>9.8525985733391135</v>
      </c>
    </row>
    <row r="11" spans="1:20" x14ac:dyDescent="0.25">
      <c r="A11" s="1">
        <f t="shared" si="0"/>
        <v>10</v>
      </c>
      <c r="B11" s="2">
        <v>53.670632155540801</v>
      </c>
      <c r="D11" s="13"/>
      <c r="E11" s="6">
        <v>51.010834799064931</v>
      </c>
      <c r="F11" s="7">
        <v>9.8525985733391135</v>
      </c>
    </row>
    <row r="12" spans="1:20" x14ac:dyDescent="0.25">
      <c r="A12" s="1">
        <f t="shared" si="0"/>
        <v>11</v>
      </c>
      <c r="B12" s="2">
        <v>36.094438107894604</v>
      </c>
      <c r="D12" s="13"/>
      <c r="E12" s="6">
        <v>51.010834799064931</v>
      </c>
      <c r="F12" s="7">
        <v>9.8525985733391135</v>
      </c>
      <c r="R12" s="17">
        <v>0.15</v>
      </c>
      <c r="S12" s="1">
        <f t="shared" ref="S12:S19" si="1">NORMINV(R12,$E$24,$F$24)</f>
        <v>40.799272664377398</v>
      </c>
      <c r="T12" s="1">
        <f t="array" ref="T12:T19">FREQUENCY(E3:E23,S12:S20)</f>
        <v>0</v>
      </c>
    </row>
    <row r="13" spans="1:20" x14ac:dyDescent="0.25">
      <c r="A13" s="1">
        <f t="shared" si="0"/>
        <v>12</v>
      </c>
      <c r="B13" s="2">
        <v>39.002097456482971</v>
      </c>
      <c r="D13" s="13"/>
      <c r="E13" s="6">
        <v>51.010834799064931</v>
      </c>
      <c r="F13" s="7">
        <v>9.8525985733391135</v>
      </c>
      <c r="R13" s="17">
        <v>0.25</v>
      </c>
      <c r="S13" s="1">
        <f t="shared" si="1"/>
        <v>44.365358048551165</v>
      </c>
      <c r="T13" s="1">
        <v>0</v>
      </c>
    </row>
    <row r="14" spans="1:20" x14ac:dyDescent="0.25">
      <c r="A14" s="1">
        <f t="shared" si="0"/>
        <v>13</v>
      </c>
      <c r="B14" s="2">
        <v>49.078656134854889</v>
      </c>
      <c r="D14" s="13"/>
      <c r="E14" s="6">
        <v>51.010834799064931</v>
      </c>
      <c r="F14" s="7">
        <v>9.8525985733391135</v>
      </c>
      <c r="R14" s="17">
        <v>0.35</v>
      </c>
      <c r="S14" s="1">
        <f t="shared" si="1"/>
        <v>47.214426921459371</v>
      </c>
      <c r="T14" s="1">
        <v>0</v>
      </c>
    </row>
    <row r="15" spans="1:20" x14ac:dyDescent="0.25">
      <c r="A15" s="1">
        <f t="shared" si="0"/>
        <v>14</v>
      </c>
      <c r="B15" s="2">
        <v>58.681883290482745</v>
      </c>
      <c r="D15" s="13"/>
      <c r="E15" s="6">
        <v>51.010834799064931</v>
      </c>
      <c r="F15" s="7">
        <v>9.8525985733391135</v>
      </c>
      <c r="R15" s="17">
        <v>0.45</v>
      </c>
      <c r="S15" s="1">
        <f t="shared" si="1"/>
        <v>49.772743992316762</v>
      </c>
      <c r="T15" s="1">
        <v>0</v>
      </c>
    </row>
    <row r="16" spans="1:20" x14ac:dyDescent="0.25">
      <c r="A16" s="1">
        <f t="shared" si="0"/>
        <v>15</v>
      </c>
      <c r="B16" s="2">
        <v>59.287999165456085</v>
      </c>
      <c r="D16" s="13"/>
      <c r="E16" s="6">
        <v>51.010834799064931</v>
      </c>
      <c r="F16" s="7">
        <v>9.8525985733391135</v>
      </c>
      <c r="R16" s="17">
        <v>0.55000000000000004</v>
      </c>
      <c r="S16" s="1">
        <f t="shared" si="1"/>
        <v>52.248925605813113</v>
      </c>
      <c r="T16" s="1">
        <v>20</v>
      </c>
    </row>
    <row r="17" spans="1:20" x14ac:dyDescent="0.25">
      <c r="A17" s="1">
        <f t="shared" si="0"/>
        <v>16</v>
      </c>
      <c r="B17" s="2">
        <v>65.597177464194857</v>
      </c>
      <c r="D17" s="13"/>
      <c r="E17" s="6">
        <v>51.010834799064931</v>
      </c>
      <c r="F17" s="7">
        <v>9.8525985733391135</v>
      </c>
      <c r="R17" s="17">
        <v>0.65</v>
      </c>
      <c r="S17" s="1">
        <f t="shared" si="1"/>
        <v>54.807242676670505</v>
      </c>
      <c r="T17" s="1">
        <v>0</v>
      </c>
    </row>
    <row r="18" spans="1:20" x14ac:dyDescent="0.25">
      <c r="A18" s="1">
        <f t="shared" si="0"/>
        <v>17</v>
      </c>
      <c r="B18" s="2">
        <v>57.979044394808909</v>
      </c>
      <c r="D18" s="13"/>
      <c r="E18" s="6">
        <v>51.010834799064931</v>
      </c>
      <c r="F18" s="7">
        <v>9.8525985733391135</v>
      </c>
      <c r="R18" s="17">
        <v>0.75</v>
      </c>
      <c r="S18" s="1">
        <f t="shared" si="1"/>
        <v>57.65631154957871</v>
      </c>
      <c r="T18" s="1">
        <v>0</v>
      </c>
    </row>
    <row r="19" spans="1:20" x14ac:dyDescent="0.25">
      <c r="A19" s="1">
        <f t="shared" si="0"/>
        <v>18</v>
      </c>
      <c r="B19" s="2">
        <v>67.864206943545298</v>
      </c>
      <c r="D19" s="13"/>
      <c r="E19" s="6">
        <v>51.010834799064931</v>
      </c>
      <c r="F19" s="7">
        <v>9.8525985733391135</v>
      </c>
      <c r="R19" s="17">
        <v>0.85</v>
      </c>
      <c r="S19" s="1">
        <f t="shared" si="1"/>
        <v>61.222396933752478</v>
      </c>
      <c r="T19" s="1">
        <v>0</v>
      </c>
    </row>
    <row r="20" spans="1:20" x14ac:dyDescent="0.25">
      <c r="A20" s="1">
        <f t="shared" si="0"/>
        <v>19</v>
      </c>
      <c r="B20" s="2">
        <v>70.138644961057565</v>
      </c>
      <c r="D20" s="13"/>
      <c r="E20" s="6">
        <v>51.010834799064931</v>
      </c>
      <c r="F20" s="7">
        <v>9.8525985733391135</v>
      </c>
    </row>
    <row r="21" spans="1:20" x14ac:dyDescent="0.25">
      <c r="A21" s="1">
        <f t="shared" si="0"/>
        <v>20</v>
      </c>
      <c r="B21" s="2">
        <v>63.432721508460048</v>
      </c>
      <c r="D21" s="13"/>
      <c r="E21" s="6">
        <v>51.010834799064931</v>
      </c>
      <c r="F21" s="7">
        <v>9.8525985733391135</v>
      </c>
    </row>
    <row r="22" spans="1:20" ht="15.75" thickBot="1" x14ac:dyDescent="0.3">
      <c r="A22" s="1">
        <f t="shared" si="0"/>
        <v>21</v>
      </c>
      <c r="B22" s="2">
        <v>63.084950181263835</v>
      </c>
      <c r="D22" s="14"/>
      <c r="E22" s="8">
        <v>51.010834799064931</v>
      </c>
      <c r="F22" s="9">
        <v>9.8525985733391135</v>
      </c>
    </row>
    <row r="23" spans="1:20" x14ac:dyDescent="0.25">
      <c r="A23" s="1">
        <f t="shared" si="0"/>
        <v>22</v>
      </c>
      <c r="B23" s="2">
        <v>36.432784578700229</v>
      </c>
    </row>
    <row r="24" spans="1:20" x14ac:dyDescent="0.25">
      <c r="A24" s="1">
        <f t="shared" si="0"/>
        <v>23</v>
      </c>
      <c r="B24" s="2">
        <v>39.220418740259902</v>
      </c>
      <c r="D24" s="15">
        <v>0</v>
      </c>
      <c r="E24" s="10">
        <f>AVERAGE($E$2:$E$22)</f>
        <v>51.010834799064938</v>
      </c>
      <c r="F24" s="2">
        <f>AVERAGE(F2:F22)</f>
        <v>9.8525985733391153</v>
      </c>
    </row>
    <row r="25" spans="1:20" x14ac:dyDescent="0.25">
      <c r="A25" s="1">
        <f t="shared" si="0"/>
        <v>24</v>
      </c>
      <c r="B25" s="2">
        <v>58.528620928451829</v>
      </c>
      <c r="D25" s="15">
        <v>20</v>
      </c>
      <c r="E25" s="10">
        <f>AVERAGE($E$2:$E$22)</f>
        <v>51.010834799064938</v>
      </c>
    </row>
    <row r="26" spans="1:20" x14ac:dyDescent="0.25">
      <c r="A26" s="1">
        <f t="shared" si="0"/>
        <v>25</v>
      </c>
      <c r="B26" s="2">
        <v>47.192911056657579</v>
      </c>
    </row>
    <row r="27" spans="1:20" x14ac:dyDescent="0.25">
      <c r="A27" s="1">
        <f t="shared" si="0"/>
        <v>26</v>
      </c>
      <c r="B27" s="2">
        <v>62.499539587618294</v>
      </c>
      <c r="D27" s="18"/>
      <c r="E27" s="18"/>
    </row>
    <row r="28" spans="1:20" x14ac:dyDescent="0.25">
      <c r="A28" s="1">
        <f t="shared" si="0"/>
        <v>27</v>
      </c>
      <c r="B28" s="2">
        <v>55.474768999415978</v>
      </c>
      <c r="D28" s="18"/>
      <c r="E28" s="18"/>
    </row>
    <row r="29" spans="1:20" x14ac:dyDescent="0.25">
      <c r="A29" s="1">
        <f t="shared" si="0"/>
        <v>28</v>
      </c>
      <c r="B29" s="2">
        <v>44.794652557727325</v>
      </c>
      <c r="D29" s="18"/>
      <c r="E29" s="18"/>
    </row>
    <row r="30" spans="1:20" x14ac:dyDescent="0.25">
      <c r="A30" s="1">
        <f t="shared" si="0"/>
        <v>29</v>
      </c>
      <c r="B30" s="2">
        <v>59.9089686216697</v>
      </c>
      <c r="D30" s="18"/>
      <c r="E30" s="18"/>
    </row>
    <row r="31" spans="1:20" x14ac:dyDescent="0.25">
      <c r="A31" s="1">
        <f t="shared" si="0"/>
        <v>30</v>
      </c>
      <c r="B31" s="2">
        <v>39.922889214860646</v>
      </c>
      <c r="D31" s="18"/>
      <c r="E31" s="18"/>
    </row>
    <row r="32" spans="1:20" x14ac:dyDescent="0.25">
      <c r="A32" s="1">
        <f t="shared" si="0"/>
        <v>31</v>
      </c>
      <c r="B32" s="2">
        <v>28.331229577858196</v>
      </c>
      <c r="D32" s="18"/>
      <c r="E32" s="18"/>
    </row>
    <row r="33" spans="1:6" x14ac:dyDescent="0.25">
      <c r="A33" s="1">
        <f t="shared" si="0"/>
        <v>32</v>
      </c>
      <c r="B33" s="2">
        <v>49.053239837615934</v>
      </c>
    </row>
    <row r="34" spans="1:6" x14ac:dyDescent="0.25">
      <c r="A34" s="1">
        <f t="shared" si="0"/>
        <v>33</v>
      </c>
      <c r="B34" s="2">
        <v>54.505478046253032</v>
      </c>
      <c r="F34" s="16"/>
    </row>
    <row r="35" spans="1:6" x14ac:dyDescent="0.25">
      <c r="A35" s="1">
        <f t="shared" si="0"/>
        <v>34</v>
      </c>
      <c r="B35" s="2">
        <v>48.863300212965726</v>
      </c>
    </row>
    <row r="36" spans="1:6" x14ac:dyDescent="0.25">
      <c r="A36" s="1">
        <f t="shared" si="0"/>
        <v>35</v>
      </c>
      <c r="B36" s="2">
        <v>48.452901740035614</v>
      </c>
    </row>
    <row r="37" spans="1:6" x14ac:dyDescent="0.25">
      <c r="A37" s="1">
        <f t="shared" si="0"/>
        <v>36</v>
      </c>
      <c r="B37" s="2">
        <v>39.620308859824107</v>
      </c>
    </row>
    <row r="38" spans="1:6" x14ac:dyDescent="0.25">
      <c r="A38" s="1">
        <f t="shared" si="0"/>
        <v>37</v>
      </c>
      <c r="B38" s="2">
        <v>71.763639320450622</v>
      </c>
    </row>
    <row r="39" spans="1:6" x14ac:dyDescent="0.25">
      <c r="A39" s="1">
        <f t="shared" si="0"/>
        <v>38</v>
      </c>
      <c r="B39" s="2">
        <v>51.367676593474378</v>
      </c>
    </row>
    <row r="40" spans="1:6" x14ac:dyDescent="0.25">
      <c r="A40" s="1">
        <f t="shared" si="0"/>
        <v>39</v>
      </c>
      <c r="B40" s="2">
        <v>64.335459140228139</v>
      </c>
    </row>
    <row r="41" spans="1:6" x14ac:dyDescent="0.25">
      <c r="A41" s="1">
        <f t="shared" si="0"/>
        <v>40</v>
      </c>
      <c r="B41" s="2">
        <v>61.705775238121014</v>
      </c>
    </row>
    <row r="42" spans="1:6" x14ac:dyDescent="0.25">
      <c r="A42" s="1">
        <f t="shared" si="0"/>
        <v>41</v>
      </c>
      <c r="B42" s="2">
        <v>46.692486152939978</v>
      </c>
    </row>
    <row r="43" spans="1:6" x14ac:dyDescent="0.25">
      <c r="A43" s="1">
        <f t="shared" si="0"/>
        <v>42</v>
      </c>
      <c r="B43" s="2">
        <v>51.382994957277099</v>
      </c>
    </row>
    <row r="44" spans="1:6" x14ac:dyDescent="0.25">
      <c r="A44" s="1">
        <f t="shared" si="0"/>
        <v>43</v>
      </c>
      <c r="B44" s="2">
        <v>59.613396720317589</v>
      </c>
    </row>
    <row r="45" spans="1:6" x14ac:dyDescent="0.25">
      <c r="A45" s="1">
        <f t="shared" si="0"/>
        <v>44</v>
      </c>
      <c r="B45" s="2">
        <v>52.66224452177444</v>
      </c>
    </row>
    <row r="46" spans="1:6" x14ac:dyDescent="0.25">
      <c r="A46" s="1">
        <f t="shared" si="0"/>
        <v>45</v>
      </c>
      <c r="B46" s="2">
        <v>41.907954910873521</v>
      </c>
    </row>
    <row r="47" spans="1:6" x14ac:dyDescent="0.25">
      <c r="A47" s="1">
        <f t="shared" si="0"/>
        <v>46</v>
      </c>
      <c r="B47" s="2">
        <v>40.787228457291377</v>
      </c>
    </row>
    <row r="48" spans="1:6" x14ac:dyDescent="0.25">
      <c r="A48" s="1">
        <f t="shared" si="0"/>
        <v>47</v>
      </c>
      <c r="B48" s="2">
        <v>65.119916284918531</v>
      </c>
    </row>
    <row r="49" spans="1:2" x14ac:dyDescent="0.25">
      <c r="A49" s="1">
        <f t="shared" si="0"/>
        <v>48</v>
      </c>
      <c r="B49" s="2">
        <v>44.394404432294237</v>
      </c>
    </row>
    <row r="50" spans="1:2" x14ac:dyDescent="0.25">
      <c r="A50" s="1">
        <f t="shared" si="0"/>
        <v>49</v>
      </c>
      <c r="B50" s="2">
        <v>73.101129530865194</v>
      </c>
    </row>
    <row r="51" spans="1:2" x14ac:dyDescent="0.25">
      <c r="A51" s="1">
        <f t="shared" si="0"/>
        <v>50</v>
      </c>
      <c r="B51" s="2">
        <v>56.346035666287293</v>
      </c>
    </row>
    <row r="52" spans="1:2" x14ac:dyDescent="0.25">
      <c r="A52" s="1">
        <f t="shared" si="0"/>
        <v>51</v>
      </c>
      <c r="B52" s="2">
        <v>64.403233366004784</v>
      </c>
    </row>
    <row r="53" spans="1:2" x14ac:dyDescent="0.25">
      <c r="A53" s="1">
        <f t="shared" si="0"/>
        <v>52</v>
      </c>
      <c r="B53" s="2">
        <v>56.924426915445281</v>
      </c>
    </row>
    <row r="54" spans="1:2" x14ac:dyDescent="0.25">
      <c r="A54" s="1">
        <f t="shared" si="0"/>
        <v>53</v>
      </c>
      <c r="B54" s="2">
        <v>53.210398842508674</v>
      </c>
    </row>
    <row r="55" spans="1:2" x14ac:dyDescent="0.25">
      <c r="A55" s="1">
        <f t="shared" si="0"/>
        <v>54</v>
      </c>
      <c r="B55" s="2">
        <v>41.31134005810997</v>
      </c>
    </row>
    <row r="56" spans="1:2" x14ac:dyDescent="0.25">
      <c r="A56" s="1">
        <f t="shared" si="0"/>
        <v>55</v>
      </c>
      <c r="B56" s="2">
        <v>35.526477034822477</v>
      </c>
    </row>
    <row r="57" spans="1:2" x14ac:dyDescent="0.25">
      <c r="A57" s="1">
        <f t="shared" si="0"/>
        <v>56</v>
      </c>
      <c r="B57" s="2">
        <v>46.988090252077946</v>
      </c>
    </row>
    <row r="58" spans="1:2" x14ac:dyDescent="0.25">
      <c r="A58" s="1">
        <f t="shared" si="0"/>
        <v>57</v>
      </c>
      <c r="B58" s="2">
        <v>40.920889899687367</v>
      </c>
    </row>
    <row r="59" spans="1:2" x14ac:dyDescent="0.25">
      <c r="A59" s="1">
        <f t="shared" si="0"/>
        <v>58</v>
      </c>
      <c r="B59" s="2">
        <v>47.57021448953148</v>
      </c>
    </row>
    <row r="60" spans="1:2" x14ac:dyDescent="0.25">
      <c r="A60" s="1">
        <f t="shared" si="0"/>
        <v>59</v>
      </c>
      <c r="B60" s="2">
        <v>51.30564815472885</v>
      </c>
    </row>
    <row r="61" spans="1:2" x14ac:dyDescent="0.25">
      <c r="A61" s="1">
        <f t="shared" si="0"/>
        <v>60</v>
      </c>
      <c r="B61" s="2">
        <v>46.831424534341551</v>
      </c>
    </row>
    <row r="62" spans="1:2" x14ac:dyDescent="0.25">
      <c r="A62" s="1">
        <f t="shared" si="0"/>
        <v>61</v>
      </c>
      <c r="B62" s="2">
        <v>45.829699139252121</v>
      </c>
    </row>
    <row r="63" spans="1:2" x14ac:dyDescent="0.25">
      <c r="A63" s="1">
        <f t="shared" si="0"/>
        <v>62</v>
      </c>
      <c r="B63" s="2">
        <v>53.529611082372085</v>
      </c>
    </row>
    <row r="64" spans="1:2" x14ac:dyDescent="0.25">
      <c r="A64" s="1">
        <f t="shared" si="0"/>
        <v>63</v>
      </c>
      <c r="B64" s="2">
        <v>55.684336190121996</v>
      </c>
    </row>
    <row r="65" spans="1:2" x14ac:dyDescent="0.25">
      <c r="A65" s="1">
        <f t="shared" si="0"/>
        <v>64</v>
      </c>
      <c r="B65" s="2">
        <v>50.422451885426362</v>
      </c>
    </row>
    <row r="66" spans="1:2" x14ac:dyDescent="0.25">
      <c r="A66" s="1">
        <f t="shared" si="0"/>
        <v>65</v>
      </c>
      <c r="B66" s="2">
        <v>54.119658490608913</v>
      </c>
    </row>
    <row r="67" spans="1:2" x14ac:dyDescent="0.25">
      <c r="A67" s="1">
        <f t="shared" ref="A67:A101" si="2">ROW(A66)</f>
        <v>66</v>
      </c>
      <c r="B67" s="2">
        <v>45.52677838925834</v>
      </c>
    </row>
    <row r="68" spans="1:2" x14ac:dyDescent="0.25">
      <c r="A68" s="1">
        <f t="shared" si="2"/>
        <v>67</v>
      </c>
      <c r="B68" s="2">
        <v>52.033901067006859</v>
      </c>
    </row>
    <row r="69" spans="1:2" x14ac:dyDescent="0.25">
      <c r="A69" s="1">
        <f t="shared" si="2"/>
        <v>68</v>
      </c>
      <c r="B69" s="2">
        <v>39.378516692770376</v>
      </c>
    </row>
    <row r="70" spans="1:2" x14ac:dyDescent="0.25">
      <c r="A70" s="1">
        <f t="shared" si="2"/>
        <v>69</v>
      </c>
      <c r="B70" s="2">
        <v>53.310642522270982</v>
      </c>
    </row>
    <row r="71" spans="1:2" x14ac:dyDescent="0.25">
      <c r="A71" s="1">
        <f t="shared" si="2"/>
        <v>70</v>
      </c>
      <c r="B71" s="2">
        <v>36.984808722847447</v>
      </c>
    </row>
    <row r="72" spans="1:2" x14ac:dyDescent="0.25">
      <c r="A72" s="1">
        <f t="shared" si="2"/>
        <v>71</v>
      </c>
      <c r="B72" s="2">
        <v>51.293391740051668</v>
      </c>
    </row>
    <row r="73" spans="1:2" x14ac:dyDescent="0.25">
      <c r="A73" s="1">
        <f t="shared" si="2"/>
        <v>72</v>
      </c>
      <c r="B73" s="2">
        <v>52.134011191871139</v>
      </c>
    </row>
    <row r="74" spans="1:2" x14ac:dyDescent="0.25">
      <c r="A74" s="1">
        <f t="shared" si="2"/>
        <v>73</v>
      </c>
      <c r="B74" s="2">
        <v>36.69108186035696</v>
      </c>
    </row>
    <row r="75" spans="1:2" x14ac:dyDescent="0.25">
      <c r="A75" s="1">
        <f t="shared" si="2"/>
        <v>74</v>
      </c>
      <c r="B75" s="2">
        <v>66.68189731346402</v>
      </c>
    </row>
    <row r="76" spans="1:2" x14ac:dyDescent="0.25">
      <c r="A76" s="1">
        <f t="shared" si="2"/>
        <v>75</v>
      </c>
      <c r="B76" s="2">
        <v>60.351990755353469</v>
      </c>
    </row>
    <row r="77" spans="1:2" x14ac:dyDescent="0.25">
      <c r="A77" s="1">
        <f t="shared" si="2"/>
        <v>76</v>
      </c>
      <c r="B77" s="2">
        <v>42.021855046888909</v>
      </c>
    </row>
    <row r="78" spans="1:2" x14ac:dyDescent="0.25">
      <c r="A78" s="1">
        <f t="shared" si="2"/>
        <v>77</v>
      </c>
      <c r="B78" s="2">
        <v>57.544991439659441</v>
      </c>
    </row>
    <row r="79" spans="1:2" x14ac:dyDescent="0.25">
      <c r="A79" s="1">
        <f t="shared" si="2"/>
        <v>78</v>
      </c>
      <c r="B79" s="2">
        <v>35.208576993634075</v>
      </c>
    </row>
    <row r="80" spans="1:2" x14ac:dyDescent="0.25">
      <c r="A80" s="1">
        <f t="shared" si="2"/>
        <v>79</v>
      </c>
      <c r="B80" s="2">
        <v>58.054491253161466</v>
      </c>
    </row>
    <row r="81" spans="1:2" x14ac:dyDescent="0.25">
      <c r="A81" s="1">
        <f t="shared" si="2"/>
        <v>80</v>
      </c>
      <c r="B81" s="2">
        <v>45.105397587881122</v>
      </c>
    </row>
    <row r="82" spans="1:2" x14ac:dyDescent="0.25">
      <c r="A82" s="1">
        <f t="shared" si="2"/>
        <v>81</v>
      </c>
      <c r="B82" s="2">
        <v>55.214305371145201</v>
      </c>
    </row>
    <row r="83" spans="1:2" x14ac:dyDescent="0.25">
      <c r="A83" s="1">
        <f t="shared" si="2"/>
        <v>82</v>
      </c>
      <c r="B83" s="2">
        <v>40.282284545471242</v>
      </c>
    </row>
    <row r="84" spans="1:2" x14ac:dyDescent="0.25">
      <c r="A84" s="1">
        <f t="shared" si="2"/>
        <v>83</v>
      </c>
      <c r="B84" s="2">
        <v>65.279202452671242</v>
      </c>
    </row>
    <row r="85" spans="1:2" x14ac:dyDescent="0.25">
      <c r="A85" s="1">
        <f t="shared" si="2"/>
        <v>84</v>
      </c>
      <c r="B85" s="2">
        <v>52.822631262942231</v>
      </c>
    </row>
    <row r="86" spans="1:2" x14ac:dyDescent="0.25">
      <c r="A86" s="1">
        <f t="shared" si="2"/>
        <v>85</v>
      </c>
      <c r="B86" s="2">
        <v>46.403318149325571</v>
      </c>
    </row>
    <row r="87" spans="1:2" x14ac:dyDescent="0.25">
      <c r="A87" s="1">
        <f t="shared" si="2"/>
        <v>86</v>
      </c>
      <c r="B87" s="2">
        <v>52.244511161852351</v>
      </c>
    </row>
    <row r="88" spans="1:2" x14ac:dyDescent="0.25">
      <c r="A88" s="1">
        <f t="shared" si="2"/>
        <v>87</v>
      </c>
      <c r="B88" s="2">
        <v>33.717876208941348</v>
      </c>
    </row>
    <row r="89" spans="1:2" x14ac:dyDescent="0.25">
      <c r="A89" s="1">
        <f t="shared" si="2"/>
        <v>88</v>
      </c>
      <c r="B89" s="2">
        <v>61.84583102693302</v>
      </c>
    </row>
    <row r="90" spans="1:2" x14ac:dyDescent="0.25">
      <c r="A90" s="1">
        <f t="shared" si="2"/>
        <v>89</v>
      </c>
      <c r="B90" s="2">
        <v>59.059047493716442</v>
      </c>
    </row>
    <row r="91" spans="1:2" x14ac:dyDescent="0.25">
      <c r="A91" s="1">
        <f t="shared" si="2"/>
        <v>90</v>
      </c>
      <c r="B91" s="2">
        <v>35.938798829449141</v>
      </c>
    </row>
    <row r="92" spans="1:2" x14ac:dyDescent="0.25">
      <c r="A92" s="1">
        <f t="shared" si="2"/>
        <v>91</v>
      </c>
      <c r="B92" s="2">
        <v>59.700259389071604</v>
      </c>
    </row>
    <row r="93" spans="1:2" x14ac:dyDescent="0.25">
      <c r="A93" s="1">
        <f t="shared" si="2"/>
        <v>92</v>
      </c>
      <c r="B93" s="2">
        <v>57.778375391959216</v>
      </c>
    </row>
    <row r="94" spans="1:2" x14ac:dyDescent="0.25">
      <c r="A94" s="1">
        <f t="shared" si="2"/>
        <v>93</v>
      </c>
      <c r="B94" s="2">
        <v>42.017405196992854</v>
      </c>
    </row>
    <row r="95" spans="1:2" x14ac:dyDescent="0.25">
      <c r="A95" s="1">
        <f t="shared" si="2"/>
        <v>94</v>
      </c>
      <c r="B95" s="2">
        <v>49.303654632298013</v>
      </c>
    </row>
    <row r="96" spans="1:2" x14ac:dyDescent="0.25">
      <c r="A96" s="1">
        <f t="shared" si="2"/>
        <v>95</v>
      </c>
      <c r="B96" s="2">
        <v>51.373936475903747</v>
      </c>
    </row>
    <row r="97" spans="1:2" x14ac:dyDescent="0.25">
      <c r="A97" s="1">
        <f t="shared" si="2"/>
        <v>96</v>
      </c>
      <c r="B97" s="2">
        <v>58.234401923512571</v>
      </c>
    </row>
    <row r="98" spans="1:2" x14ac:dyDescent="0.25">
      <c r="A98" s="1">
        <f t="shared" si="2"/>
        <v>97</v>
      </c>
      <c r="B98" s="2">
        <v>54.539218781875249</v>
      </c>
    </row>
    <row r="99" spans="1:2" x14ac:dyDescent="0.25">
      <c r="A99" s="1">
        <f t="shared" si="2"/>
        <v>98</v>
      </c>
      <c r="B99" s="2">
        <v>54.016355218513041</v>
      </c>
    </row>
    <row r="100" spans="1:2" x14ac:dyDescent="0.25">
      <c r="A100" s="1">
        <f t="shared" si="2"/>
        <v>99</v>
      </c>
      <c r="B100" s="2">
        <v>38.832848635696848</v>
      </c>
    </row>
    <row r="101" spans="1:2" x14ac:dyDescent="0.25">
      <c r="A101" s="1">
        <f t="shared" si="2"/>
        <v>100</v>
      </c>
      <c r="B101" s="2">
        <v>42.870071865677225</v>
      </c>
    </row>
    <row r="102" spans="1:2" x14ac:dyDescent="0.25">
      <c r="B102" s="1">
        <v>59.530214638890278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102"/>
  <sheetViews>
    <sheetView zoomScale="110" zoomScaleNormal="110" workbookViewId="0"/>
  </sheetViews>
  <sheetFormatPr defaultRowHeight="15" x14ac:dyDescent="0.25"/>
  <cols>
    <col min="1" max="16384" width="9.140625" style="1"/>
  </cols>
  <sheetData>
    <row r="1" spans="1:20" ht="15.75" thickBot="1" x14ac:dyDescent="0.3">
      <c r="A1" s="11" t="s">
        <v>2</v>
      </c>
      <c r="B1" s="11" t="s">
        <v>3</v>
      </c>
      <c r="C1" s="11"/>
      <c r="D1" s="11"/>
      <c r="E1" s="11" t="s">
        <v>1</v>
      </c>
      <c r="F1" s="11" t="s">
        <v>0</v>
      </c>
    </row>
    <row r="2" spans="1:20" ht="15.75" thickBot="1" x14ac:dyDescent="0.3">
      <c r="A2" s="1">
        <f>ROW(A1)</f>
        <v>1</v>
      </c>
      <c r="B2" s="2">
        <v>45.728004914840263</v>
      </c>
      <c r="D2" s="12"/>
      <c r="E2" s="3">
        <f>AVERAGE(B:B)</f>
        <v>48.92530618420669</v>
      </c>
      <c r="F2" s="4">
        <f>STDEV(B:B)</f>
        <v>10.887984865599316</v>
      </c>
    </row>
    <row r="3" spans="1:20" x14ac:dyDescent="0.25">
      <c r="A3" s="1">
        <f t="shared" ref="A3:A66" si="0">ROW(A2)</f>
        <v>2</v>
      </c>
      <c r="B3" s="2">
        <v>59.4683152247962</v>
      </c>
      <c r="D3" s="13"/>
      <c r="E3" s="5">
        <f t="dataTable" ref="E3:F22" dt2D="0" dtr="0" r1="C1"/>
        <v>48.92530618420669</v>
      </c>
      <c r="F3" s="4">
        <v>10.887984865599316</v>
      </c>
    </row>
    <row r="4" spans="1:20" x14ac:dyDescent="0.25">
      <c r="A4" s="1">
        <f t="shared" si="0"/>
        <v>3</v>
      </c>
      <c r="B4" s="2">
        <v>38.488345594362059</v>
      </c>
      <c r="D4" s="13"/>
      <c r="E4" s="6">
        <v>48.92530618420669</v>
      </c>
      <c r="F4" s="7">
        <v>10.887984865599316</v>
      </c>
    </row>
    <row r="5" spans="1:20" x14ac:dyDescent="0.25">
      <c r="A5" s="1">
        <f t="shared" si="0"/>
        <v>4</v>
      </c>
      <c r="B5" s="2">
        <v>55.954832492018433</v>
      </c>
      <c r="D5" s="13"/>
      <c r="E5" s="6">
        <v>48.92530618420669</v>
      </c>
      <c r="F5" s="7">
        <v>10.887984865599316</v>
      </c>
    </row>
    <row r="6" spans="1:20" x14ac:dyDescent="0.25">
      <c r="A6" s="1">
        <f t="shared" si="0"/>
        <v>5</v>
      </c>
      <c r="B6" s="2">
        <v>60.020020880078775</v>
      </c>
      <c r="D6" s="13"/>
      <c r="E6" s="6">
        <v>48.92530618420669</v>
      </c>
      <c r="F6" s="7">
        <v>10.887984865599316</v>
      </c>
    </row>
    <row r="7" spans="1:20" x14ac:dyDescent="0.25">
      <c r="A7" s="1">
        <f t="shared" si="0"/>
        <v>6</v>
      </c>
      <c r="B7" s="2">
        <v>44.348778707651022</v>
      </c>
      <c r="D7" s="13"/>
      <c r="E7" s="6">
        <v>48.92530618420669</v>
      </c>
      <c r="F7" s="7">
        <v>10.887984865599316</v>
      </c>
    </row>
    <row r="8" spans="1:20" x14ac:dyDescent="0.25">
      <c r="A8" s="1">
        <f t="shared" si="0"/>
        <v>7</v>
      </c>
      <c r="B8" s="2">
        <v>42.844021588869175</v>
      </c>
      <c r="D8" s="13"/>
      <c r="E8" s="6">
        <v>48.92530618420669</v>
      </c>
      <c r="F8" s="7">
        <v>10.887984865599316</v>
      </c>
    </row>
    <row r="9" spans="1:20" x14ac:dyDescent="0.25">
      <c r="A9" s="1">
        <f t="shared" si="0"/>
        <v>8</v>
      </c>
      <c r="B9" s="2">
        <v>42.121376380778457</v>
      </c>
      <c r="D9" s="13"/>
      <c r="E9" s="6">
        <v>48.92530618420669</v>
      </c>
      <c r="F9" s="7">
        <v>10.887984865599316</v>
      </c>
    </row>
    <row r="10" spans="1:20" x14ac:dyDescent="0.25">
      <c r="A10" s="1">
        <f t="shared" si="0"/>
        <v>9</v>
      </c>
      <c r="B10" s="2">
        <v>67.251885747242596</v>
      </c>
      <c r="D10" s="13"/>
      <c r="E10" s="6">
        <v>48.92530618420669</v>
      </c>
      <c r="F10" s="7">
        <v>10.887984865599316</v>
      </c>
    </row>
    <row r="11" spans="1:20" x14ac:dyDescent="0.25">
      <c r="A11" s="1">
        <f t="shared" si="0"/>
        <v>10</v>
      </c>
      <c r="B11" s="2">
        <v>57.28623077943503</v>
      </c>
      <c r="D11" s="13"/>
      <c r="E11" s="6">
        <v>48.92530618420669</v>
      </c>
      <c r="F11" s="7">
        <v>10.887984865599316</v>
      </c>
    </row>
    <row r="12" spans="1:20" x14ac:dyDescent="0.25">
      <c r="A12" s="1">
        <f t="shared" si="0"/>
        <v>11</v>
      </c>
      <c r="B12" s="2">
        <v>56.21423986050641</v>
      </c>
      <c r="D12" s="13"/>
      <c r="E12" s="6">
        <v>48.92530618420669</v>
      </c>
      <c r="F12" s="7">
        <v>10.887984865599316</v>
      </c>
      <c r="R12" s="17">
        <v>0.15</v>
      </c>
      <c r="S12" s="1">
        <f t="shared" ref="S12:S19" si="1">NORMINV(R12,$E$24,$F$24)</f>
        <v>37.640635125196496</v>
      </c>
      <c r="T12" s="1">
        <f t="array" ref="T12:T19">FREQUENCY(E3:E23,S12:S20)</f>
        <v>0</v>
      </c>
    </row>
    <row r="13" spans="1:20" x14ac:dyDescent="0.25">
      <c r="A13" s="1">
        <f t="shared" si="0"/>
        <v>12</v>
      </c>
      <c r="B13" s="2">
        <v>39.768144342825309</v>
      </c>
      <c r="D13" s="13"/>
      <c r="E13" s="6">
        <v>48.92530618420669</v>
      </c>
      <c r="F13" s="7">
        <v>10.887984865599316</v>
      </c>
      <c r="R13" s="17">
        <v>0.25</v>
      </c>
      <c r="S13" s="1">
        <f t="shared" si="1"/>
        <v>41.581471992069879</v>
      </c>
      <c r="T13" s="1">
        <v>0</v>
      </c>
    </row>
    <row r="14" spans="1:20" x14ac:dyDescent="0.25">
      <c r="A14" s="1">
        <f t="shared" si="0"/>
        <v>13</v>
      </c>
      <c r="B14" s="2">
        <v>30.203449203424842</v>
      </c>
      <c r="D14" s="13"/>
      <c r="E14" s="6">
        <v>48.92530618420669</v>
      </c>
      <c r="F14" s="7">
        <v>10.887984865599316</v>
      </c>
      <c r="R14" s="17">
        <v>0.35</v>
      </c>
      <c r="S14" s="1">
        <f t="shared" si="1"/>
        <v>44.729942777555415</v>
      </c>
      <c r="T14" s="1">
        <v>0</v>
      </c>
    </row>
    <row r="15" spans="1:20" x14ac:dyDescent="0.25">
      <c r="A15" s="1">
        <f t="shared" si="0"/>
        <v>14</v>
      </c>
      <c r="B15" s="2">
        <v>58.269233352616801</v>
      </c>
      <c r="D15" s="13"/>
      <c r="E15" s="6">
        <v>48.92530618420669</v>
      </c>
      <c r="F15" s="7">
        <v>10.887984865599316</v>
      </c>
      <c r="R15" s="17">
        <v>0.45</v>
      </c>
      <c r="S15" s="1">
        <f t="shared" si="1"/>
        <v>47.557107341457808</v>
      </c>
      <c r="T15" s="1">
        <v>0</v>
      </c>
    </row>
    <row r="16" spans="1:20" x14ac:dyDescent="0.25">
      <c r="A16" s="1">
        <f t="shared" si="0"/>
        <v>15</v>
      </c>
      <c r="B16" s="2">
        <v>61.073681657295907</v>
      </c>
      <c r="D16" s="13"/>
      <c r="E16" s="6">
        <v>48.92530618420669</v>
      </c>
      <c r="F16" s="7">
        <v>10.887984865599316</v>
      </c>
      <c r="R16" s="17">
        <v>0.55000000000000004</v>
      </c>
      <c r="S16" s="1">
        <f t="shared" si="1"/>
        <v>50.293505026955557</v>
      </c>
      <c r="T16" s="1">
        <v>20</v>
      </c>
    </row>
    <row r="17" spans="1:20" x14ac:dyDescent="0.25">
      <c r="A17" s="1">
        <f t="shared" si="0"/>
        <v>16</v>
      </c>
      <c r="B17" s="2">
        <v>52.739807801890151</v>
      </c>
      <c r="D17" s="13"/>
      <c r="E17" s="6">
        <v>48.92530618420669</v>
      </c>
      <c r="F17" s="7">
        <v>10.887984865599316</v>
      </c>
      <c r="R17" s="17">
        <v>0.65</v>
      </c>
      <c r="S17" s="1">
        <f t="shared" si="1"/>
        <v>53.12066959085795</v>
      </c>
      <c r="T17" s="1">
        <v>0</v>
      </c>
    </row>
    <row r="18" spans="1:20" x14ac:dyDescent="0.25">
      <c r="A18" s="1">
        <f t="shared" si="0"/>
        <v>17</v>
      </c>
      <c r="B18" s="2">
        <v>48.872084067775212</v>
      </c>
      <c r="D18" s="13"/>
      <c r="E18" s="6">
        <v>48.92530618420669</v>
      </c>
      <c r="F18" s="7">
        <v>10.887984865599316</v>
      </c>
      <c r="R18" s="17">
        <v>0.75</v>
      </c>
      <c r="S18" s="1">
        <f t="shared" si="1"/>
        <v>56.269140376343486</v>
      </c>
      <c r="T18" s="1">
        <v>0</v>
      </c>
    </row>
    <row r="19" spans="1:20" x14ac:dyDescent="0.25">
      <c r="A19" s="1">
        <f t="shared" si="0"/>
        <v>18</v>
      </c>
      <c r="B19" s="2">
        <v>37.799310318175031</v>
      </c>
      <c r="D19" s="13"/>
      <c r="E19" s="6">
        <v>48.92530618420669</v>
      </c>
      <c r="F19" s="7">
        <v>10.887984865599316</v>
      </c>
      <c r="R19" s="17">
        <v>0.85</v>
      </c>
      <c r="S19" s="1">
        <f t="shared" si="1"/>
        <v>60.209977243216869</v>
      </c>
      <c r="T19" s="1">
        <v>0</v>
      </c>
    </row>
    <row r="20" spans="1:20" x14ac:dyDescent="0.25">
      <c r="A20" s="1">
        <f t="shared" si="0"/>
        <v>19</v>
      </c>
      <c r="B20" s="2">
        <v>55.096231843057083</v>
      </c>
      <c r="D20" s="13"/>
      <c r="E20" s="6">
        <v>48.92530618420669</v>
      </c>
      <c r="F20" s="7">
        <v>10.887984865599316</v>
      </c>
    </row>
    <row r="21" spans="1:20" x14ac:dyDescent="0.25">
      <c r="A21" s="1">
        <f t="shared" si="0"/>
        <v>20</v>
      </c>
      <c r="B21" s="2">
        <v>47.904767061403753</v>
      </c>
      <c r="D21" s="13"/>
      <c r="E21" s="6">
        <v>48.92530618420669</v>
      </c>
      <c r="F21" s="7">
        <v>10.887984865599316</v>
      </c>
    </row>
    <row r="22" spans="1:20" ht="15.75" thickBot="1" x14ac:dyDescent="0.3">
      <c r="A22" s="1">
        <f t="shared" si="0"/>
        <v>21</v>
      </c>
      <c r="B22" s="2">
        <v>31.255264671850934</v>
      </c>
      <c r="D22" s="14"/>
      <c r="E22" s="8">
        <v>48.92530618420669</v>
      </c>
      <c r="F22" s="9">
        <v>10.887984865599316</v>
      </c>
    </row>
    <row r="23" spans="1:20" x14ac:dyDescent="0.25">
      <c r="A23" s="1">
        <f t="shared" si="0"/>
        <v>22</v>
      </c>
      <c r="B23" s="2">
        <v>34.18027339248092</v>
      </c>
    </row>
    <row r="24" spans="1:20" x14ac:dyDescent="0.25">
      <c r="A24" s="1">
        <f t="shared" si="0"/>
        <v>23</v>
      </c>
      <c r="B24" s="2">
        <v>57.343567793245001</v>
      </c>
      <c r="D24" s="15">
        <v>0</v>
      </c>
      <c r="E24" s="10">
        <f>AVERAGE($E$2:$E$22)</f>
        <v>48.925306184206683</v>
      </c>
      <c r="F24" s="2">
        <f>AVERAGE(F2:F22)</f>
        <v>10.88798486559932</v>
      </c>
    </row>
    <row r="25" spans="1:20" x14ac:dyDescent="0.25">
      <c r="A25" s="1">
        <f t="shared" si="0"/>
        <v>24</v>
      </c>
      <c r="B25" s="2">
        <v>67.691620326907412</v>
      </c>
      <c r="D25" s="15">
        <v>20</v>
      </c>
      <c r="E25" s="10">
        <f>AVERAGE($E$2:$E$22)</f>
        <v>48.925306184206683</v>
      </c>
    </row>
    <row r="26" spans="1:20" x14ac:dyDescent="0.25">
      <c r="A26" s="1">
        <f t="shared" si="0"/>
        <v>25</v>
      </c>
      <c r="B26" s="2">
        <v>46.403266303505113</v>
      </c>
    </row>
    <row r="27" spans="1:20" x14ac:dyDescent="0.25">
      <c r="A27" s="1">
        <f t="shared" si="0"/>
        <v>26</v>
      </c>
      <c r="B27" s="2">
        <v>40.084912662134279</v>
      </c>
      <c r="D27" s="18"/>
      <c r="E27" s="18"/>
    </row>
    <row r="28" spans="1:20" x14ac:dyDescent="0.25">
      <c r="A28" s="1">
        <f t="shared" si="0"/>
        <v>27</v>
      </c>
      <c r="B28" s="2">
        <v>52.522566411042561</v>
      </c>
      <c r="D28" s="18"/>
      <c r="E28" s="18"/>
    </row>
    <row r="29" spans="1:20" x14ac:dyDescent="0.25">
      <c r="A29" s="1">
        <f t="shared" si="0"/>
        <v>28</v>
      </c>
      <c r="B29" s="2">
        <v>48.258046706144988</v>
      </c>
      <c r="D29" s="18"/>
      <c r="E29" s="18"/>
    </row>
    <row r="30" spans="1:20" x14ac:dyDescent="0.25">
      <c r="A30" s="1">
        <f t="shared" si="0"/>
        <v>29</v>
      </c>
      <c r="B30" s="2">
        <v>49.659756904615676</v>
      </c>
      <c r="D30" s="18"/>
      <c r="E30" s="18"/>
    </row>
    <row r="31" spans="1:20" x14ac:dyDescent="0.25">
      <c r="A31" s="1">
        <f t="shared" si="0"/>
        <v>30</v>
      </c>
      <c r="B31" s="2">
        <v>52.347447750240825</v>
      </c>
      <c r="D31" s="18"/>
      <c r="E31" s="18"/>
    </row>
    <row r="32" spans="1:20" x14ac:dyDescent="0.25">
      <c r="A32" s="1">
        <f t="shared" si="0"/>
        <v>31</v>
      </c>
      <c r="B32" s="2">
        <v>63.014117099700528</v>
      </c>
      <c r="D32" s="18"/>
      <c r="E32" s="18"/>
    </row>
    <row r="33" spans="1:6" x14ac:dyDescent="0.25">
      <c r="A33" s="1">
        <f t="shared" si="0"/>
        <v>32</v>
      </c>
      <c r="B33" s="2">
        <v>30.714319758489658</v>
      </c>
    </row>
    <row r="34" spans="1:6" x14ac:dyDescent="0.25">
      <c r="A34" s="1">
        <f t="shared" si="0"/>
        <v>33</v>
      </c>
      <c r="B34" s="2">
        <v>46.237222980462825</v>
      </c>
      <c r="F34" s="16"/>
    </row>
    <row r="35" spans="1:6" x14ac:dyDescent="0.25">
      <c r="A35" s="1">
        <f t="shared" si="0"/>
        <v>34</v>
      </c>
      <c r="B35" s="2">
        <v>44.195908677382796</v>
      </c>
    </row>
    <row r="36" spans="1:6" x14ac:dyDescent="0.25">
      <c r="A36" s="1">
        <f t="shared" si="0"/>
        <v>35</v>
      </c>
      <c r="B36" s="2">
        <v>53.289707143435919</v>
      </c>
    </row>
    <row r="37" spans="1:6" x14ac:dyDescent="0.25">
      <c r="A37" s="1">
        <f t="shared" si="0"/>
        <v>36</v>
      </c>
      <c r="B37" s="2">
        <v>37.992719090882133</v>
      </c>
    </row>
    <row r="38" spans="1:6" x14ac:dyDescent="0.25">
      <c r="A38" s="1">
        <f t="shared" si="0"/>
        <v>37</v>
      </c>
      <c r="B38" s="2">
        <v>61.796457263013203</v>
      </c>
    </row>
    <row r="39" spans="1:6" x14ac:dyDescent="0.25">
      <c r="A39" s="1">
        <f t="shared" si="0"/>
        <v>38</v>
      </c>
      <c r="B39" s="2">
        <v>60.26305837711547</v>
      </c>
    </row>
    <row r="40" spans="1:6" x14ac:dyDescent="0.25">
      <c r="A40" s="1">
        <f t="shared" si="0"/>
        <v>39</v>
      </c>
      <c r="B40" s="2">
        <v>31.250479281898365</v>
      </c>
    </row>
    <row r="41" spans="1:6" x14ac:dyDescent="0.25">
      <c r="A41" s="1">
        <f t="shared" si="0"/>
        <v>40</v>
      </c>
      <c r="B41" s="2">
        <v>44.783805324684877</v>
      </c>
    </row>
    <row r="42" spans="1:6" x14ac:dyDescent="0.25">
      <c r="A42" s="1">
        <f t="shared" si="0"/>
        <v>41</v>
      </c>
      <c r="B42" s="2">
        <v>68.857991252547478</v>
      </c>
    </row>
    <row r="43" spans="1:6" x14ac:dyDescent="0.25">
      <c r="A43" s="1">
        <f t="shared" si="0"/>
        <v>42</v>
      </c>
      <c r="B43" s="2">
        <v>61.479197897593018</v>
      </c>
    </row>
    <row r="44" spans="1:6" x14ac:dyDescent="0.25">
      <c r="A44" s="1">
        <f t="shared" si="0"/>
        <v>43</v>
      </c>
      <c r="B44" s="2">
        <v>33.041724374318633</v>
      </c>
    </row>
    <row r="45" spans="1:6" x14ac:dyDescent="0.25">
      <c r="A45" s="1">
        <f t="shared" si="0"/>
        <v>44</v>
      </c>
      <c r="B45" s="2">
        <v>33.177257482256508</v>
      </c>
    </row>
    <row r="46" spans="1:6" x14ac:dyDescent="0.25">
      <c r="A46" s="1">
        <f t="shared" si="0"/>
        <v>45</v>
      </c>
      <c r="B46" s="2">
        <v>42.920654697581391</v>
      </c>
    </row>
    <row r="47" spans="1:6" x14ac:dyDescent="0.25">
      <c r="A47" s="1">
        <f t="shared" si="0"/>
        <v>46</v>
      </c>
      <c r="B47" s="2">
        <v>62.89969312197686</v>
      </c>
    </row>
    <row r="48" spans="1:6" x14ac:dyDescent="0.25">
      <c r="A48" s="1">
        <f t="shared" si="0"/>
        <v>47</v>
      </c>
      <c r="B48" s="2">
        <v>55.525114036140685</v>
      </c>
    </row>
    <row r="49" spans="1:2" x14ac:dyDescent="0.25">
      <c r="A49" s="1">
        <f t="shared" si="0"/>
        <v>48</v>
      </c>
      <c r="B49" s="2">
        <v>41.322668500886742</v>
      </c>
    </row>
    <row r="50" spans="1:2" x14ac:dyDescent="0.25">
      <c r="A50" s="1">
        <f t="shared" si="0"/>
        <v>49</v>
      </c>
      <c r="B50" s="2">
        <v>40.815196308877944</v>
      </c>
    </row>
    <row r="51" spans="1:2" x14ac:dyDescent="0.25">
      <c r="A51" s="1">
        <f t="shared" si="0"/>
        <v>50</v>
      </c>
      <c r="B51" s="2">
        <v>43.154132751192442</v>
      </c>
    </row>
    <row r="52" spans="1:2" x14ac:dyDescent="0.25">
      <c r="A52" s="1">
        <f t="shared" si="0"/>
        <v>51</v>
      </c>
      <c r="B52" s="2">
        <v>56.65832017989247</v>
      </c>
    </row>
    <row r="53" spans="1:2" x14ac:dyDescent="0.25">
      <c r="A53" s="1">
        <f t="shared" si="0"/>
        <v>52</v>
      </c>
      <c r="B53" s="2">
        <v>49.368149354825512</v>
      </c>
    </row>
    <row r="54" spans="1:2" x14ac:dyDescent="0.25">
      <c r="A54" s="1">
        <f t="shared" si="0"/>
        <v>53</v>
      </c>
      <c r="B54" s="2">
        <v>71.845578263618407</v>
      </c>
    </row>
    <row r="55" spans="1:2" x14ac:dyDescent="0.25">
      <c r="A55" s="1">
        <f t="shared" si="0"/>
        <v>54</v>
      </c>
      <c r="B55" s="2">
        <v>49.076894692497454</v>
      </c>
    </row>
    <row r="56" spans="1:2" x14ac:dyDescent="0.25">
      <c r="A56" s="1">
        <f t="shared" si="0"/>
        <v>55</v>
      </c>
      <c r="B56" s="2">
        <v>43.650806861514617</v>
      </c>
    </row>
    <row r="57" spans="1:2" x14ac:dyDescent="0.25">
      <c r="A57" s="1">
        <f t="shared" si="0"/>
        <v>56</v>
      </c>
      <c r="B57" s="2">
        <v>48.492196751287544</v>
      </c>
    </row>
    <row r="58" spans="1:2" x14ac:dyDescent="0.25">
      <c r="A58" s="1">
        <f t="shared" si="0"/>
        <v>57</v>
      </c>
      <c r="B58" s="2">
        <v>34.226197883605373</v>
      </c>
    </row>
    <row r="59" spans="1:2" x14ac:dyDescent="0.25">
      <c r="A59" s="1">
        <f t="shared" si="0"/>
        <v>58</v>
      </c>
      <c r="B59" s="2">
        <v>45.409293129151131</v>
      </c>
    </row>
    <row r="60" spans="1:2" x14ac:dyDescent="0.25">
      <c r="A60" s="1">
        <f t="shared" si="0"/>
        <v>59</v>
      </c>
      <c r="B60" s="2">
        <v>28.638715823755504</v>
      </c>
    </row>
    <row r="61" spans="1:2" x14ac:dyDescent="0.25">
      <c r="A61" s="1">
        <f t="shared" si="0"/>
        <v>60</v>
      </c>
      <c r="B61" s="2">
        <v>35.486482799087938</v>
      </c>
    </row>
    <row r="62" spans="1:2" x14ac:dyDescent="0.25">
      <c r="A62" s="1">
        <f t="shared" si="0"/>
        <v>61</v>
      </c>
      <c r="B62" s="2">
        <v>31.988319453061123</v>
      </c>
    </row>
    <row r="63" spans="1:2" x14ac:dyDescent="0.25">
      <c r="A63" s="1">
        <f t="shared" si="0"/>
        <v>62</v>
      </c>
      <c r="B63" s="2">
        <v>55.116377218238597</v>
      </c>
    </row>
    <row r="64" spans="1:2" x14ac:dyDescent="0.25">
      <c r="A64" s="1">
        <f t="shared" si="0"/>
        <v>63</v>
      </c>
      <c r="B64" s="2">
        <v>57.536369172186703</v>
      </c>
    </row>
    <row r="65" spans="1:2" x14ac:dyDescent="0.25">
      <c r="A65" s="1">
        <f t="shared" si="0"/>
        <v>64</v>
      </c>
      <c r="B65" s="2">
        <v>79.009445512494295</v>
      </c>
    </row>
    <row r="66" spans="1:2" x14ac:dyDescent="0.25">
      <c r="A66" s="1">
        <f t="shared" si="0"/>
        <v>65</v>
      </c>
      <c r="B66" s="2">
        <v>52.320689990471116</v>
      </c>
    </row>
    <row r="67" spans="1:2" x14ac:dyDescent="0.25">
      <c r="A67" s="1">
        <f t="shared" ref="A67:A101" si="2">ROW(A66)</f>
        <v>66</v>
      </c>
      <c r="B67" s="2">
        <v>47.981454857163222</v>
      </c>
    </row>
    <row r="68" spans="1:2" x14ac:dyDescent="0.25">
      <c r="A68" s="1">
        <f t="shared" si="2"/>
        <v>67</v>
      </c>
      <c r="B68" s="2">
        <v>55.482206724398011</v>
      </c>
    </row>
    <row r="69" spans="1:2" x14ac:dyDescent="0.25">
      <c r="A69" s="1">
        <f t="shared" si="2"/>
        <v>68</v>
      </c>
      <c r="B69" s="2">
        <v>43.694150472290502</v>
      </c>
    </row>
    <row r="70" spans="1:2" x14ac:dyDescent="0.25">
      <c r="A70" s="1">
        <f t="shared" si="2"/>
        <v>69</v>
      </c>
      <c r="B70" s="2">
        <v>44.384063064834855</v>
      </c>
    </row>
    <row r="71" spans="1:2" x14ac:dyDescent="0.25">
      <c r="A71" s="1">
        <f t="shared" si="2"/>
        <v>70</v>
      </c>
      <c r="B71" s="2">
        <v>44.977810956079715</v>
      </c>
    </row>
    <row r="72" spans="1:2" x14ac:dyDescent="0.25">
      <c r="A72" s="1">
        <f t="shared" si="2"/>
        <v>71</v>
      </c>
      <c r="B72" s="2">
        <v>50.888869140661335</v>
      </c>
    </row>
    <row r="73" spans="1:2" x14ac:dyDescent="0.25">
      <c r="A73" s="1">
        <f t="shared" si="2"/>
        <v>72</v>
      </c>
      <c r="B73" s="2">
        <v>51.786670935330271</v>
      </c>
    </row>
    <row r="74" spans="1:2" x14ac:dyDescent="0.25">
      <c r="A74" s="1">
        <f t="shared" si="2"/>
        <v>73</v>
      </c>
      <c r="B74" s="2">
        <v>41.949445284928792</v>
      </c>
    </row>
    <row r="75" spans="1:2" x14ac:dyDescent="0.25">
      <c r="A75" s="1">
        <f t="shared" si="2"/>
        <v>74</v>
      </c>
      <c r="B75" s="2">
        <v>54.427202996776934</v>
      </c>
    </row>
    <row r="76" spans="1:2" x14ac:dyDescent="0.25">
      <c r="A76" s="1">
        <f t="shared" si="2"/>
        <v>75</v>
      </c>
      <c r="B76" s="2">
        <v>55.480395734031198</v>
      </c>
    </row>
    <row r="77" spans="1:2" x14ac:dyDescent="0.25">
      <c r="A77" s="1">
        <f t="shared" si="2"/>
        <v>76</v>
      </c>
      <c r="B77" s="2">
        <v>49.655151004795201</v>
      </c>
    </row>
    <row r="78" spans="1:2" x14ac:dyDescent="0.25">
      <c r="A78" s="1">
        <f t="shared" si="2"/>
        <v>77</v>
      </c>
      <c r="B78" s="2">
        <v>52.036961069395126</v>
      </c>
    </row>
    <row r="79" spans="1:2" x14ac:dyDescent="0.25">
      <c r="A79" s="1">
        <f t="shared" si="2"/>
        <v>78</v>
      </c>
      <c r="B79" s="2">
        <v>48.712887486939685</v>
      </c>
    </row>
    <row r="80" spans="1:2" x14ac:dyDescent="0.25">
      <c r="A80" s="1">
        <f t="shared" si="2"/>
        <v>79</v>
      </c>
      <c r="B80" s="2">
        <v>30.080012508918664</v>
      </c>
    </row>
    <row r="81" spans="1:2" x14ac:dyDescent="0.25">
      <c r="A81" s="1">
        <f t="shared" si="2"/>
        <v>80</v>
      </c>
      <c r="B81" s="2">
        <v>52.092317332409714</v>
      </c>
    </row>
    <row r="82" spans="1:2" x14ac:dyDescent="0.25">
      <c r="A82" s="1">
        <f t="shared" si="2"/>
        <v>81</v>
      </c>
      <c r="B82" s="2">
        <v>28.510706276208005</v>
      </c>
    </row>
    <row r="83" spans="1:2" x14ac:dyDescent="0.25">
      <c r="A83" s="1">
        <f t="shared" si="2"/>
        <v>82</v>
      </c>
      <c r="B83" s="2">
        <v>42.894117439173172</v>
      </c>
    </row>
    <row r="84" spans="1:2" x14ac:dyDescent="0.25">
      <c r="A84" s="1">
        <f t="shared" si="2"/>
        <v>83</v>
      </c>
      <c r="B84" s="2">
        <v>47.84640950663406</v>
      </c>
    </row>
    <row r="85" spans="1:2" x14ac:dyDescent="0.25">
      <c r="A85" s="1">
        <f t="shared" si="2"/>
        <v>84</v>
      </c>
      <c r="B85" s="2">
        <v>56.891544409351205</v>
      </c>
    </row>
    <row r="86" spans="1:2" x14ac:dyDescent="0.25">
      <c r="A86" s="1">
        <f t="shared" si="2"/>
        <v>85</v>
      </c>
      <c r="B86" s="2">
        <v>44.810806075276687</v>
      </c>
    </row>
    <row r="87" spans="1:2" x14ac:dyDescent="0.25">
      <c r="A87" s="1">
        <f t="shared" si="2"/>
        <v>86</v>
      </c>
      <c r="B87" s="2">
        <v>46.978174873177046</v>
      </c>
    </row>
    <row r="88" spans="1:2" x14ac:dyDescent="0.25">
      <c r="A88" s="1">
        <f t="shared" si="2"/>
        <v>87</v>
      </c>
      <c r="B88" s="2">
        <v>22.517468941861104</v>
      </c>
    </row>
    <row r="89" spans="1:2" x14ac:dyDescent="0.25">
      <c r="A89" s="1">
        <f t="shared" si="2"/>
        <v>88</v>
      </c>
      <c r="B89" s="2">
        <v>73.868501528034187</v>
      </c>
    </row>
    <row r="90" spans="1:2" x14ac:dyDescent="0.25">
      <c r="A90" s="1">
        <f t="shared" si="2"/>
        <v>89</v>
      </c>
      <c r="B90" s="2">
        <v>65.346658505566978</v>
      </c>
    </row>
    <row r="91" spans="1:2" x14ac:dyDescent="0.25">
      <c r="A91" s="1">
        <f t="shared" si="2"/>
        <v>90</v>
      </c>
      <c r="B91" s="2">
        <v>56.10218918804248</v>
      </c>
    </row>
    <row r="92" spans="1:2" x14ac:dyDescent="0.25">
      <c r="A92" s="1">
        <f t="shared" si="2"/>
        <v>91</v>
      </c>
      <c r="B92" s="2">
        <v>57.57640130376285</v>
      </c>
    </row>
    <row r="93" spans="1:2" x14ac:dyDescent="0.25">
      <c r="A93" s="1">
        <f t="shared" si="2"/>
        <v>92</v>
      </c>
      <c r="B93" s="2">
        <v>58.312098322878967</v>
      </c>
    </row>
    <row r="94" spans="1:2" x14ac:dyDescent="0.25">
      <c r="A94" s="1">
        <f t="shared" si="2"/>
        <v>93</v>
      </c>
      <c r="B94" s="2">
        <v>39.797408726790295</v>
      </c>
    </row>
    <row r="95" spans="1:2" x14ac:dyDescent="0.25">
      <c r="A95" s="1">
        <f t="shared" si="2"/>
        <v>94</v>
      </c>
      <c r="B95" s="2">
        <v>57.615683968715842</v>
      </c>
    </row>
    <row r="96" spans="1:2" x14ac:dyDescent="0.25">
      <c r="A96" s="1">
        <f t="shared" si="2"/>
        <v>95</v>
      </c>
      <c r="B96" s="2">
        <v>45.059797644857923</v>
      </c>
    </row>
    <row r="97" spans="1:2" x14ac:dyDescent="0.25">
      <c r="A97" s="1">
        <f t="shared" si="2"/>
        <v>96</v>
      </c>
      <c r="B97" s="2">
        <v>60.8852253886771</v>
      </c>
    </row>
    <row r="98" spans="1:2" x14ac:dyDescent="0.25">
      <c r="A98" s="1">
        <f t="shared" si="2"/>
        <v>97</v>
      </c>
      <c r="B98" s="2">
        <v>46.186062806628648</v>
      </c>
    </row>
    <row r="99" spans="1:2" x14ac:dyDescent="0.25">
      <c r="A99" s="1">
        <f t="shared" si="2"/>
        <v>98</v>
      </c>
      <c r="B99" s="2">
        <v>56.304394282894854</v>
      </c>
    </row>
    <row r="100" spans="1:2" x14ac:dyDescent="0.25">
      <c r="A100" s="1">
        <f t="shared" si="2"/>
        <v>99</v>
      </c>
      <c r="B100" s="2">
        <v>44.495731741103576</v>
      </c>
    </row>
    <row r="101" spans="1:2" x14ac:dyDescent="0.25">
      <c r="A101" s="1">
        <f t="shared" si="2"/>
        <v>100</v>
      </c>
      <c r="B101" s="2">
        <v>48.038487771231814</v>
      </c>
    </row>
    <row r="102" spans="1:2" x14ac:dyDescent="0.25">
      <c r="B102" s="1">
        <v>41.033709087721491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Repeats</vt:lpstr>
      <vt:lpstr>Repeats (2)</vt:lpstr>
      <vt:lpstr>Repeats (3)</vt:lpstr>
      <vt:lpstr>Repeats (4)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2016-11-04T15:20:41Z</dcterms:modified>
</cp:coreProperties>
</file>