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Gerry\Desktop\MrExcel\XL-Simulations-VBA\2-Statistics\"/>
    </mc:Choice>
  </mc:AlternateContent>
  <bookViews>
    <workbookView xWindow="720" yWindow="330" windowWidth="22755" windowHeight="9750"/>
  </bookViews>
  <sheets>
    <sheet name="Peaks" sheetId="22" r:id="rId1"/>
  </sheets>
  <externalReferences>
    <externalReference r:id="rId2"/>
  </externalReferences>
  <definedNames>
    <definedName name="_xlnm.Database">#REF!</definedName>
    <definedName name="Table">OFFSET([1]StockMarket!$A$1,0,0,COUNTA([1]StockMarket!$A:$A),COUNTA([1]StockMarket!$1:$1))</definedName>
  </definedNames>
  <calcPr calcId="152511" calcOnSave="0"/>
</workbook>
</file>

<file path=xl/calcChain.xml><?xml version="1.0" encoding="utf-8"?>
<calcChain xmlns="http://schemas.openxmlformats.org/spreadsheetml/2006/main">
  <c r="F7" i="22" l="1"/>
  <c r="F8" i="22"/>
  <c r="F9" i="22"/>
  <c r="F10" i="22"/>
  <c r="F11" i="22"/>
  <c r="F12" i="22"/>
  <c r="F13" i="22"/>
  <c r="F14" i="22"/>
  <c r="F15" i="22"/>
  <c r="F16" i="22"/>
  <c r="F17" i="22"/>
  <c r="F18" i="22"/>
  <c r="F19" i="22"/>
  <c r="F20" i="22"/>
  <c r="F21" i="22"/>
  <c r="F22" i="22"/>
  <c r="F23" i="22"/>
  <c r="F24" i="22"/>
  <c r="F6" i="22" l="1"/>
  <c r="G6" i="22" s="1"/>
  <c r="G7" i="22"/>
  <c r="G8" i="22"/>
  <c r="G9" i="22"/>
  <c r="G10" i="22"/>
  <c r="G11" i="22"/>
  <c r="G12" i="22"/>
  <c r="G13" i="22"/>
  <c r="G14" i="22"/>
  <c r="G15" i="22"/>
  <c r="G16" i="22"/>
  <c r="G17" i="22"/>
  <c r="G18" i="22"/>
  <c r="G19" i="22"/>
  <c r="G20" i="22"/>
  <c r="G21" i="22"/>
  <c r="G22" i="22"/>
  <c r="G23" i="22"/>
  <c r="G24" i="22"/>
  <c r="D3" i="22"/>
  <c r="D2" i="22"/>
  <c r="C7" i="22" l="1"/>
  <c r="C11" i="22"/>
  <c r="C15" i="22"/>
  <c r="C19" i="22"/>
  <c r="D19" i="22" s="1"/>
  <c r="I19" i="22" s="1"/>
  <c r="C23" i="22"/>
  <c r="C8" i="22"/>
  <c r="D8" i="22" s="1"/>
  <c r="I8" i="22" s="1"/>
  <c r="C12" i="22"/>
  <c r="D12" i="22" s="1"/>
  <c r="I12" i="22" s="1"/>
  <c r="C16" i="22"/>
  <c r="C20" i="22"/>
  <c r="C24" i="22"/>
  <c r="C9" i="22"/>
  <c r="D9" i="22" s="1"/>
  <c r="I9" i="22" s="1"/>
  <c r="C13" i="22"/>
  <c r="C17" i="22"/>
  <c r="C21" i="22"/>
  <c r="C10" i="22"/>
  <c r="C14" i="22"/>
  <c r="D14" i="22" s="1"/>
  <c r="I14" i="22" s="1"/>
  <c r="C18" i="22"/>
  <c r="C22" i="22"/>
  <c r="D22" i="22" s="1"/>
  <c r="I22" i="22" s="1"/>
  <c r="C6" i="22"/>
  <c r="D6" i="22" s="1"/>
  <c r="I6" i="22" s="1"/>
  <c r="D23" i="22"/>
  <c r="I23" i="22" s="1"/>
  <c r="D21" i="22"/>
  <c r="I21" i="22" s="1"/>
  <c r="D20" i="22"/>
  <c r="I20" i="22" s="1"/>
  <c r="D13" i="22"/>
  <c r="I13" i="22" s="1"/>
  <c r="D17" i="22"/>
  <c r="I17" i="22" s="1"/>
  <c r="D24" i="22"/>
  <c r="I24" i="22" s="1"/>
  <c r="D16" i="22"/>
  <c r="I16" i="22" s="1"/>
  <c r="D15" i="22"/>
  <c r="I15" i="22" s="1"/>
  <c r="D11" i="22"/>
  <c r="I11" i="22" s="1"/>
  <c r="D7" i="22"/>
  <c r="I7" i="22" s="1"/>
  <c r="D18" i="22"/>
  <c r="I18" i="22" s="1"/>
  <c r="D10" i="22"/>
  <c r="I10" i="22" s="1"/>
</calcChain>
</file>

<file path=xl/sharedStrings.xml><?xml version="1.0" encoding="utf-8"?>
<sst xmlns="http://schemas.openxmlformats.org/spreadsheetml/2006/main" count="8" uniqueCount="6">
  <si>
    <t>SD</t>
  </si>
  <si>
    <t>mean</t>
  </si>
  <si>
    <t>value</t>
  </si>
  <si>
    <t>both</t>
  </si>
  <si>
    <t>subset1</t>
  </si>
  <si>
    <t>subset2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</si>
</sst>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00"/>
    <numFmt numFmtId="165" formatCode="0.0"/>
    <numFmt numFmtId="166" formatCode="&quot;$&quot;#,##0.00;[Red]\-&quot;$&quot;#,##0.00"/>
    <numFmt numFmtId="167" formatCode="###0.00_)"/>
    <numFmt numFmtId="168" formatCode="#,##0_)"/>
  </numFmts>
  <fonts count="24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2"/>
      <name val="Helv"/>
    </font>
    <font>
      <sz val="10"/>
      <name val="Arial"/>
      <family val="2"/>
    </font>
    <font>
      <b/>
      <sz val="12"/>
      <name val="Helv"/>
    </font>
    <font>
      <sz val="10"/>
      <name val="Helv"/>
    </font>
    <font>
      <sz val="9"/>
      <name val="Helv"/>
    </font>
    <font>
      <vertAlign val="superscript"/>
      <sz val="12"/>
      <name val="Helv"/>
    </font>
    <font>
      <b/>
      <sz val="11"/>
      <color indexed="8"/>
      <name val="Calibri"/>
      <family val="2"/>
    </font>
    <font>
      <b/>
      <sz val="10"/>
      <name val="Helv"/>
    </font>
    <font>
      <b/>
      <sz val="9"/>
      <name val="Helv"/>
    </font>
    <font>
      <sz val="8.5"/>
      <name val="Helv"/>
    </font>
    <font>
      <sz val="12"/>
      <color indexed="8"/>
      <name val="Arial"/>
      <family val="2"/>
    </font>
    <font>
      <b/>
      <sz val="18"/>
      <color indexed="62"/>
      <name val="Cambria"/>
      <family val="2"/>
    </font>
    <font>
      <sz val="8"/>
      <name val="Helv"/>
    </font>
    <font>
      <b/>
      <sz val="14"/>
      <name val="Helv"/>
    </font>
    <font>
      <b/>
      <sz val="10"/>
      <name val="Arial"/>
      <family val="2"/>
    </font>
    <font>
      <b/>
      <sz val="12"/>
      <name val="Arial"/>
      <family val="2"/>
    </font>
    <font>
      <b/>
      <sz val="10"/>
      <color indexed="10"/>
      <name val="Arial"/>
      <family val="2"/>
    </font>
    <font>
      <b/>
      <sz val="10"/>
      <color indexed="9"/>
      <name val="Arial"/>
      <family val="2"/>
    </font>
    <font>
      <sz val="12"/>
      <color theme="1"/>
      <name val="Arial"/>
      <family val="2"/>
    </font>
    <font>
      <b/>
      <sz val="11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indexed="31"/>
        <bgColor indexed="31"/>
      </patternFill>
    </fill>
    <fill>
      <patternFill patternType="solid">
        <fgColor indexed="44"/>
        <bgColor indexed="44"/>
      </patternFill>
    </fill>
    <fill>
      <patternFill patternType="solid">
        <fgColor indexed="26"/>
        <bgColor indexed="26"/>
      </patternFill>
    </fill>
    <fill>
      <patternFill patternType="solid">
        <fgColor indexed="22"/>
        <bgColor indexed="22"/>
      </patternFill>
    </fill>
    <fill>
      <patternFill patternType="solid">
        <fgColor indexed="55"/>
        <bgColor indexed="55"/>
      </patternFill>
    </fill>
    <fill>
      <patternFill patternType="solid">
        <fgColor indexed="42"/>
        <bgColor indexed="42"/>
      </patternFill>
    </fill>
    <fill>
      <patternFill patternType="solid">
        <fgColor indexed="27"/>
        <bgColor indexed="27"/>
      </patternFill>
    </fill>
    <fill>
      <patternFill patternType="solid">
        <fgColor indexed="47"/>
        <bgColor indexed="47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  <fill>
      <patternFill patternType="solid">
        <fgColor indexed="22"/>
        <bgColor indexed="9"/>
      </patternFill>
    </fill>
    <fill>
      <patternFill patternType="solid">
        <fgColor indexed="22"/>
        <bgColor indexed="55"/>
      </patternFill>
    </fill>
    <fill>
      <patternFill patternType="solid">
        <fgColor rgb="FFA5A5A5"/>
      </patternFill>
    </fill>
  </fills>
  <borders count="7">
    <border>
      <left/>
      <right/>
      <top/>
      <bottom/>
      <diagonal/>
    </border>
    <border>
      <left/>
      <right/>
      <top/>
      <bottom style="thin">
        <color indexed="22"/>
      </bottom>
      <diagonal/>
    </border>
    <border>
      <left/>
      <right/>
      <top/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75">
    <xf numFmtId="0" fontId="0" fillId="0" borderId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2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5" borderId="0" applyNumberFormat="0" applyBorder="0" applyAlignment="0" applyProtection="0"/>
    <xf numFmtId="0" fontId="2" fillId="6" borderId="0" applyNumberFormat="0" applyBorder="0" applyAlignment="0" applyProtection="0"/>
    <xf numFmtId="0" fontId="1" fillId="4" borderId="0" applyNumberFormat="0" applyBorder="0" applyAlignment="0" applyProtection="0"/>
    <xf numFmtId="0" fontId="1" fillId="7" borderId="0" applyNumberFormat="0" applyBorder="0" applyAlignment="0" applyProtection="0"/>
    <xf numFmtId="0" fontId="2" fillId="5" borderId="0" applyNumberFormat="0" applyBorder="0" applyAlignment="0" applyProtection="0"/>
    <xf numFmtId="0" fontId="1" fillId="2" borderId="0" applyNumberFormat="0" applyBorder="0" applyAlignment="0" applyProtection="0"/>
    <xf numFmtId="0" fontId="1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8" borderId="0" applyNumberFormat="0" applyBorder="0" applyAlignment="0" applyProtection="0"/>
    <xf numFmtId="0" fontId="1" fillId="2" borderId="0" applyNumberFormat="0" applyBorder="0" applyAlignment="0" applyProtection="0"/>
    <xf numFmtId="0" fontId="2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9" borderId="0" applyNumberFormat="0" applyBorder="0" applyAlignment="0" applyProtection="0"/>
    <xf numFmtId="0" fontId="2" fillId="9" borderId="0" applyNumberFormat="0" applyBorder="0" applyAlignment="0" applyProtection="0"/>
    <xf numFmtId="0" fontId="3" fillId="0" borderId="0">
      <alignment horizontal="center" vertical="center" wrapText="1"/>
    </xf>
    <xf numFmtId="43" fontId="4" fillId="0" borderId="0" applyFont="0" applyFill="0" applyBorder="0" applyAlignment="0" applyProtection="0"/>
    <xf numFmtId="0" fontId="5" fillId="0" borderId="0">
      <alignment horizontal="left" vertical="center" wrapText="1"/>
    </xf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7" fontId="6" fillId="0" borderId="1" applyNumberFormat="0" applyFill="0">
      <alignment horizontal="right"/>
    </xf>
    <xf numFmtId="168" fontId="7" fillId="0" borderId="1">
      <alignment horizontal="right" vertical="center"/>
    </xf>
    <xf numFmtId="49" fontId="8" fillId="0" borderId="1">
      <alignment horizontal="left" vertical="center"/>
    </xf>
    <xf numFmtId="167" fontId="6" fillId="0" borderId="1" applyNumberFormat="0" applyFill="0">
      <alignment horizontal="right"/>
    </xf>
    <xf numFmtId="0" fontId="9" fillId="10" borderId="0" applyNumberFormat="0" applyBorder="0" applyAlignment="0" applyProtection="0"/>
    <xf numFmtId="0" fontId="9" fillId="11" borderId="0" applyNumberFormat="0" applyBorder="0" applyAlignment="0" applyProtection="0"/>
    <xf numFmtId="0" fontId="9" fillId="12" borderId="0" applyNumberFormat="0" applyBorder="0" applyAlignment="0" applyProtection="0"/>
    <xf numFmtId="0" fontId="10" fillId="0" borderId="1">
      <alignment horizontal="left"/>
    </xf>
    <xf numFmtId="0" fontId="11" fillId="0" borderId="2">
      <alignment horizontal="right" vertical="center"/>
    </xf>
    <xf numFmtId="0" fontId="12" fillId="0" borderId="1">
      <alignment horizontal="left" vertical="center"/>
    </xf>
    <xf numFmtId="0" fontId="6" fillId="0" borderId="1">
      <alignment horizontal="left" vertical="center"/>
    </xf>
    <xf numFmtId="0" fontId="10" fillId="0" borderId="1">
      <alignment horizontal="left"/>
    </xf>
    <xf numFmtId="0" fontId="10" fillId="13" borderId="0">
      <alignment horizontal="centerContinuous" wrapText="1"/>
    </xf>
    <xf numFmtId="49" fontId="10" fillId="13" borderId="3">
      <alignment horizontal="left" vertical="center"/>
    </xf>
    <xf numFmtId="0" fontId="10" fillId="13" borderId="0">
      <alignment horizontal="centerContinuous" vertical="center" wrapText="1"/>
    </xf>
    <xf numFmtId="0" fontId="4" fillId="0" borderId="0"/>
    <xf numFmtId="0" fontId="4" fillId="0" borderId="0"/>
    <xf numFmtId="0" fontId="4" fillId="0" borderId="0"/>
    <xf numFmtId="0" fontId="4" fillId="0" borderId="0"/>
    <xf numFmtId="0" fontId="21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4" fillId="0" borderId="0" applyFont="0" applyFill="0" applyBorder="0" applyAlignment="0" applyProtection="0"/>
    <xf numFmtId="3" fontId="7" fillId="0" borderId="0">
      <alignment horizontal="left" vertical="center"/>
    </xf>
    <xf numFmtId="0" fontId="3" fillId="0" borderId="0">
      <alignment horizontal="left" vertical="center"/>
    </xf>
    <xf numFmtId="0" fontId="14" fillId="0" borderId="0" applyNumberFormat="0" applyFill="0" applyBorder="0" applyAlignment="0" applyProtection="0"/>
    <xf numFmtId="0" fontId="15" fillId="0" borderId="0">
      <alignment horizontal="right"/>
    </xf>
    <xf numFmtId="49" fontId="15" fillId="0" borderId="0">
      <alignment horizontal="center"/>
    </xf>
    <xf numFmtId="0" fontId="8" fillId="0" borderId="0">
      <alignment horizontal="right"/>
    </xf>
    <xf numFmtId="0" fontId="15" fillId="0" borderId="0">
      <alignment horizontal="left"/>
    </xf>
    <xf numFmtId="49" fontId="7" fillId="0" borderId="0">
      <alignment horizontal="left" vertical="center"/>
    </xf>
    <xf numFmtId="49" fontId="8" fillId="0" borderId="1">
      <alignment horizontal="left"/>
    </xf>
    <xf numFmtId="167" fontId="7" fillId="0" borderId="0" applyNumberFormat="0">
      <alignment horizontal="right"/>
    </xf>
    <xf numFmtId="0" fontId="11" fillId="14" borderId="0">
      <alignment horizontal="centerContinuous" vertical="center" wrapText="1"/>
    </xf>
    <xf numFmtId="0" fontId="11" fillId="0" borderId="4">
      <alignment horizontal="left" vertical="center"/>
    </xf>
    <xf numFmtId="0" fontId="16" fillId="0" borderId="0">
      <alignment horizontal="left" vertical="top"/>
    </xf>
    <xf numFmtId="0" fontId="10" fillId="0" borderId="0">
      <alignment horizontal="left"/>
    </xf>
    <xf numFmtId="0" fontId="5" fillId="0" borderId="0">
      <alignment horizontal="left"/>
    </xf>
    <xf numFmtId="0" fontId="6" fillId="0" borderId="0">
      <alignment horizontal="left"/>
    </xf>
    <xf numFmtId="0" fontId="16" fillId="0" borderId="0">
      <alignment horizontal="left" vertical="top"/>
    </xf>
    <xf numFmtId="0" fontId="5" fillId="0" borderId="0">
      <alignment horizontal="left"/>
    </xf>
    <xf numFmtId="0" fontId="6" fillId="0" borderId="0">
      <alignment horizontal="left"/>
    </xf>
    <xf numFmtId="49" fontId="7" fillId="0" borderId="1">
      <alignment horizontal="left"/>
    </xf>
    <xf numFmtId="0" fontId="11" fillId="0" borderId="2">
      <alignment horizontal="left"/>
    </xf>
    <xf numFmtId="0" fontId="10" fillId="0" borderId="0">
      <alignment horizontal="left" vertical="center"/>
    </xf>
    <xf numFmtId="49" fontId="7" fillId="0" borderId="1">
      <alignment horizontal="left"/>
    </xf>
    <xf numFmtId="0" fontId="22" fillId="15" borderId="6" applyNumberFormat="0" applyAlignment="0" applyProtection="0"/>
  </cellStyleXfs>
  <cellXfs count="16">
    <xf numFmtId="0" fontId="0" fillId="0" borderId="0" xfId="0"/>
    <xf numFmtId="0" fontId="17" fillId="0" borderId="0" xfId="40" applyFont="1" applyProtection="1">
      <protection locked="0"/>
    </xf>
    <xf numFmtId="0" fontId="18" fillId="0" borderId="0" xfId="40" applyFont="1" applyProtection="1">
      <protection locked="0"/>
    </xf>
    <xf numFmtId="0" fontId="18" fillId="0" borderId="0" xfId="40" applyFont="1" applyFill="1" applyBorder="1" applyProtection="1">
      <protection locked="0"/>
    </xf>
    <xf numFmtId="0" fontId="20" fillId="0" borderId="0" xfId="40" applyFont="1" applyProtection="1">
      <protection locked="0"/>
    </xf>
    <xf numFmtId="1" fontId="17" fillId="0" borderId="0" xfId="40" applyNumberFormat="1" applyFont="1" applyProtection="1">
      <protection locked="0"/>
    </xf>
    <xf numFmtId="164" fontId="19" fillId="0" borderId="0" xfId="40" applyNumberFormat="1" applyFont="1" applyBorder="1" applyProtection="1">
      <protection locked="0"/>
    </xf>
    <xf numFmtId="164" fontId="17" fillId="0" borderId="0" xfId="40" applyNumberFormat="1" applyFont="1" applyBorder="1" applyProtection="1">
      <protection locked="0"/>
    </xf>
    <xf numFmtId="165" fontId="17" fillId="0" borderId="0" xfId="40" applyNumberFormat="1" applyFont="1" applyProtection="1">
      <protection locked="0"/>
    </xf>
    <xf numFmtId="164" fontId="17" fillId="0" borderId="0" xfId="40" applyNumberFormat="1" applyFont="1" applyProtection="1">
      <protection locked="0"/>
    </xf>
    <xf numFmtId="0" fontId="18" fillId="0" borderId="5" xfId="40" applyFont="1" applyBorder="1" applyProtection="1"/>
    <xf numFmtId="164" fontId="19" fillId="0" borderId="0" xfId="40" applyNumberFormat="1" applyFont="1" applyBorder="1" applyProtection="1"/>
    <xf numFmtId="164" fontId="17" fillId="0" borderId="0" xfId="40" applyNumberFormat="1" applyFont="1" applyBorder="1" applyProtection="1"/>
    <xf numFmtId="0" fontId="18" fillId="0" borderId="0" xfId="40" applyFont="1" applyAlignment="1" applyProtection="1">
      <alignment horizontal="center"/>
      <protection locked="0"/>
    </xf>
    <xf numFmtId="0" fontId="23" fillId="15" borderId="6" xfId="74" applyFont="1" applyProtection="1">
      <protection locked="0"/>
    </xf>
    <xf numFmtId="0" fontId="18" fillId="0" borderId="0" xfId="40" applyFont="1" applyAlignment="1" applyProtection="1">
      <alignment horizontal="center"/>
      <protection locked="0"/>
    </xf>
  </cellXfs>
  <cellStyles count="75">
    <cellStyle name="Accent1 - 20%" xfId="1"/>
    <cellStyle name="Accent1 - 40%" xfId="2"/>
    <cellStyle name="Accent1 - 60%" xfId="3"/>
    <cellStyle name="Accent2 - 20%" xfId="4"/>
    <cellStyle name="Accent2 - 40%" xfId="5"/>
    <cellStyle name="Accent2 - 60%" xfId="6"/>
    <cellStyle name="Accent3 - 20%" xfId="7"/>
    <cellStyle name="Accent3 - 40%" xfId="8"/>
    <cellStyle name="Accent3 - 60%" xfId="9"/>
    <cellStyle name="Accent4 - 20%" xfId="10"/>
    <cellStyle name="Accent4 - 40%" xfId="11"/>
    <cellStyle name="Accent4 - 60%" xfId="12"/>
    <cellStyle name="Accent5 - 20%" xfId="13"/>
    <cellStyle name="Accent5 - 40%" xfId="14"/>
    <cellStyle name="Accent5 - 60%" xfId="15"/>
    <cellStyle name="Accent6 - 20%" xfId="16"/>
    <cellStyle name="Accent6 - 40%" xfId="17"/>
    <cellStyle name="Accent6 - 60%" xfId="18"/>
    <cellStyle name="Check Cell" xfId="74" builtinId="23"/>
    <cellStyle name="Column heading" xfId="19"/>
    <cellStyle name="Comma 2" xfId="20"/>
    <cellStyle name="Corner heading" xfId="21"/>
    <cellStyle name="Currency 2" xfId="22"/>
    <cellStyle name="Currency 3" xfId="23"/>
    <cellStyle name="Currency 4" xfId="24"/>
    <cellStyle name="Data" xfId="25"/>
    <cellStyle name="Data no deci" xfId="26"/>
    <cellStyle name="Data Superscript" xfId="27"/>
    <cellStyle name="Data_1-1A-Regular" xfId="28"/>
    <cellStyle name="Emphasis 1" xfId="29"/>
    <cellStyle name="Emphasis 2" xfId="30"/>
    <cellStyle name="Emphasis 3" xfId="31"/>
    <cellStyle name="Hed Side" xfId="32"/>
    <cellStyle name="Hed Side bold" xfId="33"/>
    <cellStyle name="Hed Side Indent" xfId="34"/>
    <cellStyle name="Hed Side Regular" xfId="35"/>
    <cellStyle name="Hed Side_1-1A-Regular" xfId="36"/>
    <cellStyle name="Hed Top" xfId="37"/>
    <cellStyle name="Hed Top - SECTION" xfId="38"/>
    <cellStyle name="Hed Top_3-new4" xfId="39"/>
    <cellStyle name="Normal" xfId="0" builtinId="0"/>
    <cellStyle name="Normal 2" xfId="40"/>
    <cellStyle name="Normal 2 2" xfId="41"/>
    <cellStyle name="Normal 2 3" xfId="42"/>
    <cellStyle name="Normal 2_E-UniqueLists" xfId="43"/>
    <cellStyle name="Normal 3" xfId="44"/>
    <cellStyle name="Normal 3 2" xfId="45"/>
    <cellStyle name="Normal 4" xfId="46"/>
    <cellStyle name="Percent 2" xfId="47"/>
    <cellStyle name="Percent 2 2" xfId="48"/>
    <cellStyle name="Percent 3" xfId="49"/>
    <cellStyle name="Percent 3 2" xfId="50"/>
    <cellStyle name="Reference" xfId="51"/>
    <cellStyle name="Row heading" xfId="52"/>
    <cellStyle name="Sheet Title" xfId="53"/>
    <cellStyle name="Source Hed" xfId="54"/>
    <cellStyle name="Source Letter" xfId="55"/>
    <cellStyle name="Source Superscript" xfId="56"/>
    <cellStyle name="Source Text" xfId="57"/>
    <cellStyle name="State" xfId="58"/>
    <cellStyle name="Superscript" xfId="59"/>
    <cellStyle name="Table Data" xfId="60"/>
    <cellStyle name="Table Head Top" xfId="61"/>
    <cellStyle name="Table Hed Side" xfId="62"/>
    <cellStyle name="Table Title" xfId="63"/>
    <cellStyle name="Title Text" xfId="64"/>
    <cellStyle name="Title Text 1" xfId="65"/>
    <cellStyle name="Title Text 2" xfId="66"/>
    <cellStyle name="Title-1" xfId="67"/>
    <cellStyle name="Title-2" xfId="68"/>
    <cellStyle name="Title-3" xfId="69"/>
    <cellStyle name="Wrap" xfId="70"/>
    <cellStyle name="Wrap Bold" xfId="71"/>
    <cellStyle name="Wrap Title" xfId="72"/>
    <cellStyle name="Wrap_A-GraphsStarter" xfId="73"/>
  </cellStyles>
  <dxfs count="0"/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Peaks!$A$6:$A$24</c:f>
              <c:numCache>
                <c:formatCode>0</c:formatCode>
                <c:ptCount val="19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  <c:pt idx="13">
                  <c:v>130</c:v>
                </c:pt>
                <c:pt idx="14">
                  <c:v>140</c:v>
                </c:pt>
                <c:pt idx="15">
                  <c:v>150</c:v>
                </c:pt>
                <c:pt idx="16">
                  <c:v>160</c:v>
                </c:pt>
                <c:pt idx="17">
                  <c:v>170</c:v>
                </c:pt>
                <c:pt idx="18">
                  <c:v>180</c:v>
                </c:pt>
              </c:numCache>
            </c:numRef>
          </c:xVal>
          <c:yVal>
            <c:numRef>
              <c:f>Peaks!$D$6:$D$24</c:f>
              <c:numCache>
                <c:formatCode>0.000</c:formatCode>
                <c:ptCount val="19"/>
                <c:pt idx="0">
                  <c:v>2.4942471290053531E-3</c:v>
                </c:pt>
                <c:pt idx="1">
                  <c:v>0.12322191684730198</c:v>
                </c:pt>
                <c:pt idx="2">
                  <c:v>2.2394530294842903</c:v>
                </c:pt>
                <c:pt idx="3">
                  <c:v>14.972746563574486</c:v>
                </c:pt>
                <c:pt idx="4">
                  <c:v>36.827014030332329</c:v>
                </c:pt>
                <c:pt idx="5">
                  <c:v>33.322460289179965</c:v>
                </c:pt>
                <c:pt idx="6">
                  <c:v>11.092083467945555</c:v>
                </c:pt>
                <c:pt idx="7">
                  <c:v>1.3582969233685613</c:v>
                </c:pt>
                <c:pt idx="8">
                  <c:v>6.1190193011377188E-2</c:v>
                </c:pt>
                <c:pt idx="9">
                  <c:v>1.014085206548676E-3</c:v>
                </c:pt>
                <c:pt idx="10">
                  <c:v>6.1826205001658568E-6</c:v>
                </c:pt>
                <c:pt idx="11">
                  <c:v>1.3866799941653171E-8</c:v>
                </c:pt>
                <c:pt idx="12">
                  <c:v>1.1441564901801368E-11</c:v>
                </c:pt>
                <c:pt idx="13">
                  <c:v>3.4729627485662085E-15</c:v>
                </c:pt>
                <c:pt idx="14">
                  <c:v>3.8781119317469605E-19</c:v>
                </c:pt>
                <c:pt idx="15">
                  <c:v>1.5931111327009666E-23</c:v>
                </c:pt>
                <c:pt idx="16">
                  <c:v>2.4075611318393013E-28</c:v>
                </c:pt>
                <c:pt idx="17">
                  <c:v>1.338486799254288E-33</c:v>
                </c:pt>
                <c:pt idx="18">
                  <c:v>2.7375141923553079E-39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Peaks!$A$6:$A$24</c:f>
              <c:numCache>
                <c:formatCode>0</c:formatCode>
                <c:ptCount val="19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  <c:pt idx="13">
                  <c:v>130</c:v>
                </c:pt>
                <c:pt idx="14">
                  <c:v>140</c:v>
                </c:pt>
                <c:pt idx="15">
                  <c:v>150</c:v>
                </c:pt>
                <c:pt idx="16">
                  <c:v>160</c:v>
                </c:pt>
                <c:pt idx="17">
                  <c:v>170</c:v>
                </c:pt>
                <c:pt idx="18">
                  <c:v>180</c:v>
                </c:pt>
              </c:numCache>
            </c:numRef>
          </c:xVal>
          <c:yVal>
            <c:numRef>
              <c:f>Peaks!$G$6:$G$24</c:f>
              <c:numCache>
                <c:formatCode>0.000</c:formatCode>
                <c:ptCount val="19"/>
                <c:pt idx="0">
                  <c:v>0.87641502467842702</c:v>
                </c:pt>
                <c:pt idx="1">
                  <c:v>2.6995483256594031</c:v>
                </c:pt>
                <c:pt idx="2">
                  <c:v>6.4758797832945865</c:v>
                </c:pt>
                <c:pt idx="3">
                  <c:v>12.098536225957169</c:v>
                </c:pt>
                <c:pt idx="4">
                  <c:v>17.603266338214976</c:v>
                </c:pt>
                <c:pt idx="5">
                  <c:v>19.947114020071638</c:v>
                </c:pt>
                <c:pt idx="6">
                  <c:v>17.603266338214976</c:v>
                </c:pt>
                <c:pt idx="7">
                  <c:v>12.098536225957169</c:v>
                </c:pt>
                <c:pt idx="8">
                  <c:v>6.4758797832945865</c:v>
                </c:pt>
                <c:pt idx="9">
                  <c:v>2.6995483256594031</c:v>
                </c:pt>
                <c:pt idx="10">
                  <c:v>0.87641502467842702</c:v>
                </c:pt>
                <c:pt idx="11">
                  <c:v>0.22159242059690037</c:v>
                </c:pt>
                <c:pt idx="12">
                  <c:v>4.3634134752288008E-2</c:v>
                </c:pt>
                <c:pt idx="13">
                  <c:v>6.6915112882442677E-3</c:v>
                </c:pt>
                <c:pt idx="14">
                  <c:v>7.9918705534527386E-4</c:v>
                </c:pt>
                <c:pt idx="15">
                  <c:v>7.4335975736714881E-5</c:v>
                </c:pt>
                <c:pt idx="16">
                  <c:v>5.3848800212716377E-6</c:v>
                </c:pt>
                <c:pt idx="17">
                  <c:v>3.0379414249116432E-7</c:v>
                </c:pt>
                <c:pt idx="18">
                  <c:v>1.3347783073814259E-8</c:v>
                </c:pt>
              </c:numCache>
            </c:numRef>
          </c:yVal>
          <c:smooth val="1"/>
        </c:ser>
        <c:ser>
          <c:idx val="2"/>
          <c:order val="2"/>
          <c:marker>
            <c:symbol val="none"/>
          </c:marker>
          <c:xVal>
            <c:numRef>
              <c:f>Peaks!$A$6:$A$24</c:f>
              <c:numCache>
                <c:formatCode>0</c:formatCode>
                <c:ptCount val="19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  <c:pt idx="13">
                  <c:v>130</c:v>
                </c:pt>
                <c:pt idx="14">
                  <c:v>140</c:v>
                </c:pt>
                <c:pt idx="15">
                  <c:v>150</c:v>
                </c:pt>
                <c:pt idx="16">
                  <c:v>160</c:v>
                </c:pt>
                <c:pt idx="17">
                  <c:v>170</c:v>
                </c:pt>
                <c:pt idx="18">
                  <c:v>180</c:v>
                </c:pt>
              </c:numCache>
            </c:numRef>
          </c:xVal>
          <c:yVal>
            <c:numRef>
              <c:f>Peaks!$I$6:$I$24</c:f>
              <c:numCache>
                <c:formatCode>0.000</c:formatCode>
                <c:ptCount val="19"/>
                <c:pt idx="0">
                  <c:v>0.87890927180743239</c:v>
                </c:pt>
                <c:pt idx="1">
                  <c:v>2.8227702425067052</c:v>
                </c:pt>
                <c:pt idx="2">
                  <c:v>8.7153328127788772</c:v>
                </c:pt>
                <c:pt idx="3">
                  <c:v>27.071282789531654</c:v>
                </c:pt>
                <c:pt idx="4">
                  <c:v>54.430280368547301</c:v>
                </c:pt>
                <c:pt idx="5">
                  <c:v>53.269574309251603</c:v>
                </c:pt>
                <c:pt idx="6">
                  <c:v>28.695349806160529</c:v>
                </c:pt>
                <c:pt idx="7">
                  <c:v>13.45683314932573</c:v>
                </c:pt>
                <c:pt idx="8">
                  <c:v>6.5370699763059639</c:v>
                </c:pt>
                <c:pt idx="9">
                  <c:v>2.7005624108659516</c:v>
                </c:pt>
                <c:pt idx="10">
                  <c:v>0.87642120729892714</c:v>
                </c:pt>
                <c:pt idx="11">
                  <c:v>0.22159243446370031</c:v>
                </c:pt>
                <c:pt idx="12">
                  <c:v>4.3634134763729571E-2</c:v>
                </c:pt>
                <c:pt idx="13">
                  <c:v>6.6915112882477406E-3</c:v>
                </c:pt>
                <c:pt idx="14">
                  <c:v>7.9918705534527429E-4</c:v>
                </c:pt>
                <c:pt idx="15">
                  <c:v>7.4335975736714881E-5</c:v>
                </c:pt>
                <c:pt idx="16">
                  <c:v>5.3848800212716377E-6</c:v>
                </c:pt>
                <c:pt idx="17">
                  <c:v>3.0379414249116432E-7</c:v>
                </c:pt>
                <c:pt idx="18">
                  <c:v>1.3347783073814259E-8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4895072"/>
        <c:axId val="294895632"/>
      </c:scatterChart>
      <c:valAx>
        <c:axId val="294895072"/>
        <c:scaling>
          <c:orientation val="minMax"/>
          <c:max val="180"/>
          <c:min val="-10"/>
        </c:scaling>
        <c:delete val="0"/>
        <c:axPos val="b"/>
        <c:majorGridlines/>
        <c:numFmt formatCode="0" sourceLinked="1"/>
        <c:majorTickMark val="out"/>
        <c:minorTickMark val="none"/>
        <c:tickLblPos val="nextTo"/>
        <c:crossAx val="294895632"/>
        <c:crosses val="autoZero"/>
        <c:crossBetween val="midCat"/>
        <c:majorUnit val="10"/>
      </c:valAx>
      <c:valAx>
        <c:axId val="294895632"/>
        <c:scaling>
          <c:orientation val="minMax"/>
          <c:min val="0"/>
        </c:scaling>
        <c:delete val="0"/>
        <c:axPos val="l"/>
        <c:majorGridlines/>
        <c:numFmt formatCode="General" sourceLinked="0"/>
        <c:majorTickMark val="in"/>
        <c:minorTickMark val="none"/>
        <c:tickLblPos val="low"/>
        <c:crossAx val="294895072"/>
        <c:crosses val="autoZero"/>
        <c:crossBetween val="midCat"/>
      </c:valAx>
      <c:spPr>
        <a:solidFill>
          <a:srgbClr val="FFFF99"/>
        </a:solidFill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133350</xdr:rowOff>
    </xdr:from>
    <xdr:to>
      <xdr:col>0</xdr:col>
      <xdr:colOff>0</xdr:colOff>
      <xdr:row>4</xdr:row>
      <xdr:rowOff>0</xdr:rowOff>
    </xdr:to>
    <xdr:sp macro="" textlink="">
      <xdr:nvSpPr>
        <xdr:cNvPr id="2" name="AutoShape 2"/>
        <xdr:cNvSpPr>
          <a:spLocks noChangeArrowheads="1"/>
        </xdr:cNvSpPr>
      </xdr:nvSpPr>
      <xdr:spPr bwMode="auto">
        <a:xfrm flipH="1" flipV="1">
          <a:off x="0" y="533400"/>
          <a:ext cx="0" cy="266700"/>
        </a:xfrm>
        <a:prstGeom prst="curvedUpArrow">
          <a:avLst>
            <a:gd name="adj1" fmla="val -2147483648"/>
            <a:gd name="adj2" fmla="val -2147483648"/>
            <a:gd name="adj3" fmla="val -2147483648"/>
          </a:avLst>
        </a:prstGeom>
        <a:solidFill>
          <a:srgbClr val="FFCC99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9</xdr:col>
      <xdr:colOff>409575</xdr:colOff>
      <xdr:row>0</xdr:row>
      <xdr:rowOff>47626</xdr:rowOff>
    </xdr:from>
    <xdr:to>
      <xdr:col>19</xdr:col>
      <xdr:colOff>257175</xdr:colOff>
      <xdr:row>23</xdr:row>
      <xdr:rowOff>152401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0</xdr:row>
          <xdr:rowOff>152400</xdr:rowOff>
        </xdr:from>
        <xdr:to>
          <xdr:col>1</xdr:col>
          <xdr:colOff>152400</xdr:colOff>
          <xdr:row>2</xdr:row>
          <xdr:rowOff>228600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16</xdr:col>
      <xdr:colOff>14654</xdr:colOff>
      <xdr:row>1</xdr:row>
      <xdr:rowOff>190500</xdr:rowOff>
    </xdr:from>
    <xdr:to>
      <xdr:col>18</xdr:col>
      <xdr:colOff>381000</xdr:colOff>
      <xdr:row>3</xdr:row>
      <xdr:rowOff>197828</xdr:rowOff>
    </xdr:to>
    <xdr:sp macro="" textlink="">
      <xdr:nvSpPr>
        <xdr:cNvPr id="4" name="Rounded Rectangle 3"/>
        <xdr:cNvSpPr/>
      </xdr:nvSpPr>
      <xdr:spPr>
        <a:xfrm>
          <a:off x="8103577" y="402981"/>
          <a:ext cx="1582615" cy="520212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Ctr + Sh + P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Gerry/Desktop/MrExcel/VBA-Simulations/8-Extras-Don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reaCodeFinder"/>
      <sheetName val="MarkOverMean"/>
      <sheetName val="Outliers"/>
      <sheetName val="FalsePositives"/>
      <sheetName val="Beliefs"/>
      <sheetName val="SampleTechniques"/>
      <sheetName val="AutoNumber"/>
      <sheetName val="FiscalYear"/>
      <sheetName val="StockMarket"/>
      <sheetName val="WeatherForecast"/>
      <sheetName val="AreaCodeFinder (2)"/>
      <sheetName val="WeightedAvg"/>
    </sheetNames>
    <sheetDataSet>
      <sheetData sheetId="0"/>
      <sheetData sheetId="1"/>
      <sheetData sheetId="2" refreshError="1"/>
      <sheetData sheetId="3" refreshError="1"/>
      <sheetData sheetId="4"/>
      <sheetData sheetId="5"/>
      <sheetData sheetId="6"/>
      <sheetData sheetId="7"/>
      <sheetData sheetId="8">
        <row r="1">
          <cell r="A1" t="str">
            <v>Month</v>
          </cell>
          <cell r="B1" t="str">
            <v>Traditional</v>
          </cell>
          <cell r="C1" t="str">
            <v>S&amp;P 500</v>
          </cell>
          <cell r="E1" t="str">
            <v>Month</v>
          </cell>
          <cell r="F1" t="str">
            <v>Traditional</v>
          </cell>
          <cell r="G1" t="str">
            <v>Trad-3mo</v>
          </cell>
          <cell r="H1" t="str">
            <v>BenchMark</v>
          </cell>
          <cell r="I1" t="str">
            <v>S&amp;P500</v>
          </cell>
          <cell r="J1" t="str">
            <v>S&amp;P-3mo</v>
          </cell>
          <cell r="K1" t="str">
            <v>BenchMark</v>
          </cell>
        </row>
        <row r="2">
          <cell r="A2">
            <v>37987</v>
          </cell>
        </row>
        <row r="3">
          <cell r="A3">
            <v>38018</v>
          </cell>
        </row>
        <row r="4">
          <cell r="A4">
            <v>38047</v>
          </cell>
        </row>
        <row r="5">
          <cell r="A5">
            <v>38078</v>
          </cell>
        </row>
        <row r="6">
          <cell r="A6">
            <v>38108</v>
          </cell>
        </row>
        <row r="7">
          <cell r="A7">
            <v>38139</v>
          </cell>
        </row>
        <row r="8">
          <cell r="A8">
            <v>38169</v>
          </cell>
        </row>
        <row r="9">
          <cell r="A9">
            <v>38200</v>
          </cell>
        </row>
        <row r="10">
          <cell r="A10">
            <v>38231</v>
          </cell>
        </row>
        <row r="11">
          <cell r="A11">
            <v>38261</v>
          </cell>
        </row>
        <row r="12">
          <cell r="A12">
            <v>38292</v>
          </cell>
        </row>
        <row r="13">
          <cell r="A13">
            <v>38322</v>
          </cell>
        </row>
        <row r="14">
          <cell r="A14">
            <v>38353</v>
          </cell>
        </row>
        <row r="15">
          <cell r="A15">
            <v>38384</v>
          </cell>
        </row>
        <row r="16">
          <cell r="A16">
            <v>38412</v>
          </cell>
        </row>
        <row r="17">
          <cell r="A17">
            <v>38443</v>
          </cell>
        </row>
        <row r="18">
          <cell r="A18">
            <v>38473</v>
          </cell>
        </row>
        <row r="19">
          <cell r="A19">
            <v>38504</v>
          </cell>
        </row>
        <row r="20">
          <cell r="A20">
            <v>38534</v>
          </cell>
        </row>
        <row r="21">
          <cell r="A21">
            <v>38565</v>
          </cell>
        </row>
        <row r="22">
          <cell r="A22">
            <v>38596</v>
          </cell>
        </row>
        <row r="23">
          <cell r="A23">
            <v>38626</v>
          </cell>
        </row>
        <row r="24">
          <cell r="A24">
            <v>38657</v>
          </cell>
        </row>
        <row r="25">
          <cell r="A25">
            <v>38687</v>
          </cell>
        </row>
        <row r="26">
          <cell r="A26">
            <v>38718</v>
          </cell>
        </row>
        <row r="27">
          <cell r="A27">
            <v>38749</v>
          </cell>
        </row>
        <row r="28">
          <cell r="A28">
            <v>38777</v>
          </cell>
        </row>
        <row r="29">
          <cell r="A29">
            <v>38808</v>
          </cell>
        </row>
        <row r="30">
          <cell r="A30">
            <v>38838</v>
          </cell>
        </row>
        <row r="31">
          <cell r="A31">
            <v>38869</v>
          </cell>
        </row>
        <row r="32">
          <cell r="A32">
            <v>38899</v>
          </cell>
        </row>
        <row r="33">
          <cell r="A33">
            <v>38930</v>
          </cell>
        </row>
        <row r="34">
          <cell r="A34">
            <v>38961</v>
          </cell>
        </row>
        <row r="35">
          <cell r="A35">
            <v>38991</v>
          </cell>
        </row>
        <row r="36">
          <cell r="A36">
            <v>39022</v>
          </cell>
        </row>
        <row r="37">
          <cell r="A37">
            <v>39052</v>
          </cell>
        </row>
      </sheetData>
      <sheetData sheetId="9" refreshError="1"/>
      <sheetData sheetId="10"/>
      <sheetData sheetId="1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I35"/>
  <sheetViews>
    <sheetView tabSelected="1" zoomScale="130" zoomScaleNormal="130" workbookViewId="0">
      <selection activeCell="G2" sqref="G2"/>
    </sheetView>
  </sheetViews>
  <sheetFormatPr defaultRowHeight="12.75" x14ac:dyDescent="0.2"/>
  <cols>
    <col min="1" max="1" width="5.5703125" style="1" bestFit="1" customWidth="1"/>
    <col min="2" max="2" width="3.5703125" style="1" customWidth="1"/>
    <col min="3" max="3" width="8" style="1" customWidth="1"/>
    <col min="4" max="4" width="9.5703125" style="1" bestFit="1" customWidth="1"/>
    <col min="5" max="5" width="3.5703125" style="1" customWidth="1"/>
    <col min="6" max="6" width="8.140625" style="1" customWidth="1"/>
    <col min="7" max="7" width="9.5703125" style="1" customWidth="1"/>
    <col min="8" max="8" width="4.28515625" style="1" customWidth="1"/>
    <col min="9" max="9" width="7.85546875" style="1" bestFit="1" customWidth="1"/>
    <col min="10" max="10" width="6.28515625" style="1" customWidth="1"/>
    <col min="11" max="16384" width="9.140625" style="1"/>
  </cols>
  <sheetData>
    <row r="1" spans="1:9" ht="16.5" thickBot="1" x14ac:dyDescent="0.3">
      <c r="D1" s="13" t="s">
        <v>4</v>
      </c>
      <c r="G1" s="13" t="s">
        <v>5</v>
      </c>
      <c r="H1" s="13"/>
    </row>
    <row r="2" spans="1:9" ht="20.25" thickTop="1" thickBot="1" x14ac:dyDescent="0.35">
      <c r="A2" s="2"/>
      <c r="B2" s="2"/>
      <c r="C2" s="13" t="s">
        <v>1</v>
      </c>
      <c r="D2" s="10">
        <f>44</f>
        <v>44</v>
      </c>
      <c r="G2" s="14">
        <v>50</v>
      </c>
      <c r="H2" s="3"/>
    </row>
    <row r="3" spans="1:9" ht="20.25" thickTop="1" thickBot="1" x14ac:dyDescent="0.35">
      <c r="A3" s="2"/>
      <c r="B3" s="2"/>
      <c r="C3" s="13" t="s">
        <v>0</v>
      </c>
      <c r="D3" s="10">
        <f>10</f>
        <v>10</v>
      </c>
      <c r="G3" s="14">
        <v>20</v>
      </c>
      <c r="H3" s="3"/>
      <c r="I3" s="4"/>
    </row>
    <row r="4" spans="1:9" ht="16.5" thickTop="1" x14ac:dyDescent="0.25">
      <c r="C4" s="2"/>
      <c r="D4" s="2"/>
    </row>
    <row r="5" spans="1:9" ht="15.75" x14ac:dyDescent="0.25">
      <c r="A5" s="1" t="s">
        <v>2</v>
      </c>
      <c r="C5" s="15" t="s">
        <v>4</v>
      </c>
      <c r="D5" s="15"/>
      <c r="F5" s="15" t="s">
        <v>5</v>
      </c>
      <c r="G5" s="15"/>
      <c r="H5" s="13"/>
      <c r="I5" s="13" t="s">
        <v>3</v>
      </c>
    </row>
    <row r="6" spans="1:9" x14ac:dyDescent="0.2">
      <c r="A6" s="5">
        <v>0</v>
      </c>
      <c r="C6" s="11">
        <f>NORMDIST(A6,$D$2,$D$3,FALSE)</f>
        <v>2.4942471290053532E-6</v>
      </c>
      <c r="D6" s="12">
        <f t="shared" ref="D6:D24" si="0">C6*1000</f>
        <v>2.4942471290053531E-3</v>
      </c>
      <c r="F6" s="11">
        <f>NORMDIST(A6,$G$2,$G$3,FALSE)</f>
        <v>8.7641502467842702E-4</v>
      </c>
      <c r="G6" s="12">
        <f>F6*1000</f>
        <v>0.87641502467842702</v>
      </c>
      <c r="H6" s="6"/>
      <c r="I6" s="12">
        <f t="shared" ref="I6:I24" si="1">D6+G6</f>
        <v>0.87890927180743239</v>
      </c>
    </row>
    <row r="7" spans="1:9" x14ac:dyDescent="0.2">
      <c r="A7" s="5">
        <v>10</v>
      </c>
      <c r="B7" s="8"/>
      <c r="C7" s="11">
        <f t="shared" ref="C7:C24" si="2">NORMDIST(A7,$D$2,$D$3,FALSE)</f>
        <v>1.2322191684730198E-4</v>
      </c>
      <c r="D7" s="12">
        <f t="shared" si="0"/>
        <v>0.12322191684730198</v>
      </c>
      <c r="F7" s="11">
        <f t="shared" ref="F7:F24" si="3">NORMDIST(A7,$G$2,$G$3,FALSE)</f>
        <v>2.6995483256594031E-3</v>
      </c>
      <c r="G7" s="12">
        <f t="shared" ref="G7:G24" si="4">F7*1000</f>
        <v>2.6995483256594031</v>
      </c>
      <c r="H7" s="6"/>
      <c r="I7" s="12">
        <f t="shared" si="1"/>
        <v>2.8227702425067052</v>
      </c>
    </row>
    <row r="8" spans="1:9" x14ac:dyDescent="0.2">
      <c r="A8" s="5">
        <v>20</v>
      </c>
      <c r="B8" s="8"/>
      <c r="C8" s="11">
        <f t="shared" si="2"/>
        <v>2.2394530294842902E-3</v>
      </c>
      <c r="D8" s="12">
        <f t="shared" si="0"/>
        <v>2.2394530294842903</v>
      </c>
      <c r="F8" s="11">
        <f t="shared" si="3"/>
        <v>6.4758797832945867E-3</v>
      </c>
      <c r="G8" s="12">
        <f t="shared" si="4"/>
        <v>6.4758797832945865</v>
      </c>
      <c r="H8" s="6"/>
      <c r="I8" s="12">
        <f t="shared" si="1"/>
        <v>8.7153328127788772</v>
      </c>
    </row>
    <row r="9" spans="1:9" x14ac:dyDescent="0.2">
      <c r="A9" s="5">
        <v>30</v>
      </c>
      <c r="B9" s="8"/>
      <c r="C9" s="11">
        <f t="shared" si="2"/>
        <v>1.4972746563574486E-2</v>
      </c>
      <c r="D9" s="12">
        <f t="shared" si="0"/>
        <v>14.972746563574486</v>
      </c>
      <c r="F9" s="11">
        <f t="shared" si="3"/>
        <v>1.2098536225957168E-2</v>
      </c>
      <c r="G9" s="12">
        <f t="shared" si="4"/>
        <v>12.098536225957169</v>
      </c>
      <c r="H9" s="6"/>
      <c r="I9" s="12">
        <f t="shared" si="1"/>
        <v>27.071282789531654</v>
      </c>
    </row>
    <row r="10" spans="1:9" x14ac:dyDescent="0.2">
      <c r="A10" s="5">
        <v>40</v>
      </c>
      <c r="B10" s="8"/>
      <c r="C10" s="11">
        <f t="shared" si="2"/>
        <v>3.6827014030332332E-2</v>
      </c>
      <c r="D10" s="12">
        <f t="shared" si="0"/>
        <v>36.827014030332329</v>
      </c>
      <c r="F10" s="11">
        <f t="shared" si="3"/>
        <v>1.7603266338214976E-2</v>
      </c>
      <c r="G10" s="12">
        <f t="shared" si="4"/>
        <v>17.603266338214976</v>
      </c>
      <c r="H10" s="6"/>
      <c r="I10" s="12">
        <f t="shared" si="1"/>
        <v>54.430280368547301</v>
      </c>
    </row>
    <row r="11" spans="1:9" x14ac:dyDescent="0.2">
      <c r="A11" s="5">
        <v>50</v>
      </c>
      <c r="B11" s="8"/>
      <c r="C11" s="11">
        <f t="shared" si="2"/>
        <v>3.3322460289179963E-2</v>
      </c>
      <c r="D11" s="12">
        <f t="shared" si="0"/>
        <v>33.322460289179965</v>
      </c>
      <c r="F11" s="11">
        <f t="shared" si="3"/>
        <v>1.9947114020071637E-2</v>
      </c>
      <c r="G11" s="12">
        <f t="shared" si="4"/>
        <v>19.947114020071638</v>
      </c>
      <c r="H11" s="6"/>
      <c r="I11" s="12">
        <f t="shared" si="1"/>
        <v>53.269574309251603</v>
      </c>
    </row>
    <row r="12" spans="1:9" x14ac:dyDescent="0.2">
      <c r="A12" s="5">
        <v>60</v>
      </c>
      <c r="B12" s="8"/>
      <c r="C12" s="11">
        <f t="shared" si="2"/>
        <v>1.1092083467945555E-2</v>
      </c>
      <c r="D12" s="12">
        <f t="shared" si="0"/>
        <v>11.092083467945555</v>
      </c>
      <c r="F12" s="11">
        <f t="shared" si="3"/>
        <v>1.7603266338214976E-2</v>
      </c>
      <c r="G12" s="12">
        <f t="shared" si="4"/>
        <v>17.603266338214976</v>
      </c>
      <c r="H12" s="6"/>
      <c r="I12" s="12">
        <f t="shared" si="1"/>
        <v>28.695349806160529</v>
      </c>
    </row>
    <row r="13" spans="1:9" x14ac:dyDescent="0.2">
      <c r="A13" s="5">
        <v>70</v>
      </c>
      <c r="B13" s="8"/>
      <c r="C13" s="11">
        <f t="shared" si="2"/>
        <v>1.3582969233685612E-3</v>
      </c>
      <c r="D13" s="12">
        <f t="shared" si="0"/>
        <v>1.3582969233685613</v>
      </c>
      <c r="F13" s="11">
        <f t="shared" si="3"/>
        <v>1.2098536225957168E-2</v>
      </c>
      <c r="G13" s="12">
        <f t="shared" si="4"/>
        <v>12.098536225957169</v>
      </c>
      <c r="H13" s="6"/>
      <c r="I13" s="12">
        <f t="shared" si="1"/>
        <v>13.45683314932573</v>
      </c>
    </row>
    <row r="14" spans="1:9" x14ac:dyDescent="0.2">
      <c r="A14" s="5">
        <v>80</v>
      </c>
      <c r="B14" s="8"/>
      <c r="C14" s="11">
        <f t="shared" si="2"/>
        <v>6.1190193011377187E-5</v>
      </c>
      <c r="D14" s="12">
        <f t="shared" si="0"/>
        <v>6.1190193011377188E-2</v>
      </c>
      <c r="F14" s="11">
        <f t="shared" si="3"/>
        <v>6.4758797832945867E-3</v>
      </c>
      <c r="G14" s="12">
        <f t="shared" si="4"/>
        <v>6.4758797832945865</v>
      </c>
      <c r="H14" s="6"/>
      <c r="I14" s="12">
        <f t="shared" si="1"/>
        <v>6.5370699763059639</v>
      </c>
    </row>
    <row r="15" spans="1:9" x14ac:dyDescent="0.2">
      <c r="A15" s="5">
        <v>90</v>
      </c>
      <c r="B15" s="8"/>
      <c r="C15" s="11">
        <f t="shared" si="2"/>
        <v>1.014085206548676E-6</v>
      </c>
      <c r="D15" s="12">
        <f t="shared" si="0"/>
        <v>1.014085206548676E-3</v>
      </c>
      <c r="F15" s="11">
        <f t="shared" si="3"/>
        <v>2.6995483256594031E-3</v>
      </c>
      <c r="G15" s="12">
        <f t="shared" si="4"/>
        <v>2.6995483256594031</v>
      </c>
      <c r="H15" s="6"/>
      <c r="I15" s="12">
        <f t="shared" si="1"/>
        <v>2.7005624108659516</v>
      </c>
    </row>
    <row r="16" spans="1:9" x14ac:dyDescent="0.2">
      <c r="A16" s="5">
        <v>100</v>
      </c>
      <c r="B16" s="8"/>
      <c r="C16" s="11">
        <f t="shared" si="2"/>
        <v>6.1826205001658568E-9</v>
      </c>
      <c r="D16" s="12">
        <f t="shared" si="0"/>
        <v>6.1826205001658568E-6</v>
      </c>
      <c r="F16" s="11">
        <f t="shared" si="3"/>
        <v>8.7641502467842702E-4</v>
      </c>
      <c r="G16" s="12">
        <f t="shared" si="4"/>
        <v>0.87641502467842702</v>
      </c>
      <c r="H16" s="6"/>
      <c r="I16" s="12">
        <f t="shared" si="1"/>
        <v>0.87642120729892714</v>
      </c>
    </row>
    <row r="17" spans="1:9" x14ac:dyDescent="0.2">
      <c r="A17" s="5">
        <v>110</v>
      </c>
      <c r="B17" s="8"/>
      <c r="C17" s="11">
        <f t="shared" si="2"/>
        <v>1.3866799941653171E-11</v>
      </c>
      <c r="D17" s="12">
        <f t="shared" si="0"/>
        <v>1.3866799941653171E-8</v>
      </c>
      <c r="F17" s="11">
        <f t="shared" si="3"/>
        <v>2.2159242059690038E-4</v>
      </c>
      <c r="G17" s="12">
        <f t="shared" si="4"/>
        <v>0.22159242059690037</v>
      </c>
      <c r="H17" s="6"/>
      <c r="I17" s="12">
        <f t="shared" si="1"/>
        <v>0.22159243446370031</v>
      </c>
    </row>
    <row r="18" spans="1:9" x14ac:dyDescent="0.2">
      <c r="A18" s="5">
        <v>120</v>
      </c>
      <c r="B18" s="8"/>
      <c r="C18" s="11">
        <f t="shared" si="2"/>
        <v>1.1441564901801369E-14</v>
      </c>
      <c r="D18" s="12">
        <f t="shared" si="0"/>
        <v>1.1441564901801368E-11</v>
      </c>
      <c r="F18" s="11">
        <f t="shared" si="3"/>
        <v>4.3634134752288005E-5</v>
      </c>
      <c r="G18" s="12">
        <f t="shared" si="4"/>
        <v>4.3634134752288008E-2</v>
      </c>
      <c r="H18" s="6"/>
      <c r="I18" s="12">
        <f t="shared" si="1"/>
        <v>4.3634134763729571E-2</v>
      </c>
    </row>
    <row r="19" spans="1:9" x14ac:dyDescent="0.2">
      <c r="A19" s="5">
        <v>130</v>
      </c>
      <c r="B19" s="8"/>
      <c r="C19" s="11">
        <f t="shared" si="2"/>
        <v>3.4729627485662083E-18</v>
      </c>
      <c r="D19" s="12">
        <f t="shared" si="0"/>
        <v>3.4729627485662085E-15</v>
      </c>
      <c r="F19" s="11">
        <f t="shared" si="3"/>
        <v>6.6915112882442679E-6</v>
      </c>
      <c r="G19" s="12">
        <f t="shared" si="4"/>
        <v>6.6915112882442677E-3</v>
      </c>
      <c r="H19" s="6"/>
      <c r="I19" s="12">
        <f t="shared" si="1"/>
        <v>6.6915112882477406E-3</v>
      </c>
    </row>
    <row r="20" spans="1:9" x14ac:dyDescent="0.2">
      <c r="A20" s="5">
        <v>140</v>
      </c>
      <c r="B20" s="8"/>
      <c r="C20" s="11">
        <f t="shared" si="2"/>
        <v>3.8781119317469604E-22</v>
      </c>
      <c r="D20" s="12">
        <f t="shared" si="0"/>
        <v>3.8781119317469605E-19</v>
      </c>
      <c r="F20" s="11">
        <f t="shared" si="3"/>
        <v>7.9918705534527388E-7</v>
      </c>
      <c r="G20" s="12">
        <f t="shared" si="4"/>
        <v>7.9918705534527386E-4</v>
      </c>
      <c r="H20" s="6"/>
      <c r="I20" s="12">
        <f t="shared" si="1"/>
        <v>7.9918705534527429E-4</v>
      </c>
    </row>
    <row r="21" spans="1:9" x14ac:dyDescent="0.2">
      <c r="A21" s="5">
        <v>150</v>
      </c>
      <c r="B21" s="8"/>
      <c r="C21" s="11">
        <f t="shared" si="2"/>
        <v>1.5931111327009667E-26</v>
      </c>
      <c r="D21" s="12">
        <f t="shared" si="0"/>
        <v>1.5931111327009666E-23</v>
      </c>
      <c r="F21" s="11">
        <f t="shared" si="3"/>
        <v>7.4335975736714887E-8</v>
      </c>
      <c r="G21" s="12">
        <f t="shared" si="4"/>
        <v>7.4335975736714881E-5</v>
      </c>
      <c r="H21" s="6"/>
      <c r="I21" s="12">
        <f t="shared" si="1"/>
        <v>7.4335975736714881E-5</v>
      </c>
    </row>
    <row r="22" spans="1:9" x14ac:dyDescent="0.2">
      <c r="A22" s="5">
        <v>160</v>
      </c>
      <c r="B22" s="8"/>
      <c r="C22" s="11">
        <f t="shared" si="2"/>
        <v>2.4075611318393012E-31</v>
      </c>
      <c r="D22" s="12">
        <f t="shared" si="0"/>
        <v>2.4075611318393013E-28</v>
      </c>
      <c r="F22" s="11">
        <f t="shared" si="3"/>
        <v>5.3848800212716374E-9</v>
      </c>
      <c r="G22" s="12">
        <f t="shared" si="4"/>
        <v>5.3848800212716377E-6</v>
      </c>
      <c r="H22" s="6"/>
      <c r="I22" s="12">
        <f t="shared" si="1"/>
        <v>5.3848800212716377E-6</v>
      </c>
    </row>
    <row r="23" spans="1:9" x14ac:dyDescent="0.2">
      <c r="A23" s="5">
        <v>170</v>
      </c>
      <c r="B23" s="8"/>
      <c r="C23" s="11">
        <f t="shared" si="2"/>
        <v>1.338486799254288E-36</v>
      </c>
      <c r="D23" s="12">
        <f t="shared" si="0"/>
        <v>1.338486799254288E-33</v>
      </c>
      <c r="F23" s="11">
        <f t="shared" si="3"/>
        <v>3.037941424911643E-10</v>
      </c>
      <c r="G23" s="12">
        <f t="shared" si="4"/>
        <v>3.0379414249116432E-7</v>
      </c>
      <c r="H23" s="6"/>
      <c r="I23" s="12">
        <f t="shared" si="1"/>
        <v>3.0379414249116432E-7</v>
      </c>
    </row>
    <row r="24" spans="1:9" x14ac:dyDescent="0.2">
      <c r="A24" s="5">
        <v>180</v>
      </c>
      <c r="B24" s="8"/>
      <c r="C24" s="11">
        <f t="shared" si="2"/>
        <v>2.7375141923553081E-42</v>
      </c>
      <c r="D24" s="12">
        <f t="shared" si="0"/>
        <v>2.7375141923553079E-39</v>
      </c>
      <c r="F24" s="11">
        <f t="shared" si="3"/>
        <v>1.3347783073814259E-11</v>
      </c>
      <c r="G24" s="12">
        <f t="shared" si="4"/>
        <v>1.3347783073814259E-8</v>
      </c>
      <c r="H24" s="6"/>
      <c r="I24" s="12">
        <f t="shared" si="1"/>
        <v>1.3347783073814259E-8</v>
      </c>
    </row>
    <row r="25" spans="1:9" x14ac:dyDescent="0.2">
      <c r="A25" s="5"/>
      <c r="B25" s="8"/>
      <c r="C25" s="6"/>
      <c r="D25" s="7"/>
      <c r="F25" s="6"/>
      <c r="G25" s="7"/>
      <c r="H25" s="6"/>
      <c r="I25" s="7"/>
    </row>
    <row r="26" spans="1:9" x14ac:dyDescent="0.2">
      <c r="A26" s="5"/>
      <c r="B26" s="8"/>
      <c r="C26" s="6"/>
      <c r="D26" s="7"/>
      <c r="F26" s="6"/>
      <c r="G26" s="7"/>
      <c r="H26" s="6"/>
      <c r="I26" s="7"/>
    </row>
    <row r="27" spans="1:9" x14ac:dyDescent="0.2">
      <c r="A27" s="8"/>
      <c r="B27" s="8"/>
      <c r="C27" s="8"/>
      <c r="D27" s="6"/>
      <c r="E27" s="6"/>
      <c r="F27" s="6"/>
      <c r="G27" s="6"/>
      <c r="H27" s="6"/>
    </row>
    <row r="28" spans="1:9" x14ac:dyDescent="0.2">
      <c r="A28" s="8"/>
      <c r="B28" s="8"/>
      <c r="C28" s="8"/>
      <c r="D28" s="6"/>
      <c r="E28" s="6"/>
      <c r="F28" s="6"/>
      <c r="G28" s="6"/>
      <c r="H28" s="6"/>
    </row>
    <row r="29" spans="1:9" x14ac:dyDescent="0.2">
      <c r="A29" s="8"/>
      <c r="B29" s="8"/>
      <c r="C29" s="8"/>
      <c r="D29" s="6"/>
      <c r="E29" s="6"/>
      <c r="F29" s="6"/>
      <c r="G29" s="6"/>
      <c r="H29" s="6"/>
    </row>
    <row r="30" spans="1:9" x14ac:dyDescent="0.2">
      <c r="A30" s="8"/>
      <c r="B30" s="8"/>
      <c r="C30" s="8"/>
      <c r="D30" s="6"/>
      <c r="E30" s="6"/>
      <c r="F30" s="6"/>
      <c r="G30" s="6"/>
      <c r="H30" s="6"/>
    </row>
    <row r="31" spans="1:9" x14ac:dyDescent="0.2">
      <c r="A31" s="8"/>
      <c r="B31" s="8"/>
      <c r="C31" s="8"/>
      <c r="D31" s="6"/>
      <c r="E31" s="6"/>
      <c r="F31" s="6"/>
      <c r="G31" s="6"/>
      <c r="H31" s="6"/>
    </row>
    <row r="32" spans="1:9" x14ac:dyDescent="0.2">
      <c r="A32" s="8"/>
      <c r="B32" s="8"/>
      <c r="C32" s="8"/>
      <c r="D32" s="6"/>
      <c r="E32" s="6"/>
      <c r="F32" s="6"/>
      <c r="G32" s="6"/>
      <c r="H32" s="6"/>
    </row>
    <row r="33" spans="1:8" x14ac:dyDescent="0.2">
      <c r="A33" s="8"/>
      <c r="B33" s="8"/>
      <c r="C33" s="8"/>
      <c r="D33" s="6"/>
      <c r="E33" s="6"/>
      <c r="F33" s="6"/>
      <c r="G33" s="6"/>
      <c r="H33" s="6"/>
    </row>
    <row r="35" spans="1:8" x14ac:dyDescent="0.2">
      <c r="D35" s="9"/>
      <c r="E35" s="9"/>
      <c r="F35" s="9"/>
      <c r="G35" s="9"/>
      <c r="H35" s="9"/>
    </row>
  </sheetData>
  <mergeCells count="2">
    <mergeCell ref="C5:D5"/>
    <mergeCell ref="F5:G5"/>
  </mergeCells>
  <dataValidations disablePrompts="1" count="1">
    <dataValidation type="list" allowBlank="1" showInputMessage="1" showErrorMessage="1" sqref="H3">
      <formula1>#REF!</formula1>
    </dataValidation>
  </dataValidations>
  <pageMargins left="0.75" right="0.75" top="1" bottom="1" header="0.5" footer="0.5"/>
  <pageSetup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0</xdr:col>
                <xdr:colOff>114300</xdr:colOff>
                <xdr:row>0</xdr:row>
                <xdr:rowOff>152400</xdr:rowOff>
              </from>
              <to>
                <xdr:col>1</xdr:col>
                <xdr:colOff>152400</xdr:colOff>
                <xdr:row>2</xdr:row>
                <xdr:rowOff>228600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Peaks</vt:lpstr>
    </vt:vector>
  </TitlesOfParts>
  <Company>Hewlett-Packard Company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Gerry</dc:creator>
  <cp:lastModifiedBy>Gerry</cp:lastModifiedBy>
  <dcterms:created xsi:type="dcterms:W3CDTF">2012-12-16T18:22:25Z</dcterms:created>
  <dcterms:modified xsi:type="dcterms:W3CDTF">2016-10-30T10:56:51Z</dcterms:modified>
</cp:coreProperties>
</file>