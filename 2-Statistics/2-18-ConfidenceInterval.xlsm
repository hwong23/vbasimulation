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0" yWindow="0" windowWidth="24000" windowHeight="11025"/>
  </bookViews>
  <sheets>
    <sheet name="Confidence Interval" sheetId="1" r:id="rId1"/>
  </sheets>
  <externalReferences>
    <externalReference r:id="rId2"/>
    <externalReference r:id="rId3"/>
    <externalReference r:id="rId4"/>
  </externalReferences>
  <definedNames>
    <definedName name="Checkbook">#REF!</definedName>
    <definedName name="_xlnm.Database">#REF!</definedName>
    <definedName name="Depts">#REF!</definedName>
    <definedName name="Entry">#REF!</definedName>
    <definedName name="Hb">'[1]7-Oxygen'!$C$3:$C$15</definedName>
    <definedName name="IP">[2]Absorption!$C$1</definedName>
    <definedName name="Max">[2]Sigmoid!$B$19</definedName>
    <definedName name="Oxygen">'[1]7-Oxygen'!$B$3:$C$15</definedName>
    <definedName name="Pressures">'[1]7-Oxygen'!$B$3:$B$15</definedName>
    <definedName name="Rate">[2]Sigmoid!$C$21</definedName>
    <definedName name="signif">0.05</definedName>
    <definedName name="Slope">[2]Absorption!$C$2</definedName>
    <definedName name="SP">[2]Absorption!$C$21</definedName>
    <definedName name="Table">OFFSET('[3]6B-Stock'!$A$1,0,0,COUNTA('[3]6B-Stock'!$A$1:$A$65536),COUNTA('[3]6B-Stock'!$A$1:$IV$1))</definedName>
  </definedNames>
  <calcPr calcId="152511" calcMode="manual" iterate="1" iterateCount="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8" i="1"/>
  <c r="B9" i="1"/>
  <c r="B7" i="1"/>
  <c r="C8" i="1" l="1"/>
  <c r="D7" i="1"/>
  <c r="E7" i="1"/>
  <c r="C7" i="1"/>
  <c r="D9" i="1"/>
  <c r="C9" i="1"/>
  <c r="D8" i="1"/>
  <c r="E9" i="1"/>
  <c r="E8" i="1"/>
</calcChain>
</file>

<file path=xl/sharedStrings.xml><?xml version="1.0" encoding="utf-8"?>
<sst xmlns="http://schemas.openxmlformats.org/spreadsheetml/2006/main" count="9" uniqueCount="9">
  <si>
    <t>value</t>
  </si>
  <si>
    <t>n</t>
  </si>
  <si>
    <t>SE</t>
  </si>
  <si>
    <t>t-val</t>
  </si>
  <si>
    <t>min</t>
  </si>
  <si>
    <t>max</t>
  </si>
  <si>
    <t>margin</t>
  </si>
  <si>
    <t>SD</t>
  </si>
  <si>
    <t>confidence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</si>
</sst>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rgb="FF0000FF"/>
      <name val="Arial"/>
      <family val="2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8">
    <xf numFmtId="0" fontId="0" fillId="0" borderId="0" xfId="0"/>
    <xf numFmtId="2" fontId="0" fillId="0" borderId="0" xfId="0" applyNumberFormat="1" applyProtection="1"/>
    <xf numFmtId="164" fontId="0" fillId="0" borderId="0" xfId="0" applyNumberForma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0" borderId="0" xfId="0" applyFont="1" applyProtection="1"/>
    <xf numFmtId="9" fontId="0" fillId="0" borderId="0" xfId="0" applyNumberFormat="1" applyFill="1" applyBorder="1" applyProtection="1"/>
    <xf numFmtId="0" fontId="0" fillId="0" borderId="0" xfId="0" applyFill="1" applyBorder="1" applyProtection="1"/>
  </cellXfs>
  <cellStyles count="2">
    <cellStyle name="Normal" xfId="0" builtinId="0"/>
    <cellStyle name="Normal 2" xfId="1"/>
  </cellStyles>
  <dxfs count="1"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'Confidence Interval'!$D$6</c:f>
              <c:strCache>
                <c:ptCount val="1"/>
                <c:pt idx="0">
                  <c:v>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'Confidence Interval'!$A$7:$A$9</c:f>
              <c:numCache>
                <c:formatCode>0%</c:formatCode>
                <c:ptCount val="3"/>
                <c:pt idx="0">
                  <c:v>0.99</c:v>
                </c:pt>
                <c:pt idx="1">
                  <c:v>0.95</c:v>
                </c:pt>
                <c:pt idx="2">
                  <c:v>0.9</c:v>
                </c:pt>
              </c:numCache>
            </c:numRef>
          </c:xVal>
          <c:yVal>
            <c:numRef>
              <c:f>'Confidence Interval'!$D$7:$D$9</c:f>
              <c:numCache>
                <c:formatCode>0.000</c:formatCode>
                <c:ptCount val="3"/>
                <c:pt idx="0">
                  <c:v>5.2483775438950584</c:v>
                </c:pt>
                <c:pt idx="1">
                  <c:v>5.3132969316209504</c:v>
                </c:pt>
                <c:pt idx="2">
                  <c:v>5.3448916332501542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'Confidence Interval'!$E$6</c:f>
              <c:strCache>
                <c:ptCount val="1"/>
                <c:pt idx="0">
                  <c:v>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'Confidence Interval'!$A$7:$A$9</c:f>
              <c:numCache>
                <c:formatCode>0%</c:formatCode>
                <c:ptCount val="3"/>
                <c:pt idx="0">
                  <c:v>0.99</c:v>
                </c:pt>
                <c:pt idx="1">
                  <c:v>0.95</c:v>
                </c:pt>
                <c:pt idx="2">
                  <c:v>0.9</c:v>
                </c:pt>
              </c:numCache>
            </c:numRef>
          </c:xVal>
          <c:yVal>
            <c:numRef>
              <c:f>'Confidence Interval'!$E$7:$E$9</c:f>
              <c:numCache>
                <c:formatCode>0.000</c:formatCode>
                <c:ptCount val="3"/>
                <c:pt idx="0">
                  <c:v>5.7516224561049416</c:v>
                </c:pt>
                <c:pt idx="1">
                  <c:v>5.6867030683790496</c:v>
                </c:pt>
                <c:pt idx="2">
                  <c:v>5.6551083667498458</c:v>
                </c:pt>
              </c:numCache>
            </c:numRef>
          </c:yVal>
          <c:smooth val="1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94325472"/>
        <c:axId val="294327152"/>
      </c:scatterChart>
      <c:valAx>
        <c:axId val="29432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95% Confidence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27152"/>
        <c:crosses val="autoZero"/>
        <c:crossBetween val="midCat"/>
        <c:majorUnit val="1.0000000000000002E-2"/>
      </c:valAx>
      <c:valAx>
        <c:axId val="29432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2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0</xdr:row>
      <xdr:rowOff>73024</xdr:rowOff>
    </xdr:from>
    <xdr:to>
      <xdr:col>12</xdr:col>
      <xdr:colOff>571500</xdr:colOff>
      <xdr:row>17</xdr:row>
      <xdr:rowOff>117661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369794</xdr:colOff>
      <xdr:row>10</xdr:row>
      <xdr:rowOff>28014</xdr:rowOff>
    </xdr:from>
    <xdr:to>
      <xdr:col>4</xdr:col>
      <xdr:colOff>448235</xdr:colOff>
      <xdr:row>17</xdr:row>
      <xdr:rowOff>112057</xdr:rowOff>
    </xdr:to>
    <xdr:sp macro="" textlink="">
      <xdr:nvSpPr>
        <xdr:cNvPr id="3" name="Rounded Rectangle 2"/>
        <xdr:cNvSpPr/>
      </xdr:nvSpPr>
      <xdr:spPr>
        <a:xfrm>
          <a:off x="369794" y="1933014"/>
          <a:ext cx="2672603" cy="141754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800"/>
            <a:t>confidence</a:t>
          </a:r>
          <a:r>
            <a:rPr lang="en-US" sz="1800" baseline="0"/>
            <a:t> interval:</a:t>
          </a:r>
        </a:p>
        <a:p>
          <a:pPr algn="ctr"/>
          <a:r>
            <a:rPr lang="en-US" sz="1800"/>
            <a:t>Ctrl + Shift + C</a:t>
          </a:r>
        </a:p>
        <a:p>
          <a:pPr algn="ctr"/>
          <a:r>
            <a:rPr lang="en-US" sz="1800"/>
            <a:t>for sample size: </a:t>
          </a:r>
        </a:p>
        <a:p>
          <a:pPr algn="ctr"/>
          <a:r>
            <a:rPr lang="en-US" sz="1800"/>
            <a:t>Ctrl + Shift + 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erry%20Verschuuren/My%20Documents/Classes/Excel/ScienceClass/Plotting-Data/L-Interpolat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Science-13-CD/Science-13-CD/Mod3-Curve-Fitting/Finished%20Files/F-Sigmoi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Classes/Excel/ClassXL2007/A5-LookupFunc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1-TrendLine"/>
      <sheetName val="2-3D-Markers"/>
      <sheetName val="3-BallFall"/>
      <sheetName val="4-PopGrowth"/>
      <sheetName val="5-Titration"/>
      <sheetName val="6-Extrapol"/>
      <sheetName val="7-Oxyg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5</v>
          </cell>
          <cell r="C3">
            <v>5.2</v>
          </cell>
        </row>
        <row r="4">
          <cell r="B4">
            <v>10</v>
          </cell>
          <cell r="C4">
            <v>9.3000000000000007</v>
          </cell>
        </row>
        <row r="5">
          <cell r="B5">
            <v>20</v>
          </cell>
          <cell r="C5">
            <v>29.9</v>
          </cell>
        </row>
        <row r="6">
          <cell r="B6">
            <v>30</v>
          </cell>
          <cell r="C6">
            <v>52.9</v>
          </cell>
        </row>
        <row r="7">
          <cell r="B7">
            <v>40</v>
          </cell>
          <cell r="C7">
            <v>71.5</v>
          </cell>
        </row>
        <row r="8">
          <cell r="B8">
            <v>50</v>
          </cell>
          <cell r="C8">
            <v>83.4</v>
          </cell>
        </row>
        <row r="9">
          <cell r="B9">
            <v>60</v>
          </cell>
          <cell r="C9">
            <v>92.2</v>
          </cell>
        </row>
        <row r="10">
          <cell r="B10">
            <v>70</v>
          </cell>
          <cell r="C10">
            <v>95.8</v>
          </cell>
        </row>
        <row r="11">
          <cell r="B11">
            <v>80</v>
          </cell>
          <cell r="C11">
            <v>97.5</v>
          </cell>
        </row>
        <row r="12">
          <cell r="B12">
            <v>90</v>
          </cell>
          <cell r="C12">
            <v>98.9</v>
          </cell>
        </row>
        <row r="13">
          <cell r="B13">
            <v>100</v>
          </cell>
          <cell r="C13">
            <v>99.1</v>
          </cell>
        </row>
        <row r="14">
          <cell r="B14">
            <v>110</v>
          </cell>
          <cell r="C14">
            <v>99.5</v>
          </cell>
        </row>
        <row r="15">
          <cell r="B15">
            <v>120</v>
          </cell>
          <cell r="C15">
            <v>99.9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moid"/>
      <sheetName val="Integration"/>
      <sheetName val="Split-Trick"/>
      <sheetName val="IP-SP"/>
      <sheetName val="Slope"/>
      <sheetName val="GrowthCurve"/>
      <sheetName val="Absorption"/>
      <sheetName val="Hb-Oxyg"/>
      <sheetName val="Test"/>
      <sheetName val="EC50Determ"/>
      <sheetName val="EC50-IC50"/>
    </sheetNames>
    <sheetDataSet>
      <sheetData sheetId="0">
        <row r="19">
          <cell r="B19">
            <v>200</v>
          </cell>
        </row>
        <row r="21">
          <cell r="C21">
            <v>0.49719347368145589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>
            <v>0.1555</v>
          </cell>
        </row>
        <row r="2">
          <cell r="C2">
            <v>25.938517965042877</v>
          </cell>
        </row>
        <row r="21">
          <cell r="C21">
            <v>100</v>
          </cell>
        </row>
      </sheetData>
      <sheetData sheetId="7" refreshError="1"/>
      <sheetData sheetId="8" refreshError="1"/>
      <sheetData sheetId="9" refreshError="1"/>
      <sheetData sheetId="10">
        <row r="1">
          <cell r="D1" t="str">
            <v>Boltzmann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VLookup"/>
      <sheetName val="1A-VLookup"/>
      <sheetName val="1B-VL+TRIM"/>
      <sheetName val="1C-FiscalYear"/>
      <sheetName val="1D-TwoVLTables"/>
      <sheetName val="2-VL-Parts"/>
      <sheetName val="3-Match"/>
      <sheetName val="4-2D-Index"/>
      <sheetName val="5-VL-2Col"/>
      <sheetName val="6-IndexLookup"/>
      <sheetName val="6A-LastEntry"/>
      <sheetName val="6B-Stock"/>
      <sheetName val="7-OnlyIndex"/>
      <sheetName val="8-Indirect"/>
      <sheetName val="9-CreateNam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">
          <cell r="A1" t="str">
            <v>Month</v>
          </cell>
          <cell r="B1" t="str">
            <v>Traditional</v>
          </cell>
          <cell r="C1" t="str">
            <v>S&amp;P 500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zoomScale="170" zoomScaleNormal="170" workbookViewId="0">
      <selection activeCell="B4" sqref="B4"/>
    </sheetView>
  </sheetViews>
  <sheetFormatPr defaultRowHeight="15" x14ac:dyDescent="0.25"/>
  <cols>
    <col min="1" max="1" width="10.85546875" style="3" bestFit="1" customWidth="1"/>
    <col min="2" max="2" width="9.7109375" style="3" customWidth="1"/>
    <col min="3" max="16384" width="9.140625" style="3"/>
  </cols>
  <sheetData>
    <row r="1" spans="1:5" x14ac:dyDescent="0.25">
      <c r="A1" s="3" t="s">
        <v>0</v>
      </c>
      <c r="B1" s="7">
        <v>5.5</v>
      </c>
    </row>
    <row r="2" spans="1:5" x14ac:dyDescent="0.25">
      <c r="A2" s="3" t="s">
        <v>1</v>
      </c>
      <c r="B2" s="7">
        <v>30</v>
      </c>
    </row>
    <row r="3" spans="1:5" x14ac:dyDescent="0.25">
      <c r="A3" s="3" t="s">
        <v>7</v>
      </c>
      <c r="B3" s="7">
        <v>0.5</v>
      </c>
    </row>
    <row r="4" spans="1:5" x14ac:dyDescent="0.25">
      <c r="A4" s="3" t="s">
        <v>2</v>
      </c>
      <c r="B4" s="1">
        <f>B3/SQRT(B2)</f>
        <v>9.1287092917527679E-2</v>
      </c>
    </row>
    <row r="6" spans="1:5" x14ac:dyDescent="0.25">
      <c r="A6" s="4" t="s">
        <v>8</v>
      </c>
      <c r="B6" s="4" t="s">
        <v>3</v>
      </c>
      <c r="C6" s="4" t="s">
        <v>6</v>
      </c>
      <c r="D6" s="4" t="s">
        <v>4</v>
      </c>
      <c r="E6" s="4" t="s">
        <v>5</v>
      </c>
    </row>
    <row r="7" spans="1:5" x14ac:dyDescent="0.25">
      <c r="A7" s="6">
        <v>0.99</v>
      </c>
      <c r="B7" s="1">
        <f>_xlfn.T.INV.2T(1-A7,$B$2-1)</f>
        <v>2.7563859036706049</v>
      </c>
      <c r="C7" s="2">
        <f>B7*$B$4</f>
        <v>0.25162245610494199</v>
      </c>
      <c r="D7" s="2">
        <f>$B$1-$B7*$B$4</f>
        <v>5.2483775438950584</v>
      </c>
      <c r="E7" s="2">
        <f t="shared" ref="E7:E9" si="0">$B$1+$B7*$B$4</f>
        <v>5.7516224561049416</v>
      </c>
    </row>
    <row r="8" spans="1:5" x14ac:dyDescent="0.25">
      <c r="A8" s="6">
        <v>0.95</v>
      </c>
      <c r="B8" s="1">
        <f t="shared" ref="B8:B9" si="1">_xlfn.T.INV.2T(1-A8,$B$2-1)</f>
        <v>2.0452296421327034</v>
      </c>
      <c r="C8" s="2">
        <f t="shared" ref="C8:C9" si="2">B8*$B$4</f>
        <v>0.18670306837904999</v>
      </c>
      <c r="D8" s="2">
        <f>$B$1-$B8*$B$4</f>
        <v>5.3132969316209504</v>
      </c>
      <c r="E8" s="2">
        <f t="shared" si="0"/>
        <v>5.6867030683790496</v>
      </c>
    </row>
    <row r="9" spans="1:5" x14ac:dyDescent="0.25">
      <c r="A9" s="6">
        <v>0.9</v>
      </c>
      <c r="B9" s="1">
        <f t="shared" si="1"/>
        <v>1.6991270265334986</v>
      </c>
      <c r="C9" s="2">
        <f t="shared" si="2"/>
        <v>0.15510836674984599</v>
      </c>
      <c r="D9" s="2">
        <f>$B$1-$B9*$B$4</f>
        <v>5.3448916332501542</v>
      </c>
      <c r="E9" s="2">
        <f t="shared" si="0"/>
        <v>5.6551083667498458</v>
      </c>
    </row>
    <row r="12" spans="1:5" x14ac:dyDescent="0.25">
      <c r="D12" s="5"/>
    </row>
  </sheetData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Confidence Interval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2014-03-07T12:32:04Z</dcterms:created>
  <dcterms:modified xsi:type="dcterms:W3CDTF">2016-11-04T13:32:36Z</dcterms:modified>
</cp:coreProperties>
</file>