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0" yWindow="0" windowWidth="24000" windowHeight="11025"/>
  </bookViews>
  <sheets>
    <sheet name="Single Correlation" sheetId="2" r:id="rId1"/>
    <sheet name="Multiple Correlations" sheetId="3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3" l="1" a="1"/>
  <c r="F9" i="3" l="1"/>
  <c r="G10" i="3"/>
  <c r="F8" i="3"/>
  <c r="G9" i="3"/>
  <c r="H10" i="3"/>
  <c r="G8" i="3"/>
  <c r="H9" i="3"/>
  <c r="H8" i="3"/>
  <c r="F10" i="3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J2" i="3" l="1" a="1"/>
  <c r="G18" i="3"/>
  <c r="F18" i="3"/>
  <c r="F17" i="3"/>
  <c r="J2" i="3" l="1"/>
  <c r="F24" i="3" s="1"/>
  <c r="J7" i="3"/>
  <c r="K12" i="3"/>
  <c r="L17" i="3"/>
  <c r="J23" i="3"/>
  <c r="K28" i="3"/>
  <c r="J3" i="3"/>
  <c r="K8" i="3"/>
  <c r="L13" i="3"/>
  <c r="J19" i="3"/>
  <c r="K24" i="3"/>
  <c r="L29" i="3"/>
  <c r="K4" i="3"/>
  <c r="L9" i="3"/>
  <c r="J15" i="3"/>
  <c r="K20" i="3"/>
  <c r="L25" i="3"/>
  <c r="J31" i="3"/>
  <c r="L5" i="3"/>
  <c r="J11" i="3"/>
  <c r="K16" i="3"/>
  <c r="L21" i="3"/>
  <c r="J27" i="3"/>
  <c r="K29" i="3"/>
  <c r="J24" i="3"/>
  <c r="L18" i="3"/>
  <c r="K13" i="3"/>
  <c r="J8" i="3"/>
  <c r="L2" i="3"/>
  <c r="L27" i="3"/>
  <c r="K22" i="3"/>
  <c r="J17" i="3"/>
  <c r="L11" i="3"/>
  <c r="K6" i="3"/>
  <c r="K31" i="3"/>
  <c r="J26" i="3"/>
  <c r="L20" i="3"/>
  <c r="K15" i="3"/>
  <c r="J10" i="3"/>
  <c r="L4" i="3"/>
  <c r="J28" i="3"/>
  <c r="L22" i="3"/>
  <c r="K17" i="3"/>
  <c r="J12" i="3"/>
  <c r="L6" i="3"/>
  <c r="L31" i="3"/>
  <c r="K26" i="3"/>
  <c r="J21" i="3"/>
  <c r="L15" i="3"/>
  <c r="K10" i="3"/>
  <c r="J5" i="3"/>
  <c r="J30" i="3"/>
  <c r="L24" i="3"/>
  <c r="K19" i="3"/>
  <c r="J14" i="3"/>
  <c r="L8" i="3"/>
  <c r="K3" i="3"/>
  <c r="L26" i="3"/>
  <c r="K21" i="3"/>
  <c r="J16" i="3"/>
  <c r="L10" i="3"/>
  <c r="K5" i="3"/>
  <c r="K30" i="3"/>
  <c r="J25" i="3"/>
  <c r="L19" i="3"/>
  <c r="K14" i="3"/>
  <c r="J9" i="3"/>
  <c r="L3" i="3"/>
  <c r="L28" i="3"/>
  <c r="K23" i="3"/>
  <c r="J18" i="3"/>
  <c r="L12" i="3"/>
  <c r="K7" i="3"/>
  <c r="L30" i="3"/>
  <c r="K25" i="3"/>
  <c r="J20" i="3"/>
  <c r="L14" i="3"/>
  <c r="K9" i="3"/>
  <c r="J4" i="3"/>
  <c r="J29" i="3"/>
  <c r="L23" i="3"/>
  <c r="K18" i="3"/>
  <c r="J13" i="3"/>
  <c r="L7" i="3"/>
  <c r="K2" i="3"/>
  <c r="K27" i="3"/>
  <c r="J22" i="3"/>
  <c r="L16" i="3"/>
  <c r="K11" i="3"/>
  <c r="J6" i="3"/>
  <c r="G25" i="3"/>
  <c r="F25" i="3" l="1"/>
</calcChain>
</file>

<file path=xl/comments1.xml><?xml version="1.0" encoding="utf-8"?>
<comments xmlns="http://schemas.openxmlformats.org/spreadsheetml/2006/main">
  <authors>
    <author>Gerry</author>
  </authors>
  <commentList>
    <comment ref="A2" authorId="0" shapeId="0">
      <text>
        <r>
          <rPr>
            <b/>
            <sz val="11"/>
            <color indexed="81"/>
            <rFont val="Tahoma"/>
            <family val="2"/>
          </rPr>
          <t>=ROUND(NORM.INV(RAND(),10,2),2)</t>
        </r>
      </text>
    </comment>
    <comment ref="B2" authorId="0" shapeId="0">
      <text>
        <r>
          <rPr>
            <b/>
            <sz val="11"/>
            <color indexed="81"/>
            <rFont val="Tahoma"/>
            <family val="2"/>
          </rPr>
          <t>=ROUND(NORM.INV(RAND(),10,2),2)</t>
        </r>
      </text>
    </comment>
    <comment ref="C2" authorId="0" shapeId="0">
      <text>
        <r>
          <rPr>
            <b/>
            <sz val="11"/>
            <color indexed="81"/>
            <rFont val="Tahoma"/>
            <family val="2"/>
          </rPr>
          <t>=ROUND($E$2*A2+SQRT(1-$E$2^2)*B2,2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comments2.xml><?xml version="1.0" encoding="utf-8"?>
<comments xmlns="http://schemas.openxmlformats.org/spreadsheetml/2006/main">
  <authors>
    <author>Gerry</author>
  </authors>
  <commentList>
    <comment ref="J2" authorId="0" shapeId="0">
      <text>
        <r>
          <rPr>
            <b/>
            <sz val="11"/>
            <color indexed="81"/>
            <rFont val="Tahoma"/>
            <family val="2"/>
          </rPr>
          <t>=MMULT(A2:C31,TRANSPOSE(F8:H10))
Ctr + Sh + Enter</t>
        </r>
      </text>
    </comment>
    <comment ref="F8" authorId="0" shapeId="0">
      <text>
        <r>
          <rPr>
            <b/>
            <sz val="11"/>
            <color indexed="81"/>
            <rFont val="Tahoma"/>
            <family val="2"/>
          </rPr>
          <t>=Cholenksy(F3:H5)
Ctr + Sh + Enter</t>
        </r>
      </text>
    </comment>
    <comment ref="F17" authorId="0" shapeId="0">
      <text>
        <r>
          <rPr>
            <b/>
            <sz val="11"/>
            <color indexed="81"/>
            <rFont val="Tahoma"/>
            <family val="2"/>
          </rPr>
          <t>=CORREL($A$2:$A$31,B2:B31)</t>
        </r>
      </text>
    </comment>
    <comment ref="F24" authorId="0" shapeId="0">
      <text>
        <r>
          <rPr>
            <b/>
            <sz val="11"/>
            <color indexed="81"/>
            <rFont val="Tahoma"/>
            <family val="2"/>
          </rPr>
          <t>=CORREL(J2:J31,K2:K31)</t>
        </r>
      </text>
    </comment>
  </commentList>
</comments>
</file>

<file path=xl/sharedStrings.xml><?xml version="1.0" encoding="utf-8"?>
<sst xmlns="http://schemas.openxmlformats.org/spreadsheetml/2006/main" count="33" uniqueCount="9">
  <si>
    <t>X</t>
  </si>
  <si>
    <t>Z</t>
  </si>
  <si>
    <t>Y</t>
  </si>
  <si>
    <t>Cholensky Decomposition</t>
  </si>
  <si>
    <t>correlation of correlated distributions</t>
  </si>
  <si>
    <t>correlation of original distributions</t>
  </si>
  <si>
    <t>correlations aimed for</t>
  </si>
  <si>
    <t xml:space="preserve">wanted correlation coefficient (r) </t>
  </si>
  <si>
    <t>V B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</si>
</sst>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2" fontId="1" fillId="0" borderId="2" xfId="0" applyNumberFormat="1" applyFont="1" applyBorder="1"/>
    <xf numFmtId="2" fontId="1" fillId="0" borderId="3" xfId="0" applyNumberFormat="1" applyFont="1" applyBorder="1"/>
    <xf numFmtId="2" fontId="1" fillId="0" borderId="4" xfId="0" applyNumberFormat="1" applyFont="1" applyBorder="1"/>
    <xf numFmtId="2" fontId="1" fillId="0" borderId="0" xfId="0" applyNumberFormat="1" applyFont="1" applyBorder="1"/>
    <xf numFmtId="2" fontId="1" fillId="0" borderId="6" xfId="0" applyNumberFormat="1" applyFont="1" applyBorder="1"/>
    <xf numFmtId="2" fontId="1" fillId="0" borderId="9" xfId="0" applyNumberFormat="1" applyFont="1" applyBorder="1"/>
    <xf numFmtId="164" fontId="1" fillId="0" borderId="0" xfId="0" applyNumberFormat="1" applyFont="1"/>
    <xf numFmtId="0" fontId="3" fillId="0" borderId="1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3" xfId="0" applyNumberFormat="1" applyFont="1" applyBorder="1"/>
    <xf numFmtId="164" fontId="1" fillId="0" borderId="4" xfId="0" applyNumberFormat="1" applyFont="1" applyBorder="1"/>
    <xf numFmtId="164" fontId="1" fillId="0" borderId="0" xfId="0" applyNumberFormat="1" applyFont="1" applyBorder="1"/>
    <xf numFmtId="164" fontId="1" fillId="0" borderId="6" xfId="0" applyNumberFormat="1" applyFont="1" applyBorder="1"/>
    <xf numFmtId="164" fontId="1" fillId="0" borderId="8" xfId="0" applyNumberFormat="1" applyFont="1" applyBorder="1"/>
    <xf numFmtId="164" fontId="1" fillId="0" borderId="9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2" fontId="6" fillId="0" borderId="5" xfId="0" applyNumberFormat="1" applyFont="1" applyBorder="1"/>
    <xf numFmtId="0" fontId="6" fillId="0" borderId="0" xfId="0" applyFont="1" applyFill="1" applyBorder="1" applyAlignment="1"/>
    <xf numFmtId="2" fontId="7" fillId="0" borderId="7" xfId="0" applyNumberFormat="1" applyFont="1" applyBorder="1"/>
    <xf numFmtId="0" fontId="7" fillId="0" borderId="8" xfId="0" applyFont="1" applyFill="1" applyBorder="1" applyAlignment="1"/>
    <xf numFmtId="2" fontId="8" fillId="0" borderId="8" xfId="0" applyNumberFormat="1" applyFont="1" applyBorder="1"/>
    <xf numFmtId="0" fontId="8" fillId="0" borderId="8" xfId="0" applyFont="1" applyFill="1" applyBorder="1" applyAlignment="1"/>
    <xf numFmtId="0" fontId="2" fillId="0" borderId="4" xfId="0" applyFont="1" applyBorder="1"/>
    <xf numFmtId="0" fontId="2" fillId="0" borderId="6" xfId="0" applyFont="1" applyBorder="1"/>
    <xf numFmtId="0" fontId="2" fillId="0" borderId="9" xfId="0" applyFont="1" applyBorder="1"/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533399</xdr:colOff>
      <xdr:row>4</xdr:row>
      <xdr:rowOff>0</xdr:rowOff>
    </xdr:from>
    <xdr:to>
      <xdr:col>5</xdr:col>
      <xdr:colOff>523875</xdr:colOff>
      <xdr:row>8</xdr:row>
      <xdr:rowOff>123825</xdr:rowOff>
    </xdr:to>
    <xdr:sp macro="" textlink="">
      <xdr:nvSpPr>
        <xdr:cNvPr id="2" name="Rounded Rectangle 1"/>
        <xdr:cNvSpPr/>
      </xdr:nvSpPr>
      <xdr:spPr>
        <a:xfrm>
          <a:off x="2466974" y="781050"/>
          <a:ext cx="2933701" cy="885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Y = </a:t>
          </a:r>
        </a:p>
        <a:p>
          <a:pPr algn="ctr"/>
          <a:r>
            <a:rPr lang="en-US" sz="2000" b="1"/>
            <a:t>r * X + SQRT(1 - r^2) * Z  </a:t>
          </a:r>
        </a:p>
      </xdr:txBody>
    </xdr:sp>
    <xdr:clientData/>
  </xdr:twoCellAnchor>
  <xdr:twoCellAnchor>
    <xdr:from>
      <xdr:col>3</xdr:col>
      <xdr:colOff>752475</xdr:colOff>
      <xdr:row>10</xdr:row>
      <xdr:rowOff>38100</xdr:rowOff>
    </xdr:from>
    <xdr:to>
      <xdr:col>5</xdr:col>
      <xdr:colOff>140607</xdr:colOff>
      <xdr:row>14</xdr:row>
      <xdr:rowOff>29029</xdr:rowOff>
    </xdr:to>
    <xdr:sp macro="" textlink="">
      <xdr:nvSpPr>
        <xdr:cNvPr id="3" name="Rounded Rectangle 2"/>
        <xdr:cNvSpPr/>
      </xdr:nvSpPr>
      <xdr:spPr>
        <a:xfrm>
          <a:off x="2686050" y="1962150"/>
          <a:ext cx="2331357" cy="7529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12</xdr:row>
      <xdr:rowOff>47625</xdr:rowOff>
    </xdr:from>
    <xdr:to>
      <xdr:col>3</xdr:col>
      <xdr:colOff>552450</xdr:colOff>
      <xdr:row>14</xdr:row>
      <xdr:rowOff>180975</xdr:rowOff>
    </xdr:to>
    <xdr:sp macro="" textlink="">
      <xdr:nvSpPr>
        <xdr:cNvPr id="2" name="Left Arrow 1"/>
        <xdr:cNvSpPr/>
      </xdr:nvSpPr>
      <xdr:spPr>
        <a:xfrm>
          <a:off x="1933575" y="2362200"/>
          <a:ext cx="447675" cy="5334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19</xdr:row>
      <xdr:rowOff>38100</xdr:rowOff>
    </xdr:from>
    <xdr:to>
      <xdr:col>8</xdr:col>
      <xdr:colOff>523875</xdr:colOff>
      <xdr:row>21</xdr:row>
      <xdr:rowOff>171450</xdr:rowOff>
    </xdr:to>
    <xdr:sp macro="" textlink="">
      <xdr:nvSpPr>
        <xdr:cNvPr id="3" name="Left Arrow 2"/>
        <xdr:cNvSpPr/>
      </xdr:nvSpPr>
      <xdr:spPr>
        <a:xfrm flipH="1">
          <a:off x="4953000" y="3714750"/>
          <a:ext cx="447675" cy="5334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27214</xdr:colOff>
      <xdr:row>26</xdr:row>
      <xdr:rowOff>136071</xdr:rowOff>
    </xdr:from>
    <xdr:to>
      <xdr:col>7</xdr:col>
      <xdr:colOff>535214</xdr:colOff>
      <xdr:row>30</xdr:row>
      <xdr:rowOff>127000</xdr:rowOff>
    </xdr:to>
    <xdr:sp macro="" textlink="">
      <xdr:nvSpPr>
        <xdr:cNvPr id="4" name="Rounded Rectangle 3"/>
        <xdr:cNvSpPr/>
      </xdr:nvSpPr>
      <xdr:spPr>
        <a:xfrm>
          <a:off x="2458357" y="5188857"/>
          <a:ext cx="2331357" cy="7529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1"/>
  <sheetViews>
    <sheetView tabSelected="1" workbookViewId="0">
      <selection activeCell="E2" sqref="E2"/>
    </sheetView>
  </sheetViews>
  <sheetFormatPr defaultRowHeight="15" x14ac:dyDescent="0.25"/>
  <cols>
    <col min="1" max="1" width="10.7109375" style="1" bestFit="1" customWidth="1"/>
    <col min="2" max="3" width="9.140625" style="1" customWidth="1"/>
    <col min="4" max="4" width="11.7109375" style="1" customWidth="1"/>
    <col min="5" max="5" width="32.42578125" style="1" customWidth="1"/>
    <col min="6" max="16384" width="9.140625" style="1"/>
  </cols>
  <sheetData>
    <row r="1" spans="1:5" ht="15.75" thickBot="1" x14ac:dyDescent="0.3">
      <c r="A1" s="1" t="s">
        <v>0</v>
      </c>
      <c r="B1" s="1" t="s">
        <v>1</v>
      </c>
      <c r="C1" s="1" t="s">
        <v>2</v>
      </c>
      <c r="E1" s="12" t="s">
        <v>7</v>
      </c>
    </row>
    <row r="2" spans="1:5" ht="15.75" thickBot="1" x14ac:dyDescent="0.3">
      <c r="A2" s="22">
        <v>5.13</v>
      </c>
      <c r="B2" s="37">
        <v>9.3800000000000008</v>
      </c>
      <c r="C2" s="1">
        <f t="shared" ref="C2:C31" si="0">ROUND($E$2*A2+SQRT(1-$E$2^2)*B2,2)</f>
        <v>8.7100000000000009</v>
      </c>
      <c r="E2" s="15">
        <v>0.9</v>
      </c>
    </row>
    <row r="3" spans="1:5" x14ac:dyDescent="0.25">
      <c r="A3" s="25">
        <v>10.52</v>
      </c>
      <c r="B3" s="38">
        <v>6.95</v>
      </c>
      <c r="C3" s="1">
        <f t="shared" si="0"/>
        <v>12.5</v>
      </c>
    </row>
    <row r="4" spans="1:5" x14ac:dyDescent="0.25">
      <c r="A4" s="25">
        <v>10.97</v>
      </c>
      <c r="B4" s="38">
        <v>9.39</v>
      </c>
      <c r="C4" s="1">
        <f t="shared" si="0"/>
        <v>13.97</v>
      </c>
    </row>
    <row r="5" spans="1:5" x14ac:dyDescent="0.25">
      <c r="A5" s="25">
        <v>9.4</v>
      </c>
      <c r="B5" s="38">
        <v>8.84</v>
      </c>
      <c r="C5" s="1">
        <f t="shared" si="0"/>
        <v>12.31</v>
      </c>
    </row>
    <row r="6" spans="1:5" x14ac:dyDescent="0.25">
      <c r="A6" s="25">
        <v>6.55</v>
      </c>
      <c r="B6" s="38">
        <v>8.42</v>
      </c>
      <c r="C6" s="1">
        <f t="shared" si="0"/>
        <v>9.57</v>
      </c>
    </row>
    <row r="7" spans="1:5" x14ac:dyDescent="0.25">
      <c r="A7" s="25">
        <v>10.25</v>
      </c>
      <c r="B7" s="38">
        <v>12.47</v>
      </c>
      <c r="C7" s="1">
        <f t="shared" si="0"/>
        <v>14.66</v>
      </c>
    </row>
    <row r="8" spans="1:5" x14ac:dyDescent="0.25">
      <c r="A8" s="25">
        <v>7.44</v>
      </c>
      <c r="B8" s="38">
        <v>10.37</v>
      </c>
      <c r="C8" s="1">
        <f t="shared" si="0"/>
        <v>11.22</v>
      </c>
    </row>
    <row r="9" spans="1:5" x14ac:dyDescent="0.25">
      <c r="A9" s="25">
        <v>9.01</v>
      </c>
      <c r="B9" s="38">
        <v>11.18</v>
      </c>
      <c r="C9" s="1">
        <f t="shared" si="0"/>
        <v>12.98</v>
      </c>
    </row>
    <row r="10" spans="1:5" x14ac:dyDescent="0.25">
      <c r="A10" s="25">
        <v>7.52</v>
      </c>
      <c r="B10" s="38">
        <v>9.39</v>
      </c>
      <c r="C10" s="1">
        <f t="shared" si="0"/>
        <v>10.86</v>
      </c>
    </row>
    <row r="11" spans="1:5" x14ac:dyDescent="0.25">
      <c r="A11" s="25">
        <v>9.8800000000000008</v>
      </c>
      <c r="B11" s="38">
        <v>9.6999999999999993</v>
      </c>
      <c r="C11" s="1">
        <f t="shared" si="0"/>
        <v>13.12</v>
      </c>
    </row>
    <row r="12" spans="1:5" x14ac:dyDescent="0.25">
      <c r="A12" s="25">
        <v>8.74</v>
      </c>
      <c r="B12" s="38">
        <v>5.86</v>
      </c>
      <c r="C12" s="1">
        <f t="shared" si="0"/>
        <v>10.42</v>
      </c>
    </row>
    <row r="13" spans="1:5" x14ac:dyDescent="0.25">
      <c r="A13" s="25">
        <v>10.31</v>
      </c>
      <c r="B13" s="38">
        <v>11.16</v>
      </c>
      <c r="C13" s="1">
        <f t="shared" si="0"/>
        <v>14.14</v>
      </c>
    </row>
    <row r="14" spans="1:5" x14ac:dyDescent="0.25">
      <c r="A14" s="25">
        <v>10.99</v>
      </c>
      <c r="B14" s="38">
        <v>7.9</v>
      </c>
      <c r="C14" s="1">
        <f t="shared" si="0"/>
        <v>13.33</v>
      </c>
    </row>
    <row r="15" spans="1:5" x14ac:dyDescent="0.25">
      <c r="A15" s="25">
        <v>10.77</v>
      </c>
      <c r="B15" s="38">
        <v>12.33</v>
      </c>
      <c r="C15" s="1">
        <f t="shared" si="0"/>
        <v>15.07</v>
      </c>
    </row>
    <row r="16" spans="1:5" x14ac:dyDescent="0.25">
      <c r="A16" s="25">
        <v>12.1</v>
      </c>
      <c r="B16" s="38">
        <v>6.91</v>
      </c>
      <c r="C16" s="1">
        <f t="shared" si="0"/>
        <v>13.9</v>
      </c>
    </row>
    <row r="17" spans="1:3" x14ac:dyDescent="0.25">
      <c r="A17" s="25">
        <v>14.14</v>
      </c>
      <c r="B17" s="38">
        <v>11.34</v>
      </c>
      <c r="C17" s="1">
        <f t="shared" si="0"/>
        <v>17.670000000000002</v>
      </c>
    </row>
    <row r="18" spans="1:3" x14ac:dyDescent="0.25">
      <c r="A18" s="25">
        <v>13.42</v>
      </c>
      <c r="B18" s="38">
        <v>11.73</v>
      </c>
      <c r="C18" s="1">
        <f t="shared" si="0"/>
        <v>17.190000000000001</v>
      </c>
    </row>
    <row r="19" spans="1:3" x14ac:dyDescent="0.25">
      <c r="A19" s="25">
        <v>8.2799999999999994</v>
      </c>
      <c r="B19" s="38">
        <v>12.11</v>
      </c>
      <c r="C19" s="1">
        <f t="shared" si="0"/>
        <v>12.73</v>
      </c>
    </row>
    <row r="20" spans="1:3" x14ac:dyDescent="0.25">
      <c r="A20" s="25">
        <v>11.94</v>
      </c>
      <c r="B20" s="38">
        <v>11.44</v>
      </c>
      <c r="C20" s="1">
        <f t="shared" si="0"/>
        <v>15.73</v>
      </c>
    </row>
    <row r="21" spans="1:3" x14ac:dyDescent="0.25">
      <c r="A21" s="25">
        <v>9.57</v>
      </c>
      <c r="B21" s="38">
        <v>9.3000000000000007</v>
      </c>
      <c r="C21" s="1">
        <f t="shared" si="0"/>
        <v>12.67</v>
      </c>
    </row>
    <row r="22" spans="1:3" x14ac:dyDescent="0.25">
      <c r="A22" s="25">
        <v>5.82</v>
      </c>
      <c r="B22" s="38">
        <v>8.86</v>
      </c>
      <c r="C22" s="1">
        <f t="shared" si="0"/>
        <v>9.1</v>
      </c>
    </row>
    <row r="23" spans="1:3" x14ac:dyDescent="0.25">
      <c r="A23" s="25">
        <v>10.42</v>
      </c>
      <c r="B23" s="38">
        <v>6.73</v>
      </c>
      <c r="C23" s="1">
        <f t="shared" si="0"/>
        <v>12.31</v>
      </c>
    </row>
    <row r="24" spans="1:3" x14ac:dyDescent="0.25">
      <c r="A24" s="25">
        <v>9.59</v>
      </c>
      <c r="B24" s="38">
        <v>9.4499999999999993</v>
      </c>
      <c r="C24" s="1">
        <f t="shared" si="0"/>
        <v>12.75</v>
      </c>
    </row>
    <row r="25" spans="1:3" x14ac:dyDescent="0.25">
      <c r="A25" s="25">
        <v>8.77</v>
      </c>
      <c r="B25" s="38">
        <v>11.61</v>
      </c>
      <c r="C25" s="1">
        <f t="shared" si="0"/>
        <v>12.95</v>
      </c>
    </row>
    <row r="26" spans="1:3" x14ac:dyDescent="0.25">
      <c r="A26" s="25">
        <v>13.13</v>
      </c>
      <c r="B26" s="38">
        <v>8.93</v>
      </c>
      <c r="C26" s="1">
        <f t="shared" si="0"/>
        <v>15.71</v>
      </c>
    </row>
    <row r="27" spans="1:3" x14ac:dyDescent="0.25">
      <c r="A27" s="25">
        <v>10.35</v>
      </c>
      <c r="B27" s="38">
        <v>10.82</v>
      </c>
      <c r="C27" s="1">
        <f t="shared" si="0"/>
        <v>14.03</v>
      </c>
    </row>
    <row r="28" spans="1:3" x14ac:dyDescent="0.25">
      <c r="A28" s="25">
        <v>11.11</v>
      </c>
      <c r="B28" s="38">
        <v>9.4</v>
      </c>
      <c r="C28" s="1">
        <f t="shared" si="0"/>
        <v>14.1</v>
      </c>
    </row>
    <row r="29" spans="1:3" x14ac:dyDescent="0.25">
      <c r="A29" s="25">
        <v>9.18</v>
      </c>
      <c r="B29" s="38">
        <v>9.5399999999999991</v>
      </c>
      <c r="C29" s="1">
        <f t="shared" si="0"/>
        <v>12.42</v>
      </c>
    </row>
    <row r="30" spans="1:3" x14ac:dyDescent="0.25">
      <c r="A30" s="25">
        <v>11.29</v>
      </c>
      <c r="B30" s="38">
        <v>10.14</v>
      </c>
      <c r="C30" s="1">
        <f t="shared" si="0"/>
        <v>14.58</v>
      </c>
    </row>
    <row r="31" spans="1:3" ht="15.75" thickBot="1" x14ac:dyDescent="0.3">
      <c r="A31" s="28">
        <v>8.25</v>
      </c>
      <c r="B31" s="39">
        <v>4.6100000000000003</v>
      </c>
      <c r="C31" s="1">
        <f t="shared" si="0"/>
        <v>9.43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31"/>
  <sheetViews>
    <sheetView zoomScale="105" zoomScaleNormal="105" workbookViewId="0">
      <selection activeCell="F4" sqref="F4"/>
    </sheetView>
  </sheetViews>
  <sheetFormatPr defaultRowHeight="15" x14ac:dyDescent="0.25"/>
  <cols>
    <col min="1" max="16384" width="9.140625" style="1"/>
  </cols>
  <sheetData>
    <row r="1" spans="1:12" ht="15.75" thickBot="1" x14ac:dyDescent="0.3">
      <c r="A1" s="1" t="s">
        <v>0</v>
      </c>
      <c r="B1" s="1" t="s">
        <v>2</v>
      </c>
      <c r="C1" s="1" t="s">
        <v>1</v>
      </c>
      <c r="E1" s="41" t="s">
        <v>6</v>
      </c>
      <c r="F1" s="42"/>
      <c r="G1" s="42"/>
      <c r="H1" s="43"/>
      <c r="J1" s="1" t="s">
        <v>0</v>
      </c>
      <c r="K1" s="1" t="s">
        <v>2</v>
      </c>
      <c r="L1" s="1" t="s">
        <v>1</v>
      </c>
    </row>
    <row r="2" spans="1:12" ht="15.75" thickBot="1" x14ac:dyDescent="0.3">
      <c r="A2" s="1">
        <v>9.8699999999999992</v>
      </c>
      <c r="B2" s="1">
        <v>9.5</v>
      </c>
      <c r="C2" s="1">
        <v>13.26</v>
      </c>
      <c r="F2" s="12" t="s">
        <v>0</v>
      </c>
      <c r="G2" s="12" t="s">
        <v>2</v>
      </c>
      <c r="H2" s="12" t="s">
        <v>1</v>
      </c>
      <c r="J2" s="22">
        <f t="array" ref="J2:L31">MMULT(A2:C31,TRANSPOSE(F8:H10))</f>
        <v>19.548000000000002</v>
      </c>
      <c r="K2" s="23">
        <v>12.904</v>
      </c>
      <c r="L2" s="24">
        <v>11.483496854181658</v>
      </c>
    </row>
    <row r="3" spans="1:12" x14ac:dyDescent="0.25">
      <c r="A3" s="1">
        <v>9.2899999999999991</v>
      </c>
      <c r="B3" s="1">
        <v>7.71</v>
      </c>
      <c r="C3" s="1">
        <v>10.050000000000001</v>
      </c>
      <c r="E3" s="12" t="s">
        <v>0</v>
      </c>
      <c r="F3" s="2">
        <v>1</v>
      </c>
      <c r="G3" s="3">
        <v>0.6</v>
      </c>
      <c r="H3" s="4">
        <v>0.3</v>
      </c>
      <c r="J3" s="25">
        <v>16.930999999999997</v>
      </c>
      <c r="K3" s="26">
        <v>10.187999999999999</v>
      </c>
      <c r="L3" s="27">
        <v>8.703555308033609</v>
      </c>
    </row>
    <row r="4" spans="1:12" x14ac:dyDescent="0.25">
      <c r="A4" s="1">
        <v>11.35</v>
      </c>
      <c r="B4" s="1">
        <v>9.4499999999999993</v>
      </c>
      <c r="C4" s="1">
        <v>8.73</v>
      </c>
      <c r="E4" s="12" t="s">
        <v>2</v>
      </c>
      <c r="F4" s="31">
        <v>0.6</v>
      </c>
      <c r="G4" s="5">
        <v>1</v>
      </c>
      <c r="H4" s="6">
        <v>0.5</v>
      </c>
      <c r="J4" s="25">
        <v>19.638999999999999</v>
      </c>
      <c r="K4" s="26">
        <v>11.052</v>
      </c>
      <c r="L4" s="27">
        <v>7.5604017750381507</v>
      </c>
    </row>
    <row r="5" spans="1:12" ht="15.75" thickBot="1" x14ac:dyDescent="0.3">
      <c r="A5" s="1">
        <v>10.66</v>
      </c>
      <c r="B5" s="1">
        <v>10.11</v>
      </c>
      <c r="C5" s="1">
        <v>12.43</v>
      </c>
      <c r="E5" s="12" t="s">
        <v>1</v>
      </c>
      <c r="F5" s="33">
        <v>0.3</v>
      </c>
      <c r="G5" s="35">
        <v>0.5</v>
      </c>
      <c r="H5" s="7">
        <v>1</v>
      </c>
      <c r="J5" s="25">
        <v>20.454999999999998</v>
      </c>
      <c r="K5" s="26">
        <v>13.059999999999999</v>
      </c>
      <c r="L5" s="27">
        <v>10.764695769040573</v>
      </c>
    </row>
    <row r="6" spans="1:12" x14ac:dyDescent="0.25">
      <c r="A6" s="1">
        <v>9.75</v>
      </c>
      <c r="B6" s="1">
        <v>12.22</v>
      </c>
      <c r="C6" s="1">
        <v>10.43</v>
      </c>
      <c r="J6" s="25">
        <v>20.211000000000002</v>
      </c>
      <c r="K6" s="26">
        <v>13.948</v>
      </c>
      <c r="L6" s="27">
        <v>9.0326449614716946</v>
      </c>
    </row>
    <row r="7" spans="1:12" ht="15.75" thickBot="1" x14ac:dyDescent="0.3">
      <c r="A7" s="1">
        <v>10.76</v>
      </c>
      <c r="B7" s="1">
        <v>7.37</v>
      </c>
      <c r="C7" s="1">
        <v>9.81</v>
      </c>
      <c r="E7" s="44" t="s">
        <v>8</v>
      </c>
      <c r="F7" s="40" t="s">
        <v>3</v>
      </c>
      <c r="G7" s="40"/>
      <c r="H7" s="40"/>
      <c r="J7" s="25">
        <v>18.125</v>
      </c>
      <c r="K7" s="26">
        <v>9.82</v>
      </c>
      <c r="L7" s="27">
        <v>8.4957092111253445</v>
      </c>
    </row>
    <row r="8" spans="1:12" x14ac:dyDescent="0.25">
      <c r="A8" s="1">
        <v>8.65</v>
      </c>
      <c r="B8" s="1">
        <v>9.5500000000000007</v>
      </c>
      <c r="C8" s="1">
        <v>12.89</v>
      </c>
      <c r="E8" s="45"/>
      <c r="F8" s="16">
        <f t="array" ref="F8:H10">Cholenksy(F3:H5)</f>
        <v>1</v>
      </c>
      <c r="G8" s="16">
        <v>0.6</v>
      </c>
      <c r="H8" s="17">
        <v>0.3</v>
      </c>
      <c r="J8" s="25">
        <v>18.247</v>
      </c>
      <c r="K8" s="26">
        <v>12.795999999999999</v>
      </c>
      <c r="L8" s="27">
        <v>11.163067454781416</v>
      </c>
    </row>
    <row r="9" spans="1:12" x14ac:dyDescent="0.25">
      <c r="A9" s="1">
        <v>8.7899999999999991</v>
      </c>
      <c r="B9" s="1">
        <v>13.08</v>
      </c>
      <c r="C9" s="1">
        <v>11.36</v>
      </c>
      <c r="E9" s="45"/>
      <c r="F9" s="18">
        <v>0</v>
      </c>
      <c r="G9" s="18">
        <v>0.8</v>
      </c>
      <c r="H9" s="19">
        <v>0.39999999999999997</v>
      </c>
      <c r="J9" s="25">
        <v>20.045999999999999</v>
      </c>
      <c r="K9" s="26">
        <v>15.007999999999999</v>
      </c>
      <c r="L9" s="27">
        <v>9.8380485869912224</v>
      </c>
    </row>
    <row r="10" spans="1:12" ht="15.75" thickBot="1" x14ac:dyDescent="0.3">
      <c r="A10" s="1">
        <v>11.8</v>
      </c>
      <c r="B10" s="1">
        <v>10.85</v>
      </c>
      <c r="C10" s="1">
        <v>10.23</v>
      </c>
      <c r="E10" s="46"/>
      <c r="F10" s="20">
        <v>0</v>
      </c>
      <c r="G10" s="20">
        <v>0</v>
      </c>
      <c r="H10" s="21">
        <v>0.86602540378443871</v>
      </c>
      <c r="J10" s="25">
        <v>21.379000000000001</v>
      </c>
      <c r="K10" s="26">
        <v>12.771999999999998</v>
      </c>
      <c r="L10" s="27">
        <v>8.8594398807148078</v>
      </c>
    </row>
    <row r="11" spans="1:12" x14ac:dyDescent="0.25">
      <c r="A11" s="1">
        <v>10.52</v>
      </c>
      <c r="B11" s="1">
        <v>8.3000000000000007</v>
      </c>
      <c r="C11" s="1">
        <v>6.42</v>
      </c>
      <c r="F11" s="8"/>
      <c r="G11" s="8"/>
      <c r="H11" s="8"/>
      <c r="J11" s="25">
        <v>17.425999999999998</v>
      </c>
      <c r="K11" s="26">
        <v>9.2080000000000002</v>
      </c>
      <c r="L11" s="27">
        <v>5.5598830922960962</v>
      </c>
    </row>
    <row r="12" spans="1:12" x14ac:dyDescent="0.25">
      <c r="A12" s="1">
        <v>12.49</v>
      </c>
      <c r="B12" s="1">
        <v>10.62</v>
      </c>
      <c r="C12" s="1">
        <v>7.19</v>
      </c>
      <c r="F12" s="8"/>
      <c r="G12" s="8"/>
      <c r="H12" s="8"/>
      <c r="J12" s="25">
        <v>21.018999999999998</v>
      </c>
      <c r="K12" s="26">
        <v>11.372</v>
      </c>
      <c r="L12" s="27">
        <v>6.226722653210115</v>
      </c>
    </row>
    <row r="13" spans="1:12" ht="15.75" thickBot="1" x14ac:dyDescent="0.3">
      <c r="A13" s="1">
        <v>10.37</v>
      </c>
      <c r="B13" s="1">
        <v>11.81</v>
      </c>
      <c r="C13" s="1">
        <v>7.86</v>
      </c>
      <c r="J13" s="25">
        <v>19.814</v>
      </c>
      <c r="K13" s="26">
        <v>12.592000000000001</v>
      </c>
      <c r="L13" s="27">
        <v>6.8069596737456886</v>
      </c>
    </row>
    <row r="14" spans="1:12" ht="15.75" thickBot="1" x14ac:dyDescent="0.3">
      <c r="A14" s="1">
        <v>10.49</v>
      </c>
      <c r="B14" s="1">
        <v>9.9499999999999993</v>
      </c>
      <c r="C14" s="1">
        <v>10.95</v>
      </c>
      <c r="E14" s="41" t="s">
        <v>5</v>
      </c>
      <c r="F14" s="42"/>
      <c r="G14" s="42"/>
      <c r="H14" s="43"/>
      <c r="J14" s="25">
        <v>19.745000000000001</v>
      </c>
      <c r="K14" s="26">
        <v>12.34</v>
      </c>
      <c r="L14" s="27">
        <v>9.4829781714396031</v>
      </c>
    </row>
    <row r="15" spans="1:12" x14ac:dyDescent="0.25">
      <c r="A15" s="1">
        <v>7.99</v>
      </c>
      <c r="B15" s="1">
        <v>13.82</v>
      </c>
      <c r="C15" s="1">
        <v>10.32</v>
      </c>
      <c r="E15" s="9"/>
      <c r="F15" s="9" t="s">
        <v>0</v>
      </c>
      <c r="G15" s="9" t="s">
        <v>2</v>
      </c>
      <c r="H15" s="9" t="s">
        <v>1</v>
      </c>
      <c r="J15" s="25">
        <v>19.378</v>
      </c>
      <c r="K15" s="26">
        <v>15.184000000000001</v>
      </c>
      <c r="L15" s="27">
        <v>8.9373821670554072</v>
      </c>
    </row>
    <row r="16" spans="1:12" x14ac:dyDescent="0.25">
      <c r="A16" s="1">
        <v>9.8000000000000007</v>
      </c>
      <c r="B16" s="1">
        <v>9.4700000000000006</v>
      </c>
      <c r="C16" s="1">
        <v>11.02</v>
      </c>
      <c r="E16" s="13" t="s">
        <v>0</v>
      </c>
      <c r="F16" s="10">
        <v>1</v>
      </c>
      <c r="G16" s="10"/>
      <c r="H16" s="10"/>
      <c r="J16" s="25">
        <v>18.788</v>
      </c>
      <c r="K16" s="26">
        <v>11.984</v>
      </c>
      <c r="L16" s="27">
        <v>9.5435999497045145</v>
      </c>
    </row>
    <row r="17" spans="1:12" x14ac:dyDescent="0.25">
      <c r="A17" s="1">
        <v>7.42</v>
      </c>
      <c r="B17" s="1">
        <v>10.75</v>
      </c>
      <c r="C17" s="1">
        <v>7.33</v>
      </c>
      <c r="E17" s="13" t="s">
        <v>2</v>
      </c>
      <c r="F17" s="32">
        <f>CORREL($A$2:$A$31,B2:B31)</f>
        <v>-0.14782850263575134</v>
      </c>
      <c r="G17" s="10">
        <v>1</v>
      </c>
      <c r="H17" s="10"/>
      <c r="J17" s="25">
        <v>16.069000000000003</v>
      </c>
      <c r="K17" s="26">
        <v>11.532</v>
      </c>
      <c r="L17" s="27">
        <v>6.3479662097399361</v>
      </c>
    </row>
    <row r="18" spans="1:12" ht="15.75" thickBot="1" x14ac:dyDescent="0.3">
      <c r="A18" s="1">
        <v>7.91</v>
      </c>
      <c r="B18" s="1">
        <v>9.7200000000000006</v>
      </c>
      <c r="C18" s="1">
        <v>9.39</v>
      </c>
      <c r="E18" s="14" t="s">
        <v>1</v>
      </c>
      <c r="F18" s="34">
        <f>CORREL(A2:A31,C2:C31)</f>
        <v>-9.6526195241089865E-2</v>
      </c>
      <c r="G18" s="36">
        <f>CORREL(B2:B31,C2:C31)</f>
        <v>-5.4996036513732015E-3</v>
      </c>
      <c r="H18" s="11">
        <v>1</v>
      </c>
      <c r="J18" s="25">
        <v>16.559000000000001</v>
      </c>
      <c r="K18" s="26">
        <v>11.532</v>
      </c>
      <c r="L18" s="27">
        <v>8.1319785415358794</v>
      </c>
    </row>
    <row r="19" spans="1:12" x14ac:dyDescent="0.25">
      <c r="A19" s="1">
        <v>9.8699999999999992</v>
      </c>
      <c r="B19" s="1">
        <v>8.39</v>
      </c>
      <c r="C19" s="1">
        <v>13.07</v>
      </c>
      <c r="J19" s="25">
        <v>18.824999999999999</v>
      </c>
      <c r="K19" s="26">
        <v>11.940000000000001</v>
      </c>
      <c r="L19" s="27">
        <v>11.318952027462615</v>
      </c>
    </row>
    <row r="20" spans="1:12" ht="15.75" thickBot="1" x14ac:dyDescent="0.3">
      <c r="A20" s="1">
        <v>9.59</v>
      </c>
      <c r="B20" s="1">
        <v>10.29</v>
      </c>
      <c r="C20" s="1">
        <v>8.68</v>
      </c>
      <c r="J20" s="25">
        <v>18.367999999999999</v>
      </c>
      <c r="K20" s="26">
        <v>11.703999999999999</v>
      </c>
      <c r="L20" s="27">
        <v>7.5171005048489281</v>
      </c>
    </row>
    <row r="21" spans="1:12" ht="15.75" thickBot="1" x14ac:dyDescent="0.3">
      <c r="A21" s="1">
        <v>9.36</v>
      </c>
      <c r="B21" s="1">
        <v>8.1199999999999992</v>
      </c>
      <c r="C21" s="1">
        <v>11.06</v>
      </c>
      <c r="E21" s="41" t="s">
        <v>4</v>
      </c>
      <c r="F21" s="42"/>
      <c r="G21" s="42"/>
      <c r="H21" s="43"/>
      <c r="J21" s="25">
        <v>17.55</v>
      </c>
      <c r="K21" s="26">
        <v>10.919999999999998</v>
      </c>
      <c r="L21" s="27">
        <v>9.5782409658558922</v>
      </c>
    </row>
    <row r="22" spans="1:12" x14ac:dyDescent="0.25">
      <c r="A22" s="1">
        <v>13.62</v>
      </c>
      <c r="B22" s="1">
        <v>9.09</v>
      </c>
      <c r="C22" s="1">
        <v>7.85</v>
      </c>
      <c r="E22" s="9"/>
      <c r="F22" s="9" t="s">
        <v>0</v>
      </c>
      <c r="G22" s="9" t="s">
        <v>2</v>
      </c>
      <c r="H22" s="9" t="s">
        <v>1</v>
      </c>
      <c r="J22" s="25">
        <v>21.428999999999998</v>
      </c>
      <c r="K22" s="26">
        <v>10.411999999999999</v>
      </c>
      <c r="L22" s="27">
        <v>6.7982994197078437</v>
      </c>
    </row>
    <row r="23" spans="1:12" x14ac:dyDescent="0.25">
      <c r="A23" s="1">
        <v>9.1300000000000008</v>
      </c>
      <c r="B23" s="1">
        <v>13</v>
      </c>
      <c r="C23" s="1">
        <v>9.3000000000000007</v>
      </c>
      <c r="E23" s="13" t="s">
        <v>0</v>
      </c>
      <c r="F23" s="10">
        <v>1</v>
      </c>
      <c r="G23" s="10"/>
      <c r="H23" s="10"/>
      <c r="J23" s="25">
        <v>19.72</v>
      </c>
      <c r="K23" s="26">
        <v>14.120000000000001</v>
      </c>
      <c r="L23" s="27">
        <v>8.05403625519528</v>
      </c>
    </row>
    <row r="24" spans="1:12" x14ac:dyDescent="0.25">
      <c r="A24" s="1">
        <v>10.15</v>
      </c>
      <c r="B24" s="1">
        <v>10.76</v>
      </c>
      <c r="C24" s="1">
        <v>10.88</v>
      </c>
      <c r="E24" s="13" t="s">
        <v>2</v>
      </c>
      <c r="F24" s="32">
        <f>CORREL(J2:J31,K2:K31)</f>
        <v>0.54657064375617725</v>
      </c>
      <c r="G24" s="10">
        <v>1</v>
      </c>
      <c r="H24" s="10"/>
      <c r="J24" s="25">
        <v>19.87</v>
      </c>
      <c r="K24" s="26">
        <v>12.96</v>
      </c>
      <c r="L24" s="27">
        <v>9.4223563931746934</v>
      </c>
    </row>
    <row r="25" spans="1:12" ht="15.75" thickBot="1" x14ac:dyDescent="0.3">
      <c r="A25" s="1">
        <v>11.11</v>
      </c>
      <c r="B25" s="1">
        <v>12.97</v>
      </c>
      <c r="C25" s="1">
        <v>8.7799999999999994</v>
      </c>
      <c r="E25" s="14" t="s">
        <v>1</v>
      </c>
      <c r="F25" s="34">
        <f>CORREL(J2:J31,L2:L31)</f>
        <v>0.27117053846759481</v>
      </c>
      <c r="G25" s="36">
        <f>CORREL(K2:K31,L2:L31)</f>
        <v>0.50687474825389567</v>
      </c>
      <c r="H25" s="11">
        <v>1</v>
      </c>
      <c r="J25" s="25">
        <v>21.526</v>
      </c>
      <c r="K25" s="26">
        <v>13.888000000000002</v>
      </c>
      <c r="L25" s="27">
        <v>7.6037030452273715</v>
      </c>
    </row>
    <row r="26" spans="1:12" x14ac:dyDescent="0.25">
      <c r="A26" s="1">
        <v>7.43</v>
      </c>
      <c r="B26" s="1">
        <v>11.2</v>
      </c>
      <c r="C26" s="1">
        <v>8.83</v>
      </c>
      <c r="J26" s="25">
        <v>16.798999999999999</v>
      </c>
      <c r="K26" s="26">
        <v>12.491999999999999</v>
      </c>
      <c r="L26" s="27">
        <v>7.6470043154165941</v>
      </c>
    </row>
    <row r="27" spans="1:12" x14ac:dyDescent="0.25">
      <c r="A27" s="1">
        <v>9.8699999999999992</v>
      </c>
      <c r="B27" s="1">
        <v>8.4499999999999993</v>
      </c>
      <c r="C27" s="1">
        <v>11.8</v>
      </c>
      <c r="J27" s="25">
        <v>18.479999999999997</v>
      </c>
      <c r="K27" s="26">
        <v>11.48</v>
      </c>
      <c r="L27" s="27">
        <v>10.219099764656377</v>
      </c>
    </row>
    <row r="28" spans="1:12" x14ac:dyDescent="0.25">
      <c r="A28" s="1">
        <v>10.07</v>
      </c>
      <c r="B28" s="1">
        <v>8.5500000000000007</v>
      </c>
      <c r="C28" s="1">
        <v>5.34</v>
      </c>
      <c r="J28" s="25">
        <v>16.802</v>
      </c>
      <c r="K28" s="26">
        <v>8.9760000000000009</v>
      </c>
      <c r="L28" s="27">
        <v>4.6245756562089024</v>
      </c>
    </row>
    <row r="29" spans="1:12" x14ac:dyDescent="0.25">
      <c r="A29" s="1">
        <v>11.61</v>
      </c>
      <c r="B29" s="1">
        <v>11.24</v>
      </c>
      <c r="C29" s="1">
        <v>13.64</v>
      </c>
      <c r="J29" s="25">
        <v>22.445999999999998</v>
      </c>
      <c r="K29" s="26">
        <v>14.448</v>
      </c>
      <c r="L29" s="27">
        <v>11.812586507619745</v>
      </c>
    </row>
    <row r="30" spans="1:12" x14ac:dyDescent="0.25">
      <c r="A30" s="1">
        <v>12.16</v>
      </c>
      <c r="B30" s="1">
        <v>9.8000000000000007</v>
      </c>
      <c r="C30" s="1">
        <v>10.07</v>
      </c>
      <c r="J30" s="25">
        <v>21.061</v>
      </c>
      <c r="K30" s="26">
        <v>11.868</v>
      </c>
      <c r="L30" s="27">
        <v>8.7208758161092987</v>
      </c>
    </row>
    <row r="31" spans="1:12" ht="15.75" thickBot="1" x14ac:dyDescent="0.3">
      <c r="A31" s="1">
        <v>8.82</v>
      </c>
      <c r="B31" s="1">
        <v>7.87</v>
      </c>
      <c r="C31" s="1">
        <v>10.17</v>
      </c>
      <c r="J31" s="28">
        <v>16.593</v>
      </c>
      <c r="K31" s="29">
        <v>10.364000000000001</v>
      </c>
      <c r="L31" s="30">
        <v>8.8074783564877421</v>
      </c>
    </row>
  </sheetData>
  <mergeCells count="5">
    <mergeCell ref="F7:H7"/>
    <mergeCell ref="E14:H14"/>
    <mergeCell ref="E21:H21"/>
    <mergeCell ref="E1:H1"/>
    <mergeCell ref="E7:E10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 Correlation</vt:lpstr>
      <vt:lpstr>Multiple Correlations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2016-07-23T10:43:38Z</dcterms:created>
  <dcterms:modified xsi:type="dcterms:W3CDTF">2016-11-05T11:15:23Z</dcterms:modified>
</cp:coreProperties>
</file>