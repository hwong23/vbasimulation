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2-Statistics\"/>
    </mc:Choice>
  </mc:AlternateContent>
  <bookViews>
    <workbookView xWindow="720" yWindow="330" windowWidth="22755" windowHeight="9750" tabRatio="736"/>
  </bookViews>
  <sheets>
    <sheet name="Outliers" sheetId="20" r:id="rId1"/>
  </sheets>
  <calcPr calcId="152511" calcOnSave="0"/>
</workbook>
</file>

<file path=xl/calcChain.xml><?xml version="1.0" encoding="utf-8"?>
<calcChain xmlns="http://schemas.openxmlformats.org/spreadsheetml/2006/main">
  <c r="D1" i="20" l="1"/>
  <c r="D2" i="20" a="1"/>
  <c r="D2" i="20" s="1"/>
  <c r="F1" i="20"/>
  <c r="F2" i="20"/>
  <c r="F3" i="20" l="1"/>
  <c r="J18" i="20" s="1"/>
  <c r="I6" i="20"/>
  <c r="I10" i="20"/>
  <c r="I14" i="20"/>
  <c r="I18" i="20"/>
  <c r="I22" i="20"/>
  <c r="I26" i="20"/>
  <c r="I7" i="20"/>
  <c r="I11" i="20"/>
  <c r="I15" i="20"/>
  <c r="I19" i="20"/>
  <c r="I23" i="20"/>
  <c r="I27" i="20"/>
  <c r="I8" i="20"/>
  <c r="I12" i="20"/>
  <c r="I16" i="20"/>
  <c r="I20" i="20"/>
  <c r="I24" i="20"/>
  <c r="I28" i="20"/>
  <c r="I5" i="20"/>
  <c r="I9" i="20"/>
  <c r="I13" i="20"/>
  <c r="I17" i="20"/>
  <c r="I21" i="20"/>
  <c r="I25" i="20"/>
  <c r="I29" i="20"/>
  <c r="J5" i="20" l="1"/>
  <c r="J16" i="20"/>
  <c r="J19" i="20"/>
  <c r="J7" i="20"/>
  <c r="J24" i="20"/>
  <c r="J29" i="20"/>
  <c r="J26" i="20"/>
  <c r="J22" i="20"/>
  <c r="J8" i="20"/>
  <c r="J9" i="20"/>
  <c r="J10" i="20"/>
  <c r="J28" i="20"/>
  <c r="J23" i="20"/>
  <c r="J25" i="20"/>
  <c r="J17" i="20"/>
  <c r="J12" i="20"/>
  <c r="J15" i="20"/>
  <c r="J13" i="20"/>
  <c r="J21" i="20"/>
  <c r="J6" i="20"/>
  <c r="J20" i="20"/>
  <c r="J27" i="20"/>
  <c r="J11" i="20"/>
  <c r="J14" i="20"/>
</calcChain>
</file>

<file path=xl/sharedStrings.xml><?xml version="1.0" encoding="utf-8"?>
<sst xmlns="http://schemas.openxmlformats.org/spreadsheetml/2006/main" count="7" uniqueCount="7">
  <si>
    <t>&gt;3.5 MAD</t>
  </si>
  <si>
    <t>IQR</t>
  </si>
  <si>
    <t>75-percentile</t>
  </si>
  <si>
    <t>MAD</t>
  </si>
  <si>
    <t>25-percentile</t>
  </si>
  <si>
    <t>Median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</si>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</sst>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  <numFmt numFmtId="167" formatCode="0.000"/>
  </numFmts>
  <fonts count="1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sz val="10"/>
      <name val="Arial"/>
      <family val="2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theme="1"/>
      <name val="Arial"/>
      <family val="2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sz val="11"/>
      <color rgb="FF333333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4">
    <xf numFmtId="0" fontId="0" fillId="0" borderId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7" borderId="0" applyNumberFormat="0" applyBorder="0" applyAlignment="0" applyProtection="0"/>
    <xf numFmtId="0" fontId="2" fillId="5" borderId="0" applyNumberFormat="0" applyBorder="0" applyAlignment="0" applyProtection="0"/>
    <xf numFmtId="0" fontId="1" fillId="2" borderId="0" applyNumberFormat="0" applyBorder="0" applyAlignment="0" applyProtection="0"/>
    <xf numFmtId="0" fontId="1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9" borderId="0" applyNumberFormat="0" applyBorder="0" applyAlignment="0" applyProtection="0"/>
    <xf numFmtId="0" fontId="2" fillId="9" borderId="0" applyNumberFormat="0" applyBorder="0" applyAlignment="0" applyProtection="0"/>
    <xf numFmtId="0" fontId="3" fillId="0" borderId="0">
      <alignment horizontal="center" vertical="center" wrapText="1"/>
    </xf>
    <xf numFmtId="43" fontId="4" fillId="0" borderId="0" applyFont="0" applyFill="0" applyBorder="0" applyAlignment="0" applyProtection="0"/>
    <xf numFmtId="0" fontId="5" fillId="0" borderId="0">
      <alignment horizontal="left" vertical="center" wrapText="1"/>
    </xf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6" fillId="0" borderId="1" applyNumberFormat="0" applyFill="0">
      <alignment horizontal="right"/>
    </xf>
    <xf numFmtId="166" fontId="7" fillId="0" borderId="1">
      <alignment horizontal="right" vertical="center"/>
    </xf>
    <xf numFmtId="49" fontId="8" fillId="0" borderId="1">
      <alignment horizontal="left" vertical="center"/>
    </xf>
    <xf numFmtId="165" fontId="6" fillId="0" borderId="1" applyNumberFormat="0" applyFill="0">
      <alignment horizontal="right"/>
    </xf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0" borderId="1">
      <alignment horizontal="left"/>
    </xf>
    <xf numFmtId="0" fontId="11" fillId="0" borderId="2">
      <alignment horizontal="right" vertical="center"/>
    </xf>
    <xf numFmtId="0" fontId="12" fillId="0" borderId="1">
      <alignment horizontal="left" vertical="center"/>
    </xf>
    <xf numFmtId="0" fontId="6" fillId="0" borderId="1">
      <alignment horizontal="left" vertical="center"/>
    </xf>
    <xf numFmtId="0" fontId="10" fillId="0" borderId="1">
      <alignment horizontal="left"/>
    </xf>
    <xf numFmtId="0" fontId="10" fillId="13" borderId="0">
      <alignment horizontal="centerContinuous" wrapText="1"/>
    </xf>
    <xf numFmtId="49" fontId="10" fillId="13" borderId="3">
      <alignment horizontal="left" vertical="center"/>
    </xf>
    <xf numFmtId="0" fontId="10" fillId="13" borderId="0">
      <alignment horizontal="centerContinuous" vertical="center" wrapText="1"/>
    </xf>
    <xf numFmtId="0" fontId="4" fillId="0" borderId="0"/>
    <xf numFmtId="0" fontId="4" fillId="0" borderId="0"/>
    <xf numFmtId="0" fontId="4" fillId="0" borderId="0"/>
    <xf numFmtId="0" fontId="4" fillId="0" borderId="0"/>
    <xf numFmtId="0" fontId="13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4" fillId="0" borderId="0" applyFont="0" applyFill="0" applyBorder="0" applyAlignment="0" applyProtection="0"/>
    <xf numFmtId="3" fontId="7" fillId="0" borderId="0">
      <alignment horizontal="left" vertical="center"/>
    </xf>
    <xf numFmtId="0" fontId="3" fillId="0" borderId="0">
      <alignment horizontal="left" vertical="center"/>
    </xf>
    <xf numFmtId="0" fontId="15" fillId="0" borderId="0" applyNumberFormat="0" applyFill="0" applyBorder="0" applyAlignment="0" applyProtection="0"/>
    <xf numFmtId="0" fontId="16" fillId="0" borderId="0">
      <alignment horizontal="right"/>
    </xf>
    <xf numFmtId="49" fontId="16" fillId="0" borderId="0">
      <alignment horizontal="center"/>
    </xf>
    <xf numFmtId="0" fontId="8" fillId="0" borderId="0">
      <alignment horizontal="right"/>
    </xf>
    <xf numFmtId="0" fontId="16" fillId="0" borderId="0">
      <alignment horizontal="left"/>
    </xf>
    <xf numFmtId="49" fontId="7" fillId="0" borderId="0">
      <alignment horizontal="left" vertical="center"/>
    </xf>
    <xf numFmtId="49" fontId="8" fillId="0" borderId="1">
      <alignment horizontal="left"/>
    </xf>
    <xf numFmtId="165" fontId="7" fillId="0" borderId="0" applyNumberFormat="0">
      <alignment horizontal="right"/>
    </xf>
    <xf numFmtId="0" fontId="11" fillId="14" borderId="0">
      <alignment horizontal="centerContinuous" vertical="center" wrapText="1"/>
    </xf>
    <xf numFmtId="0" fontId="11" fillId="0" borderId="4">
      <alignment horizontal="left" vertical="center"/>
    </xf>
    <xf numFmtId="0" fontId="17" fillId="0" borderId="0">
      <alignment horizontal="left" vertical="top"/>
    </xf>
    <xf numFmtId="0" fontId="10" fillId="0" borderId="0">
      <alignment horizontal="left"/>
    </xf>
    <xf numFmtId="0" fontId="5" fillId="0" borderId="0">
      <alignment horizontal="left"/>
    </xf>
    <xf numFmtId="0" fontId="6" fillId="0" borderId="0">
      <alignment horizontal="left"/>
    </xf>
    <xf numFmtId="0" fontId="17" fillId="0" borderId="0">
      <alignment horizontal="left" vertical="top"/>
    </xf>
    <xf numFmtId="0" fontId="5" fillId="0" borderId="0">
      <alignment horizontal="left"/>
    </xf>
    <xf numFmtId="0" fontId="6" fillId="0" borderId="0">
      <alignment horizontal="left"/>
    </xf>
    <xf numFmtId="49" fontId="7" fillId="0" borderId="1">
      <alignment horizontal="left"/>
    </xf>
    <xf numFmtId="0" fontId="11" fillId="0" borderId="2">
      <alignment horizontal="left"/>
    </xf>
    <xf numFmtId="0" fontId="10" fillId="0" borderId="0">
      <alignment horizontal="left" vertical="center"/>
    </xf>
    <xf numFmtId="49" fontId="7" fillId="0" borderId="1">
      <alignment horizontal="left"/>
    </xf>
  </cellStyleXfs>
  <cellXfs count="17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0" fontId="0" fillId="0" borderId="0" xfId="0" applyAlignment="1" applyProtection="1">
      <alignment wrapText="1"/>
      <protection locked="0"/>
    </xf>
    <xf numFmtId="0" fontId="18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167" fontId="18" fillId="0" borderId="0" xfId="0" applyNumberFormat="1" applyFont="1" applyProtection="1">
      <protection locked="0"/>
    </xf>
    <xf numFmtId="167" fontId="18" fillId="0" borderId="5" xfId="0" applyNumberFormat="1" applyFont="1" applyBorder="1" applyProtection="1"/>
    <xf numFmtId="167" fontId="18" fillId="0" borderId="6" xfId="0" applyNumberFormat="1" applyFont="1" applyBorder="1" applyProtection="1"/>
    <xf numFmtId="167" fontId="18" fillId="0" borderId="7" xfId="0" applyNumberFormat="1" applyFont="1" applyBorder="1" applyProtection="1"/>
    <xf numFmtId="167" fontId="18" fillId="0" borderId="8" xfId="0" applyNumberFormat="1" applyFont="1" applyBorder="1" applyProtection="1"/>
    <xf numFmtId="0" fontId="18" fillId="0" borderId="6" xfId="0" applyFont="1" applyBorder="1" applyProtection="1"/>
    <xf numFmtId="0" fontId="18" fillId="0" borderId="7" xfId="0" applyFont="1" applyBorder="1" applyProtection="1"/>
    <xf numFmtId="0" fontId="18" fillId="0" borderId="8" xfId="0" applyFont="1" applyBorder="1" applyProtection="1"/>
    <xf numFmtId="0" fontId="0" fillId="0" borderId="6" xfId="0" applyBorder="1" applyProtection="1"/>
    <xf numFmtId="0" fontId="0" fillId="0" borderId="7" xfId="0" applyBorder="1" applyProtection="1"/>
    <xf numFmtId="0" fontId="0" fillId="0" borderId="8" xfId="0" applyBorder="1" applyProtection="1"/>
  </cellXfs>
  <cellStyles count="74">
    <cellStyle name="Accent1 - 20%" xfId="1"/>
    <cellStyle name="Accent1 - 40%" xfId="2"/>
    <cellStyle name="Accent1 - 60%" xfId="3"/>
    <cellStyle name="Accent2 - 20%" xfId="4"/>
    <cellStyle name="Accent2 - 40%" xfId="5"/>
    <cellStyle name="Accent2 - 60%" xfId="6"/>
    <cellStyle name="Accent3 - 20%" xfId="7"/>
    <cellStyle name="Accent3 - 40%" xfId="8"/>
    <cellStyle name="Accent3 - 60%" xfId="9"/>
    <cellStyle name="Accent4 - 20%" xfId="10"/>
    <cellStyle name="Accent4 - 40%" xfId="11"/>
    <cellStyle name="Accent4 - 60%" xfId="12"/>
    <cellStyle name="Accent5 - 20%" xfId="13"/>
    <cellStyle name="Accent5 - 40%" xfId="14"/>
    <cellStyle name="Accent5 - 60%" xfId="15"/>
    <cellStyle name="Accent6 - 20%" xfId="16"/>
    <cellStyle name="Accent6 - 40%" xfId="17"/>
    <cellStyle name="Accent6 - 60%" xfId="18"/>
    <cellStyle name="Column heading" xfId="19"/>
    <cellStyle name="Comma 2" xfId="20"/>
    <cellStyle name="Corner heading" xfId="21"/>
    <cellStyle name="Currency 2" xfId="22"/>
    <cellStyle name="Currency 3" xfId="23"/>
    <cellStyle name="Currency 4" xfId="24"/>
    <cellStyle name="Data" xfId="25"/>
    <cellStyle name="Data no deci" xfId="26"/>
    <cellStyle name="Data Superscript" xfId="27"/>
    <cellStyle name="Data_1-1A-Regular" xfId="28"/>
    <cellStyle name="Emphasis 1" xfId="29"/>
    <cellStyle name="Emphasis 2" xfId="30"/>
    <cellStyle name="Emphasis 3" xfId="31"/>
    <cellStyle name="Hed Side" xfId="32"/>
    <cellStyle name="Hed Side bold" xfId="33"/>
    <cellStyle name="Hed Side Indent" xfId="34"/>
    <cellStyle name="Hed Side Regular" xfId="35"/>
    <cellStyle name="Hed Side_1-1A-Regular" xfId="36"/>
    <cellStyle name="Hed Top" xfId="37"/>
    <cellStyle name="Hed Top - SECTION" xfId="38"/>
    <cellStyle name="Hed Top_3-new4" xfId="39"/>
    <cellStyle name="Normal" xfId="0" builtinId="0"/>
    <cellStyle name="Normal 2" xfId="40"/>
    <cellStyle name="Normal 2 2" xfId="41"/>
    <cellStyle name="Normal 2 3" xfId="42"/>
    <cellStyle name="Normal 2_E-UniqueLists" xfId="43"/>
    <cellStyle name="Normal 3" xfId="44"/>
    <cellStyle name="Normal 3 2" xfId="45"/>
    <cellStyle name="Normal 4" xfId="46"/>
    <cellStyle name="Percent 2" xfId="47"/>
    <cellStyle name="Percent 2 2" xfId="48"/>
    <cellStyle name="Percent 3" xfId="49"/>
    <cellStyle name="Percent 3 2" xfId="50"/>
    <cellStyle name="Reference" xfId="51"/>
    <cellStyle name="Row heading" xfId="52"/>
    <cellStyle name="Sheet Title" xfId="53"/>
    <cellStyle name="Source Hed" xfId="54"/>
    <cellStyle name="Source Letter" xfId="55"/>
    <cellStyle name="Source Superscript" xfId="56"/>
    <cellStyle name="Source Text" xfId="57"/>
    <cellStyle name="State" xfId="58"/>
    <cellStyle name="Superscript" xfId="59"/>
    <cellStyle name="Table Data" xfId="60"/>
    <cellStyle name="Table Head Top" xfId="61"/>
    <cellStyle name="Table Hed Side" xfId="62"/>
    <cellStyle name="Table Title" xfId="63"/>
    <cellStyle name="Title Text" xfId="64"/>
    <cellStyle name="Title Text 1" xfId="65"/>
    <cellStyle name="Title Text 2" xfId="66"/>
    <cellStyle name="Title-1" xfId="67"/>
    <cellStyle name="Title-2" xfId="68"/>
    <cellStyle name="Title-3" xfId="69"/>
    <cellStyle name="Wrap" xfId="70"/>
    <cellStyle name="Wrap Bold" xfId="71"/>
    <cellStyle name="Wrap Title" xfId="72"/>
    <cellStyle name="Wrap_A-GraphsStarter" xfId="73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Outliers!$A$5:$A$29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Outliers!$B$5:$B$29</c:f>
              <c:numCache>
                <c:formatCode>0.000</c:formatCode>
                <c:ptCount val="25"/>
              </c:numCache>
            </c:numRef>
          </c:yVal>
          <c:smooth val="0"/>
        </c:ser>
        <c:ser>
          <c:idx val="1"/>
          <c:order val="1"/>
          <c:tx>
            <c:v>OUTLIER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Outliers!$A$5:$A$29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Outliers!$I$5:$I$29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0"/>
        </c:ser>
        <c:ser>
          <c:idx val="2"/>
          <c:order val="2"/>
          <c:tx>
            <c:v>outlier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1"/>
            <c:spPr>
              <a:solidFill>
                <a:srgbClr val="FFFF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Outliers!$A$5:$A$29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Outliers!$J$5:$J$29</c:f>
              <c:numCache>
                <c:formatCode>General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480464"/>
        <c:axId val="429482144"/>
      </c:scatterChart>
      <c:valAx>
        <c:axId val="429480464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482144"/>
        <c:crosses val="autoZero"/>
        <c:crossBetween val="midCat"/>
      </c:valAx>
      <c:valAx>
        <c:axId val="42948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48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38101</xdr:colOff>
      <xdr:row>3</xdr:row>
      <xdr:rowOff>19049</xdr:rowOff>
    </xdr:from>
    <xdr:to>
      <xdr:col>17</xdr:col>
      <xdr:colOff>57151</xdr:colOff>
      <xdr:row>29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247650</xdr:colOff>
      <xdr:row>0</xdr:row>
      <xdr:rowOff>114300</xdr:rowOff>
    </xdr:from>
    <xdr:to>
      <xdr:col>17</xdr:col>
      <xdr:colOff>266700</xdr:colOff>
      <xdr:row>4</xdr:row>
      <xdr:rowOff>19050</xdr:rowOff>
    </xdr:to>
    <xdr:sp macro="" textlink="">
      <xdr:nvSpPr>
        <xdr:cNvPr id="3" name="Rounded Rectangle 2"/>
        <xdr:cNvSpPr/>
      </xdr:nvSpPr>
      <xdr:spPr>
        <a:xfrm>
          <a:off x="7724775" y="114300"/>
          <a:ext cx="2457450" cy="676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Ctr + Sh + 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"/>
  <sheetViews>
    <sheetView tabSelected="1" workbookViewId="0">
      <selection activeCell="D1" sqref="D1"/>
    </sheetView>
  </sheetViews>
  <sheetFormatPr defaultRowHeight="15" x14ac:dyDescent="0.25"/>
  <cols>
    <col min="1" max="1" width="3" style="1" bestFit="1" customWidth="1"/>
    <col min="2" max="2" width="8" style="1" bestFit="1" customWidth="1"/>
    <col min="3" max="4" width="10" style="1" bestFit="1" customWidth="1"/>
    <col min="5" max="5" width="9.140625" style="1"/>
    <col min="6" max="6" width="8" style="1" bestFit="1" customWidth="1"/>
    <col min="7" max="16384" width="9.140625" style="1"/>
  </cols>
  <sheetData>
    <row r="1" spans="1:11" x14ac:dyDescent="0.25">
      <c r="C1" s="1" t="s">
        <v>5</v>
      </c>
      <c r="D1" s="7" t="e">
        <f>MEDIAN(B5:B29)</f>
        <v>#NUM!</v>
      </c>
      <c r="F1" s="7" t="e">
        <f>QUARTILE($B$5:$B$29,1)</f>
        <v>#NUM!</v>
      </c>
      <c r="G1" s="1" t="s">
        <v>4</v>
      </c>
    </row>
    <row r="2" spans="1:11" ht="15" customHeight="1" x14ac:dyDescent="0.25">
      <c r="C2" s="1" t="s">
        <v>3</v>
      </c>
      <c r="D2" s="7" t="e">
        <f t="array" ref="D2">MEDIAN(ABS(MEDIAN(B5:B29)-B5:B29))</f>
        <v>#NUM!</v>
      </c>
      <c r="F2" s="7" t="e">
        <f>QUARTILE($B$5:$B$29,3)</f>
        <v>#NUM!</v>
      </c>
      <c r="G2" s="1" t="s">
        <v>2</v>
      </c>
      <c r="I2" s="3" t="s">
        <v>6</v>
      </c>
      <c r="K2" s="4"/>
    </row>
    <row r="3" spans="1:11" x14ac:dyDescent="0.25">
      <c r="F3" s="7" t="e">
        <f>AVERAGE($B$5:$B$29)+(1.5*(F2-F1))</f>
        <v>#DIV/0!</v>
      </c>
      <c r="G3" s="1" t="s">
        <v>1</v>
      </c>
    </row>
    <row r="4" spans="1:11" ht="15.75" thickBot="1" x14ac:dyDescent="0.3">
      <c r="D4" s="5" t="s">
        <v>0</v>
      </c>
    </row>
    <row r="5" spans="1:11" x14ac:dyDescent="0.25">
      <c r="A5" s="1">
        <v>1</v>
      </c>
      <c r="B5" s="8"/>
      <c r="D5" s="11"/>
      <c r="E5" s="6"/>
      <c r="F5" s="14"/>
      <c r="I5" s="2" t="e">
        <f t="shared" ref="I5:I29" si="0">IF(D5="OUTLIER",B5,NA())</f>
        <v>#N/A</v>
      </c>
      <c r="J5" s="2" t="e">
        <f t="shared" ref="J5:J29" si="1">IF(F5="outlier",B5,NA())</f>
        <v>#N/A</v>
      </c>
    </row>
    <row r="6" spans="1:11" x14ac:dyDescent="0.25">
      <c r="A6" s="1">
        <v>2</v>
      </c>
      <c r="B6" s="9"/>
      <c r="D6" s="12"/>
      <c r="E6" s="6"/>
      <c r="F6" s="15"/>
      <c r="H6" s="4"/>
      <c r="I6" s="2" t="e">
        <f t="shared" si="0"/>
        <v>#N/A</v>
      </c>
      <c r="J6" s="2" t="e">
        <f t="shared" si="1"/>
        <v>#N/A</v>
      </c>
    </row>
    <row r="7" spans="1:11" x14ac:dyDescent="0.25">
      <c r="A7" s="1">
        <v>3</v>
      </c>
      <c r="B7" s="9"/>
      <c r="D7" s="12"/>
      <c r="E7" s="6"/>
      <c r="F7" s="15"/>
      <c r="I7" s="2" t="e">
        <f t="shared" si="0"/>
        <v>#N/A</v>
      </c>
      <c r="J7" s="2" t="e">
        <f t="shared" si="1"/>
        <v>#N/A</v>
      </c>
    </row>
    <row r="8" spans="1:11" x14ac:dyDescent="0.25">
      <c r="A8" s="1">
        <v>4</v>
      </c>
      <c r="B8" s="9"/>
      <c r="D8" s="12"/>
      <c r="F8" s="15"/>
      <c r="I8" s="2" t="e">
        <f t="shared" si="0"/>
        <v>#N/A</v>
      </c>
      <c r="J8" s="2" t="e">
        <f t="shared" si="1"/>
        <v>#N/A</v>
      </c>
    </row>
    <row r="9" spans="1:11" x14ac:dyDescent="0.25">
      <c r="A9" s="1">
        <v>5</v>
      </c>
      <c r="B9" s="9"/>
      <c r="D9" s="12"/>
      <c r="F9" s="15"/>
      <c r="I9" s="2" t="e">
        <f t="shared" si="0"/>
        <v>#N/A</v>
      </c>
      <c r="J9" s="2" t="e">
        <f t="shared" si="1"/>
        <v>#N/A</v>
      </c>
    </row>
    <row r="10" spans="1:11" x14ac:dyDescent="0.25">
      <c r="A10" s="1">
        <v>6</v>
      </c>
      <c r="B10" s="9"/>
      <c r="D10" s="12"/>
      <c r="F10" s="15"/>
      <c r="I10" s="2" t="e">
        <f t="shared" si="0"/>
        <v>#N/A</v>
      </c>
      <c r="J10" s="2" t="e">
        <f t="shared" si="1"/>
        <v>#N/A</v>
      </c>
    </row>
    <row r="11" spans="1:11" x14ac:dyDescent="0.25">
      <c r="A11" s="1">
        <v>7</v>
      </c>
      <c r="B11" s="9"/>
      <c r="D11" s="12"/>
      <c r="F11" s="15"/>
      <c r="I11" s="2" t="e">
        <f t="shared" si="0"/>
        <v>#N/A</v>
      </c>
      <c r="J11" s="2" t="e">
        <f t="shared" si="1"/>
        <v>#N/A</v>
      </c>
    </row>
    <row r="12" spans="1:11" x14ac:dyDescent="0.25">
      <c r="A12" s="1">
        <v>8</v>
      </c>
      <c r="B12" s="9"/>
      <c r="D12" s="12"/>
      <c r="F12" s="15"/>
      <c r="I12" s="2" t="e">
        <f t="shared" si="0"/>
        <v>#N/A</v>
      </c>
      <c r="J12" s="2" t="e">
        <f t="shared" si="1"/>
        <v>#N/A</v>
      </c>
    </row>
    <row r="13" spans="1:11" x14ac:dyDescent="0.25">
      <c r="A13" s="1">
        <v>9</v>
      </c>
      <c r="B13" s="9"/>
      <c r="D13" s="12"/>
      <c r="F13" s="15"/>
      <c r="I13" s="2" t="e">
        <f t="shared" si="0"/>
        <v>#N/A</v>
      </c>
      <c r="J13" s="2" t="e">
        <f t="shared" si="1"/>
        <v>#N/A</v>
      </c>
    </row>
    <row r="14" spans="1:11" x14ac:dyDescent="0.25">
      <c r="A14" s="1">
        <v>10</v>
      </c>
      <c r="B14" s="9"/>
      <c r="D14" s="12"/>
      <c r="F14" s="15"/>
      <c r="I14" s="2" t="e">
        <f t="shared" si="0"/>
        <v>#N/A</v>
      </c>
      <c r="J14" s="2" t="e">
        <f t="shared" si="1"/>
        <v>#N/A</v>
      </c>
    </row>
    <row r="15" spans="1:11" x14ac:dyDescent="0.25">
      <c r="A15" s="1">
        <v>11</v>
      </c>
      <c r="B15" s="9"/>
      <c r="D15" s="12"/>
      <c r="F15" s="15"/>
      <c r="I15" s="2" t="e">
        <f t="shared" si="0"/>
        <v>#N/A</v>
      </c>
      <c r="J15" s="2" t="e">
        <f t="shared" si="1"/>
        <v>#N/A</v>
      </c>
    </row>
    <row r="16" spans="1:11" x14ac:dyDescent="0.25">
      <c r="A16" s="1">
        <v>12</v>
      </c>
      <c r="B16" s="9"/>
      <c r="D16" s="12"/>
      <c r="F16" s="15"/>
      <c r="I16" s="2" t="e">
        <f t="shared" si="0"/>
        <v>#N/A</v>
      </c>
      <c r="J16" s="2" t="e">
        <f t="shared" si="1"/>
        <v>#N/A</v>
      </c>
    </row>
    <row r="17" spans="1:10" x14ac:dyDescent="0.25">
      <c r="A17" s="1">
        <v>13</v>
      </c>
      <c r="B17" s="9"/>
      <c r="D17" s="12"/>
      <c r="F17" s="15"/>
      <c r="I17" s="2" t="e">
        <f t="shared" si="0"/>
        <v>#N/A</v>
      </c>
      <c r="J17" s="2" t="e">
        <f t="shared" si="1"/>
        <v>#N/A</v>
      </c>
    </row>
    <row r="18" spans="1:10" x14ac:dyDescent="0.25">
      <c r="A18" s="1">
        <v>14</v>
      </c>
      <c r="B18" s="9"/>
      <c r="D18" s="12"/>
      <c r="F18" s="15"/>
      <c r="I18" s="2" t="e">
        <f t="shared" si="0"/>
        <v>#N/A</v>
      </c>
      <c r="J18" s="2" t="e">
        <f t="shared" si="1"/>
        <v>#N/A</v>
      </c>
    </row>
    <row r="19" spans="1:10" x14ac:dyDescent="0.25">
      <c r="A19" s="1">
        <v>15</v>
      </c>
      <c r="B19" s="9"/>
      <c r="D19" s="12"/>
      <c r="F19" s="15"/>
      <c r="I19" s="2" t="e">
        <f t="shared" si="0"/>
        <v>#N/A</v>
      </c>
      <c r="J19" s="2" t="e">
        <f t="shared" si="1"/>
        <v>#N/A</v>
      </c>
    </row>
    <row r="20" spans="1:10" x14ac:dyDescent="0.25">
      <c r="A20" s="1">
        <v>16</v>
      </c>
      <c r="B20" s="9"/>
      <c r="D20" s="12"/>
      <c r="F20" s="15"/>
      <c r="I20" s="2" t="e">
        <f t="shared" si="0"/>
        <v>#N/A</v>
      </c>
      <c r="J20" s="2" t="e">
        <f t="shared" si="1"/>
        <v>#N/A</v>
      </c>
    </row>
    <row r="21" spans="1:10" x14ac:dyDescent="0.25">
      <c r="A21" s="1">
        <v>17</v>
      </c>
      <c r="B21" s="9"/>
      <c r="D21" s="12"/>
      <c r="F21" s="15"/>
      <c r="I21" s="2" t="e">
        <f t="shared" si="0"/>
        <v>#N/A</v>
      </c>
      <c r="J21" s="2" t="e">
        <f t="shared" si="1"/>
        <v>#N/A</v>
      </c>
    </row>
    <row r="22" spans="1:10" x14ac:dyDescent="0.25">
      <c r="A22" s="1">
        <v>18</v>
      </c>
      <c r="B22" s="9"/>
      <c r="D22" s="12"/>
      <c r="F22" s="15"/>
      <c r="I22" s="2" t="e">
        <f t="shared" si="0"/>
        <v>#N/A</v>
      </c>
      <c r="J22" s="2" t="e">
        <f t="shared" si="1"/>
        <v>#N/A</v>
      </c>
    </row>
    <row r="23" spans="1:10" x14ac:dyDescent="0.25">
      <c r="A23" s="1">
        <v>19</v>
      </c>
      <c r="B23" s="9"/>
      <c r="D23" s="12"/>
      <c r="F23" s="15"/>
      <c r="I23" s="2" t="e">
        <f t="shared" si="0"/>
        <v>#N/A</v>
      </c>
      <c r="J23" s="2" t="e">
        <f t="shared" si="1"/>
        <v>#N/A</v>
      </c>
    </row>
    <row r="24" spans="1:10" x14ac:dyDescent="0.25">
      <c r="A24" s="1">
        <v>20</v>
      </c>
      <c r="B24" s="9"/>
      <c r="D24" s="12"/>
      <c r="F24" s="15"/>
      <c r="I24" s="2" t="e">
        <f t="shared" si="0"/>
        <v>#N/A</v>
      </c>
      <c r="J24" s="2" t="e">
        <f t="shared" si="1"/>
        <v>#N/A</v>
      </c>
    </row>
    <row r="25" spans="1:10" x14ac:dyDescent="0.25">
      <c r="A25" s="1">
        <v>21</v>
      </c>
      <c r="B25" s="9"/>
      <c r="D25" s="12"/>
      <c r="F25" s="15"/>
      <c r="I25" s="2" t="e">
        <f t="shared" si="0"/>
        <v>#N/A</v>
      </c>
      <c r="J25" s="2" t="e">
        <f t="shared" si="1"/>
        <v>#N/A</v>
      </c>
    </row>
    <row r="26" spans="1:10" x14ac:dyDescent="0.25">
      <c r="A26" s="1">
        <v>22</v>
      </c>
      <c r="B26" s="9"/>
      <c r="D26" s="12"/>
      <c r="F26" s="15"/>
      <c r="I26" s="2" t="e">
        <f t="shared" si="0"/>
        <v>#N/A</v>
      </c>
      <c r="J26" s="2" t="e">
        <f t="shared" si="1"/>
        <v>#N/A</v>
      </c>
    </row>
    <row r="27" spans="1:10" x14ac:dyDescent="0.25">
      <c r="A27" s="1">
        <v>23</v>
      </c>
      <c r="B27" s="9"/>
      <c r="D27" s="12"/>
      <c r="F27" s="15"/>
      <c r="I27" s="2" t="e">
        <f t="shared" si="0"/>
        <v>#N/A</v>
      </c>
      <c r="J27" s="2" t="e">
        <f t="shared" si="1"/>
        <v>#N/A</v>
      </c>
    </row>
    <row r="28" spans="1:10" x14ac:dyDescent="0.25">
      <c r="A28" s="1">
        <v>24</v>
      </c>
      <c r="B28" s="9"/>
      <c r="D28" s="12"/>
      <c r="F28" s="15"/>
      <c r="I28" s="2" t="e">
        <f t="shared" si="0"/>
        <v>#N/A</v>
      </c>
      <c r="J28" s="2" t="e">
        <f t="shared" si="1"/>
        <v>#N/A</v>
      </c>
    </row>
    <row r="29" spans="1:10" ht="15.75" thickBot="1" x14ac:dyDescent="0.3">
      <c r="A29" s="1">
        <v>25</v>
      </c>
      <c r="B29" s="10"/>
      <c r="D29" s="13"/>
      <c r="F29" s="16"/>
      <c r="I29" s="2" t="e">
        <f t="shared" si="0"/>
        <v>#N/A</v>
      </c>
      <c r="J29" s="2" t="e">
        <f t="shared" si="1"/>
        <v>#N/A</v>
      </c>
    </row>
    <row r="31" spans="1:10" x14ac:dyDescent="0.25">
      <c r="A31" s="4"/>
    </row>
  </sheetData>
  <conditionalFormatting sqref="D5:D29 F5:F29">
    <cfRule type="expression" dxfId="0" priority="1">
      <formula>AND($D5="outlier",$F5="OUTLIER")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Outliers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2012-12-16T18:34:22Z</dcterms:created>
  <dcterms:modified xsi:type="dcterms:W3CDTF">2016-11-04T19:02:18Z</dcterms:modified>
</cp:coreProperties>
</file>